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NE\fuels\BS\"/>
    </mc:Choice>
  </mc:AlternateContent>
  <xr:revisionPtr revIDLastSave="0" documentId="8_{343776C8-CCAF-493D-B594-B873B0C78D12}" xr6:coauthVersionLast="47" xr6:coauthVersionMax="47" xr10:uidLastSave="{00000000-0000-0000-0000-000000000000}"/>
  <bookViews>
    <workbookView xWindow="1080" yWindow="730" windowWidth="11560" windowHeight="10070" tabRatio="955"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 name="dollars_2022_20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13" i="24" l="1"/>
  <c r="V113" i="24"/>
  <c r="W113" i="24"/>
  <c r="T113" i="24"/>
  <c r="S113" i="24"/>
  <c r="M113" i="24"/>
  <c r="N143" i="24" s="1"/>
  <c r="D143" i="24"/>
  <c r="E143" i="24"/>
  <c r="F143" i="24"/>
  <c r="G143" i="24"/>
  <c r="H143" i="24"/>
  <c r="I143" i="24"/>
  <c r="J143" i="24"/>
  <c r="K143" i="24"/>
  <c r="L143" i="24"/>
  <c r="M143" i="24"/>
  <c r="C143" i="24"/>
  <c r="B233" i="24"/>
  <c r="B227" i="24"/>
  <c r="X113" i="24" l="1"/>
  <c r="Y113" i="24" s="1"/>
  <c r="Z113" i="24" s="1"/>
  <c r="AA113" i="24" s="1"/>
  <c r="AB113" i="24" s="1"/>
  <c r="AC113" i="24" s="1"/>
  <c r="N113" i="24"/>
  <c r="K246" i="24"/>
  <c r="K22" i="10" s="1"/>
  <c r="H246" i="24"/>
  <c r="H22" i="10" s="1"/>
  <c r="G246" i="24"/>
  <c r="G22" i="10" s="1"/>
  <c r="I246" i="24"/>
  <c r="I22" i="10" s="1"/>
  <c r="D246" i="24"/>
  <c r="D22" i="10" s="1"/>
  <c r="F246" i="24"/>
  <c r="F22" i="10" s="1"/>
  <c r="E246" i="24"/>
  <c r="E22" i="10" s="1"/>
  <c r="J246" i="24"/>
  <c r="J22" i="10" s="1"/>
  <c r="M246" i="24"/>
  <c r="M22" i="10" s="1"/>
  <c r="L246" i="24"/>
  <c r="L22" i="10" s="1"/>
  <c r="O113" i="24" l="1"/>
  <c r="O143" i="24"/>
  <c r="B98" i="24"/>
  <c r="B9" i="16"/>
  <c r="P113" i="24" l="1"/>
  <c r="P143" i="24"/>
  <c r="T143" i="24"/>
  <c r="C8" i="16"/>
  <c r="B8" i="16"/>
  <c r="AE260" i="24"/>
  <c r="AF260" i="24"/>
  <c r="E260" i="24"/>
  <c r="F260" i="24"/>
  <c r="G260" i="24"/>
  <c r="H260" i="24"/>
  <c r="I260" i="24"/>
  <c r="J260" i="24"/>
  <c r="K260" i="24"/>
  <c r="L260" i="24"/>
  <c r="M260" i="24"/>
  <c r="N260" i="24"/>
  <c r="O260" i="24"/>
  <c r="P260" i="24"/>
  <c r="Q260" i="24"/>
  <c r="R260" i="24"/>
  <c r="S260" i="24"/>
  <c r="T260" i="24"/>
  <c r="U260" i="24"/>
  <c r="V260" i="24"/>
  <c r="W260" i="24"/>
  <c r="X260" i="24"/>
  <c r="Y260" i="24"/>
  <c r="Z260" i="24"/>
  <c r="AA260" i="24"/>
  <c r="AB260" i="24"/>
  <c r="AC260" i="24"/>
  <c r="AD260" i="24"/>
  <c r="B102" i="24"/>
  <c r="Q113" i="24" l="1"/>
  <c r="Q143" i="24"/>
  <c r="U143" i="24"/>
  <c r="B43" i="24"/>
  <c r="A8" i="24"/>
  <c r="R113" i="24" l="1"/>
  <c r="S143" i="24" s="1"/>
  <c r="R143" i="24"/>
  <c r="V143" i="24"/>
  <c r="R98" i="24"/>
  <c r="C15" i="16"/>
  <c r="B15" i="16"/>
  <c r="C11" i="16"/>
  <c r="B11" i="16"/>
  <c r="C9" i="16"/>
  <c r="C137" i="24"/>
  <c r="D137" i="24"/>
  <c r="E137" i="24"/>
  <c r="F137" i="24"/>
  <c r="G137" i="24"/>
  <c r="H137" i="24"/>
  <c r="I137" i="24"/>
  <c r="J137" i="24"/>
  <c r="K137" i="24"/>
  <c r="L137" i="24"/>
  <c r="M137" i="24"/>
  <c r="N137" i="24"/>
  <c r="O137" i="24"/>
  <c r="P137" i="24"/>
  <c r="Q137" i="24"/>
  <c r="R137" i="24"/>
  <c r="S137" i="24"/>
  <c r="T137" i="24"/>
  <c r="U137" i="24"/>
  <c r="V137" i="24"/>
  <c r="W137" i="24"/>
  <c r="X137" i="24"/>
  <c r="Y137" i="24"/>
  <c r="Z137" i="24"/>
  <c r="AA137" i="24"/>
  <c r="AB137" i="24"/>
  <c r="AC137" i="24"/>
  <c r="B137"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W143" i="24" l="1"/>
  <c r="T98" i="24"/>
  <c r="L98" i="24"/>
  <c r="H98" i="24"/>
  <c r="D98" i="24"/>
  <c r="N98" i="24"/>
  <c r="O99" i="24"/>
  <c r="E99" i="24"/>
  <c r="D99" i="24"/>
  <c r="W99"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X143" i="24" l="1"/>
  <c r="S98" i="24"/>
  <c r="I98" i="24"/>
  <c r="X98" i="24"/>
  <c r="Y98" i="24" s="1"/>
  <c r="K98" i="24"/>
  <c r="L99" i="24"/>
  <c r="M98" i="24"/>
  <c r="V99" i="24"/>
  <c r="E98" i="24"/>
  <c r="C99" i="24"/>
  <c r="Q98" i="24"/>
  <c r="O98" i="24"/>
  <c r="G98" i="24"/>
  <c r="V98" i="24"/>
  <c r="U98" i="24"/>
  <c r="W98" i="24"/>
  <c r="C98" i="24"/>
  <c r="F98" i="24"/>
  <c r="J98" i="24"/>
  <c r="N99" i="24"/>
  <c r="I99" i="24"/>
  <c r="S99" i="24"/>
  <c r="F99" i="24"/>
  <c r="Q99" i="24"/>
  <c r="B99" i="24"/>
  <c r="R99" i="24"/>
  <c r="C5" i="19"/>
  <c r="D5" i="19"/>
  <c r="N5" i="19"/>
  <c r="O5" i="19"/>
  <c r="P5" i="19"/>
  <c r="Q5" i="19"/>
  <c r="R5" i="19"/>
  <c r="S5" i="19"/>
  <c r="T5" i="19"/>
  <c r="U5" i="19"/>
  <c r="V5" i="19"/>
  <c r="W5" i="19"/>
  <c r="X5" i="19"/>
  <c r="Y5" i="19"/>
  <c r="Z5" i="19"/>
  <c r="AA5" i="19"/>
  <c r="AB5" i="19"/>
  <c r="AC5" i="19"/>
  <c r="AD5" i="19"/>
  <c r="AE5" i="19"/>
  <c r="B5" i="19"/>
  <c r="W165" i="24"/>
  <c r="Y15" i="16" s="1"/>
  <c r="V165" i="24"/>
  <c r="X15" i="16" s="1"/>
  <c r="U165" i="24"/>
  <c r="W15" i="16" s="1"/>
  <c r="T165" i="24"/>
  <c r="V15" i="16" s="1"/>
  <c r="S165" i="24"/>
  <c r="U15" i="16" s="1"/>
  <c r="R165" i="24"/>
  <c r="T15" i="16" s="1"/>
  <c r="Q165" i="24"/>
  <c r="S15" i="16" s="1"/>
  <c r="P165" i="24"/>
  <c r="R15" i="16" s="1"/>
  <c r="O165" i="24"/>
  <c r="Q15" i="16" s="1"/>
  <c r="N165" i="24"/>
  <c r="P15" i="16" s="1"/>
  <c r="M165" i="24"/>
  <c r="O15" i="16" s="1"/>
  <c r="L165" i="24"/>
  <c r="N15" i="16" s="1"/>
  <c r="K165" i="24"/>
  <c r="M15" i="16" s="1"/>
  <c r="J165" i="24"/>
  <c r="L15" i="16" s="1"/>
  <c r="I165" i="24"/>
  <c r="K15" i="16" s="1"/>
  <c r="H165" i="24"/>
  <c r="J15" i="16" s="1"/>
  <c r="G165" i="24"/>
  <c r="I15" i="16" s="1"/>
  <c r="F165" i="24"/>
  <c r="H15" i="16" s="1"/>
  <c r="E165" i="24"/>
  <c r="G15" i="16" s="1"/>
  <c r="D165" i="24"/>
  <c r="F15" i="16" s="1"/>
  <c r="W162" i="24"/>
  <c r="Y11" i="16" s="1"/>
  <c r="V162" i="24"/>
  <c r="X11" i="16" s="1"/>
  <c r="U162" i="24"/>
  <c r="W11" i="16" s="1"/>
  <c r="T162" i="24"/>
  <c r="V11" i="16" s="1"/>
  <c r="S162" i="24"/>
  <c r="U11" i="16" s="1"/>
  <c r="R162" i="24"/>
  <c r="T11" i="16" s="1"/>
  <c r="Q162" i="24"/>
  <c r="S11" i="16" s="1"/>
  <c r="P162" i="24"/>
  <c r="R11" i="16" s="1"/>
  <c r="O162" i="24"/>
  <c r="Q11" i="16" s="1"/>
  <c r="N162" i="24"/>
  <c r="P11" i="16" s="1"/>
  <c r="M162" i="24"/>
  <c r="O11" i="16" s="1"/>
  <c r="L162" i="24"/>
  <c r="N11" i="16" s="1"/>
  <c r="K162" i="24"/>
  <c r="M11" i="16" s="1"/>
  <c r="J162" i="24"/>
  <c r="L11" i="16" s="1"/>
  <c r="I162" i="24"/>
  <c r="K11" i="16" s="1"/>
  <c r="H162" i="24"/>
  <c r="J11" i="16" s="1"/>
  <c r="G162" i="24"/>
  <c r="I11" i="16" s="1"/>
  <c r="F162" i="24"/>
  <c r="H11" i="16" s="1"/>
  <c r="E162" i="24"/>
  <c r="G11" i="16" s="1"/>
  <c r="D162" i="24"/>
  <c r="W159" i="24"/>
  <c r="Y9" i="16" s="1"/>
  <c r="V159" i="24"/>
  <c r="X9" i="16" s="1"/>
  <c r="U159" i="24"/>
  <c r="W9" i="16" s="1"/>
  <c r="T159" i="24"/>
  <c r="V9" i="16" s="1"/>
  <c r="S159" i="24"/>
  <c r="U9" i="16" s="1"/>
  <c r="R159" i="24"/>
  <c r="T9" i="16" s="1"/>
  <c r="Q159" i="24"/>
  <c r="S9" i="16" s="1"/>
  <c r="P159" i="24"/>
  <c r="R9" i="16" s="1"/>
  <c r="O159" i="24"/>
  <c r="Q9" i="16" s="1"/>
  <c r="N159" i="24"/>
  <c r="P9" i="16" s="1"/>
  <c r="M159" i="24"/>
  <c r="O9" i="16" s="1"/>
  <c r="L159" i="24"/>
  <c r="N9" i="16" s="1"/>
  <c r="K159" i="24"/>
  <c r="M9" i="16" s="1"/>
  <c r="J159" i="24"/>
  <c r="L9" i="16" s="1"/>
  <c r="I159" i="24"/>
  <c r="K9" i="16" s="1"/>
  <c r="H159" i="24"/>
  <c r="J9" i="16" s="1"/>
  <c r="G159" i="24"/>
  <c r="I9" i="16" s="1"/>
  <c r="F159" i="24"/>
  <c r="H9" i="16" s="1"/>
  <c r="E159" i="24"/>
  <c r="G9" i="16" s="1"/>
  <c r="D159" i="24"/>
  <c r="F9" i="16" s="1"/>
  <c r="B103" i="24"/>
  <c r="B66" i="24"/>
  <c r="B47"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Y143" i="24" l="1"/>
  <c r="T117" i="24"/>
  <c r="T118" i="24" s="1"/>
  <c r="D117" i="24"/>
  <c r="C117" i="24" s="1"/>
  <c r="B117" i="24" s="1"/>
  <c r="C162" i="24"/>
  <c r="F11" i="16"/>
  <c r="Z98" i="24"/>
  <c r="AB98" i="24"/>
  <c r="AC98" i="24"/>
  <c r="AA98" i="24"/>
  <c r="AG14" i="14"/>
  <c r="AC14" i="14"/>
  <c r="V14" i="14"/>
  <c r="AD14" i="14"/>
  <c r="W14" i="14"/>
  <c r="AE14" i="14"/>
  <c r="X14" i="14"/>
  <c r="AF14" i="14"/>
  <c r="Y14" i="14"/>
  <c r="Z14" i="14"/>
  <c r="AA14" i="14"/>
  <c r="AB14" i="14"/>
  <c r="E138" i="24"/>
  <c r="E139" i="24" s="1"/>
  <c r="G5" i="19" s="1"/>
  <c r="G138" i="24"/>
  <c r="G139" i="24" s="1"/>
  <c r="I5" i="19" s="1"/>
  <c r="K138" i="24"/>
  <c r="K139" i="24" s="1"/>
  <c r="M5" i="19" s="1"/>
  <c r="AA138" i="24"/>
  <c r="AA139" i="24" s="1"/>
  <c r="B138" i="24"/>
  <c r="B139" i="24" s="1"/>
  <c r="Q138" i="24"/>
  <c r="Q139" i="24" s="1"/>
  <c r="Y138" i="24"/>
  <c r="Y139" i="24" s="1"/>
  <c r="J138" i="24"/>
  <c r="J139" i="24" s="1"/>
  <c r="L5" i="19" s="1"/>
  <c r="AB138" i="24"/>
  <c r="AB139" i="24" s="1"/>
  <c r="S138" i="24"/>
  <c r="S139" i="24" s="1"/>
  <c r="I138" i="24"/>
  <c r="I139" i="24" s="1"/>
  <c r="K5" i="19" s="1"/>
  <c r="V138" i="24"/>
  <c r="V139" i="24" s="1"/>
  <c r="X138" i="24"/>
  <c r="X139" i="24" s="1"/>
  <c r="T138" i="24"/>
  <c r="T139" i="24" s="1"/>
  <c r="Z138" i="24"/>
  <c r="Z139" i="24" s="1"/>
  <c r="AC138" i="24"/>
  <c r="AC139" i="24" s="1"/>
  <c r="N138" i="24"/>
  <c r="N139" i="24" s="1"/>
  <c r="L138" i="24"/>
  <c r="L139" i="24" s="1"/>
  <c r="R138" i="24"/>
  <c r="R139" i="24" s="1"/>
  <c r="U138" i="24"/>
  <c r="U139" i="24" s="1"/>
  <c r="C138" i="24"/>
  <c r="C139" i="24" s="1"/>
  <c r="E5" i="19" s="1"/>
  <c r="F138" i="24"/>
  <c r="F139" i="24" s="1"/>
  <c r="H5" i="19" s="1"/>
  <c r="D138" i="24"/>
  <c r="D139" i="24" s="1"/>
  <c r="F5" i="19" s="1"/>
  <c r="P138" i="24"/>
  <c r="P139" i="24" s="1"/>
  <c r="W138" i="24"/>
  <c r="W139" i="24" s="1"/>
  <c r="H138" i="24"/>
  <c r="H139" i="24" s="1"/>
  <c r="J5" i="19" s="1"/>
  <c r="O138" i="24"/>
  <c r="O139" i="24" s="1"/>
  <c r="M138" i="24"/>
  <c r="M139" i="24" s="1"/>
  <c r="M99" i="24"/>
  <c r="T99" i="24"/>
  <c r="P98" i="24"/>
  <c r="X99" i="24"/>
  <c r="J99" i="24"/>
  <c r="G99" i="24"/>
  <c r="P99" i="24"/>
  <c r="K99" i="24"/>
  <c r="H99" i="24"/>
  <c r="U99" i="24"/>
  <c r="K117" i="24"/>
  <c r="K118" i="24" s="1"/>
  <c r="S117" i="24"/>
  <c r="S118" i="24" s="1"/>
  <c r="L117" i="24"/>
  <c r="I117" i="24"/>
  <c r="R117" i="24"/>
  <c r="M117" i="24"/>
  <c r="U117" i="24"/>
  <c r="U118" i="24" s="1"/>
  <c r="N117" i="24"/>
  <c r="N118" i="24" s="1"/>
  <c r="V117" i="24"/>
  <c r="H117" i="24"/>
  <c r="H118" i="24" s="1"/>
  <c r="Q117" i="24"/>
  <c r="Q118" i="24" s="1"/>
  <c r="Y117" i="24"/>
  <c r="Y118" i="24" s="1"/>
  <c r="O117" i="24"/>
  <c r="W117" i="24"/>
  <c r="P117" i="24"/>
  <c r="P118" i="24" s="1"/>
  <c r="X117" i="24"/>
  <c r="X118" i="24" s="1"/>
  <c r="J117" i="24"/>
  <c r="G133" i="24"/>
  <c r="G134" i="24" s="1"/>
  <c r="O133" i="24"/>
  <c r="O134" i="24" s="1"/>
  <c r="J129" i="24"/>
  <c r="J130" i="24" s="1"/>
  <c r="F125" i="24"/>
  <c r="F126" i="24" s="1"/>
  <c r="N125" i="24"/>
  <c r="N126" i="24" s="1"/>
  <c r="D133" i="24"/>
  <c r="D134" i="24" s="1"/>
  <c r="H133" i="24"/>
  <c r="H134" i="24" s="1"/>
  <c r="P133" i="24"/>
  <c r="P134" i="24" s="1"/>
  <c r="K129" i="24"/>
  <c r="K130" i="24" s="1"/>
  <c r="G125" i="24"/>
  <c r="G126" i="24" s="1"/>
  <c r="O125" i="24"/>
  <c r="O126" i="24" s="1"/>
  <c r="E117" i="24"/>
  <c r="E118" i="24" s="1"/>
  <c r="D129" i="24"/>
  <c r="D130" i="24" s="1"/>
  <c r="K125" i="24"/>
  <c r="K126" i="24" s="1"/>
  <c r="L133" i="24"/>
  <c r="L134" i="24" s="1"/>
  <c r="I133" i="24"/>
  <c r="I134" i="24" s="1"/>
  <c r="Q129" i="24"/>
  <c r="Q130" i="24" s="1"/>
  <c r="L129" i="24"/>
  <c r="L130" i="24" s="1"/>
  <c r="H125" i="24"/>
  <c r="H126" i="24" s="1"/>
  <c r="P125" i="24"/>
  <c r="P126" i="24" s="1"/>
  <c r="F117" i="24"/>
  <c r="F118" i="24" s="1"/>
  <c r="D125" i="24"/>
  <c r="D126" i="24" s="1"/>
  <c r="G117" i="24"/>
  <c r="G118" i="24" s="1"/>
  <c r="G129" i="24"/>
  <c r="G130" i="24" s="1"/>
  <c r="J133" i="24"/>
  <c r="J134" i="24" s="1"/>
  <c r="J135" i="24" s="1"/>
  <c r="L18" i="19" s="1"/>
  <c r="E129" i="24"/>
  <c r="E130" i="24" s="1"/>
  <c r="M129" i="24"/>
  <c r="M130" i="24" s="1"/>
  <c r="I125" i="24"/>
  <c r="I126" i="24" s="1"/>
  <c r="Q125" i="24"/>
  <c r="Q126" i="24" s="1"/>
  <c r="K133" i="24"/>
  <c r="K134" i="24" s="1"/>
  <c r="F129" i="24"/>
  <c r="F130" i="24" s="1"/>
  <c r="N129" i="24"/>
  <c r="N130" i="24" s="1"/>
  <c r="J125" i="24"/>
  <c r="O129" i="24"/>
  <c r="O130" i="24" s="1"/>
  <c r="Q133" i="24"/>
  <c r="Q134" i="24" s="1"/>
  <c r="E133" i="24"/>
  <c r="E134" i="24" s="1"/>
  <c r="M133" i="24"/>
  <c r="M134" i="24" s="1"/>
  <c r="H129" i="24"/>
  <c r="H130" i="24" s="1"/>
  <c r="P129" i="24"/>
  <c r="P130" i="24" s="1"/>
  <c r="L125" i="24"/>
  <c r="L126" i="24" s="1"/>
  <c r="F133" i="24"/>
  <c r="F134" i="24" s="1"/>
  <c r="N133" i="24"/>
  <c r="N134" i="24" s="1"/>
  <c r="I129" i="24"/>
  <c r="I130" i="24" s="1"/>
  <c r="E125" i="24"/>
  <c r="E126" i="24" s="1"/>
  <c r="M125" i="24"/>
  <c r="M126" i="24" s="1"/>
  <c r="B70" i="24"/>
  <c r="B67" i="24"/>
  <c r="H76" i="24" s="1"/>
  <c r="R76" i="24" s="1"/>
  <c r="R77" i="24" s="1"/>
  <c r="S156" i="24" s="1"/>
  <c r="K14" i="14"/>
  <c r="S14" i="14"/>
  <c r="Q14" i="14"/>
  <c r="R14" i="14"/>
  <c r="L14" i="14"/>
  <c r="M14" i="14"/>
  <c r="U14" i="14"/>
  <c r="J14" i="14"/>
  <c r="N14" i="14"/>
  <c r="P14" i="14"/>
  <c r="T14" i="14"/>
  <c r="O14" i="14"/>
  <c r="H14" i="14"/>
  <c r="I14" i="14"/>
  <c r="R125" i="24"/>
  <c r="C159" i="24"/>
  <c r="E9" i="16" s="1"/>
  <c r="B76" i="24"/>
  <c r="B77" i="24" s="1"/>
  <c r="V129" i="24"/>
  <c r="V130" i="24" s="1"/>
  <c r="C165" i="24"/>
  <c r="E15" i="16" s="1"/>
  <c r="Y129" i="24"/>
  <c r="Y130" i="24" s="1"/>
  <c r="V125" i="24"/>
  <c r="V126" i="24" s="1"/>
  <c r="R129" i="24"/>
  <c r="R130" i="24" s="1"/>
  <c r="V133" i="24"/>
  <c r="V134" i="24" s="1"/>
  <c r="U125" i="24"/>
  <c r="U126" i="24" s="1"/>
  <c r="U133" i="24"/>
  <c r="U134" i="24" s="1"/>
  <c r="W125" i="24"/>
  <c r="W126" i="24" s="1"/>
  <c r="S129" i="24"/>
  <c r="S130" i="24" s="1"/>
  <c r="W133" i="24"/>
  <c r="W134" i="24" s="1"/>
  <c r="X125" i="24"/>
  <c r="X126" i="24" s="1"/>
  <c r="T129" i="24"/>
  <c r="T130" i="24" s="1"/>
  <c r="X133" i="24"/>
  <c r="X134" i="24" s="1"/>
  <c r="Y125" i="24"/>
  <c r="Y126" i="24" s="1"/>
  <c r="U129" i="24"/>
  <c r="U130" i="24" s="1"/>
  <c r="Y133" i="24"/>
  <c r="Y134" i="24" s="1"/>
  <c r="R133" i="24"/>
  <c r="R134" i="24" s="1"/>
  <c r="S125" i="24"/>
  <c r="S126" i="24" s="1"/>
  <c r="W129" i="24"/>
  <c r="W130" i="24" s="1"/>
  <c r="S133" i="24"/>
  <c r="S134" i="24" s="1"/>
  <c r="T125" i="24"/>
  <c r="T126" i="24" s="1"/>
  <c r="X129" i="24"/>
  <c r="X130" i="24" s="1"/>
  <c r="T133" i="24"/>
  <c r="T134"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X159" i="24" l="1"/>
  <c r="Z9" i="16" s="1"/>
  <c r="X162" i="24"/>
  <c r="Z11" i="16" s="1"/>
  <c r="X165" i="24"/>
  <c r="Z15" i="16" s="1"/>
  <c r="Z143" i="24"/>
  <c r="D118" i="24"/>
  <c r="F7" i="19" s="1"/>
  <c r="C70" i="24"/>
  <c r="H70" i="24"/>
  <c r="I118" i="24"/>
  <c r="K7" i="19" s="1"/>
  <c r="O118" i="24"/>
  <c r="B162" i="24"/>
  <c r="D11" i="16" s="1"/>
  <c r="E11" i="16"/>
  <c r="V118" i="24"/>
  <c r="X7" i="19" s="1"/>
  <c r="R118" i="24"/>
  <c r="T7" i="19" s="1"/>
  <c r="L118" i="24"/>
  <c r="N7" i="19" s="1"/>
  <c r="J118" i="24"/>
  <c r="W118" i="24"/>
  <c r="Y7" i="19" s="1"/>
  <c r="Z99" i="24"/>
  <c r="Y99" i="24"/>
  <c r="AC99" i="24"/>
  <c r="AA99" i="24"/>
  <c r="AB99" i="24"/>
  <c r="M118" i="24"/>
  <c r="O7" i="19" s="1"/>
  <c r="S120" i="24"/>
  <c r="X76" i="24"/>
  <c r="X77" i="24" s="1"/>
  <c r="W76" i="24"/>
  <c r="W77" i="24" s="1"/>
  <c r="J126" i="24"/>
  <c r="J127" i="24" s="1"/>
  <c r="Y76" i="24"/>
  <c r="Y77" i="24" s="1"/>
  <c r="R126" i="24"/>
  <c r="R127" i="24" s="1"/>
  <c r="L76" i="24"/>
  <c r="L77" i="24" s="1"/>
  <c r="M120" i="24" s="1"/>
  <c r="M121" i="24" s="1"/>
  <c r="Z76" i="24"/>
  <c r="Z77" i="24" s="1"/>
  <c r="V76" i="24"/>
  <c r="V77" i="24" s="1"/>
  <c r="O76" i="24"/>
  <c r="O77" i="24" s="1"/>
  <c r="B159" i="24"/>
  <c r="D9" i="16" s="1"/>
  <c r="C76" i="24"/>
  <c r="C77" i="24" s="1"/>
  <c r="T76" i="24"/>
  <c r="T77" i="24" s="1"/>
  <c r="AD76" i="24"/>
  <c r="AD77" i="24" s="1"/>
  <c r="I76" i="24"/>
  <c r="I77" i="24" s="1"/>
  <c r="U76" i="24"/>
  <c r="U77" i="24" s="1"/>
  <c r="Q76" i="24"/>
  <c r="Q77" i="24" s="1"/>
  <c r="R120" i="24" s="1"/>
  <c r="AB76" i="24"/>
  <c r="AB77" i="24" s="1"/>
  <c r="J76" i="24"/>
  <c r="J77" i="24" s="1"/>
  <c r="K120" i="24" s="1"/>
  <c r="K121" i="24" s="1"/>
  <c r="M76" i="24"/>
  <c r="M77" i="24" s="1"/>
  <c r="K76" i="24"/>
  <c r="K77" i="24" s="1"/>
  <c r="L120" i="24" s="1"/>
  <c r="L121" i="24" s="1"/>
  <c r="AC76" i="24"/>
  <c r="AC77" i="24" s="1"/>
  <c r="H77" i="24"/>
  <c r="I120" i="24" s="1"/>
  <c r="I121" i="24" s="1"/>
  <c r="S76" i="24"/>
  <c r="S77" i="24" s="1"/>
  <c r="N76" i="24"/>
  <c r="N77" i="24" s="1"/>
  <c r="P76" i="24"/>
  <c r="P77" i="24" s="1"/>
  <c r="Q120" i="24" s="1"/>
  <c r="Q121" i="24" s="1"/>
  <c r="AA76" i="24"/>
  <c r="AA77" i="24" s="1"/>
  <c r="H131" i="24"/>
  <c r="R7" i="19"/>
  <c r="G131" i="24"/>
  <c r="R135" i="24"/>
  <c r="T18" i="19" s="1"/>
  <c r="Y127" i="24"/>
  <c r="V7" i="19"/>
  <c r="G135" i="24"/>
  <c r="I18" i="19" s="1"/>
  <c r="I131" i="24"/>
  <c r="J131" i="24"/>
  <c r="AA7" i="19"/>
  <c r="F131" i="24"/>
  <c r="P131" i="24"/>
  <c r="I7" i="19"/>
  <c r="W7" i="19"/>
  <c r="M135" i="24"/>
  <c r="O18" i="19" s="1"/>
  <c r="Y135" i="24"/>
  <c r="AA18" i="19" s="1"/>
  <c r="G7" i="19"/>
  <c r="V127" i="24"/>
  <c r="S127" i="24"/>
  <c r="I127" i="24"/>
  <c r="X135" i="24"/>
  <c r="Z18" i="19" s="1"/>
  <c r="S131" i="24"/>
  <c r="N127" i="24"/>
  <c r="P7" i="19"/>
  <c r="L127" i="24"/>
  <c r="K127" i="24"/>
  <c r="I135" i="24"/>
  <c r="K18" i="19" s="1"/>
  <c r="P135" i="24"/>
  <c r="R18" i="19" s="1"/>
  <c r="H127" i="24"/>
  <c r="Q131" i="24"/>
  <c r="K131" i="24"/>
  <c r="U7" i="19"/>
  <c r="V135" i="24"/>
  <c r="X18" i="19" s="1"/>
  <c r="F127" i="24"/>
  <c r="E135" i="24"/>
  <c r="G18" i="19" s="1"/>
  <c r="N131" i="24"/>
  <c r="T135" i="24"/>
  <c r="V18" i="19" s="1"/>
  <c r="L135" i="24"/>
  <c r="N18" i="19" s="1"/>
  <c r="S135" i="24"/>
  <c r="U18" i="19" s="1"/>
  <c r="H135" i="24"/>
  <c r="J18" i="19" s="1"/>
  <c r="E127" i="24"/>
  <c r="W127" i="24"/>
  <c r="M7" i="19"/>
  <c r="N135" i="24"/>
  <c r="P18" i="19" s="1"/>
  <c r="Y131" i="24"/>
  <c r="Z7" i="19"/>
  <c r="E131" i="24"/>
  <c r="O135" i="24"/>
  <c r="Q18" i="19" s="1"/>
  <c r="H7" i="19"/>
  <c r="J7" i="19"/>
  <c r="Q127" i="24"/>
  <c r="X127" i="24"/>
  <c r="U127" i="24"/>
  <c r="K135" i="24"/>
  <c r="M18" i="19" s="1"/>
  <c r="U131" i="24"/>
  <c r="B165" i="24"/>
  <c r="D15" i="16" s="1"/>
  <c r="O131" i="24"/>
  <c r="L131" i="24"/>
  <c r="R131" i="24"/>
  <c r="L7" i="19"/>
  <c r="T127" i="24"/>
  <c r="Q135" i="24"/>
  <c r="S18" i="19" s="1"/>
  <c r="P127" i="24"/>
  <c r="S7" i="19"/>
  <c r="O127" i="24"/>
  <c r="F135" i="24"/>
  <c r="H18" i="19" s="1"/>
  <c r="X131" i="24"/>
  <c r="W131" i="24"/>
  <c r="Q7" i="19"/>
  <c r="M131" i="24"/>
  <c r="T131" i="24"/>
  <c r="W135" i="24"/>
  <c r="Y18" i="19" s="1"/>
  <c r="G127" i="24"/>
  <c r="U135" i="24"/>
  <c r="W18" i="19" s="1"/>
  <c r="M127" i="24"/>
  <c r="V131" i="24"/>
  <c r="C133" i="24"/>
  <c r="C134" i="24" s="1"/>
  <c r="D135" i="24"/>
  <c r="F18" i="19" s="1"/>
  <c r="C118" i="24"/>
  <c r="C125" i="24"/>
  <c r="C126" i="24" s="1"/>
  <c r="D127" i="24"/>
  <c r="D131" i="24"/>
  <c r="C129" i="24"/>
  <c r="C130" i="24" s="1"/>
  <c r="D46" i="14"/>
  <c r="Y159" i="24" l="1"/>
  <c r="AA9" i="16" s="1"/>
  <c r="Y162" i="24"/>
  <c r="AA11" i="16" s="1"/>
  <c r="Y165" i="24"/>
  <c r="AA15" i="16" s="1"/>
  <c r="AA143" i="24"/>
  <c r="Z156" i="24" s="1"/>
  <c r="Z125" i="24"/>
  <c r="Z126" i="24" s="1"/>
  <c r="Z127" i="24" s="1"/>
  <c r="Z133" i="24"/>
  <c r="Z134" i="24" s="1"/>
  <c r="Z135" i="24" s="1"/>
  <c r="AB18" i="19" s="1"/>
  <c r="Z129" i="24"/>
  <c r="Z130" i="24" s="1"/>
  <c r="Z131" i="24" s="1"/>
  <c r="Z117" i="24"/>
  <c r="Z118" i="24" s="1"/>
  <c r="AB7" i="19" s="1"/>
  <c r="R121" i="24"/>
  <c r="R122" i="24" s="1"/>
  <c r="T8" i="19" s="1"/>
  <c r="S121" i="24"/>
  <c r="S122" i="24" s="1"/>
  <c r="U8" i="19" s="1"/>
  <c r="T156" i="24"/>
  <c r="T120" i="24"/>
  <c r="T121" i="24" s="1"/>
  <c r="T122" i="24" s="1"/>
  <c r="V8" i="19" s="1"/>
  <c r="V156" i="24"/>
  <c r="V120" i="24"/>
  <c r="V121" i="24" s="1"/>
  <c r="V122" i="24" s="1"/>
  <c r="X8" i="19" s="1"/>
  <c r="W156" i="24"/>
  <c r="W120" i="24"/>
  <c r="W121" i="24" s="1"/>
  <c r="X156" i="24"/>
  <c r="X120" i="24"/>
  <c r="Y156" i="24"/>
  <c r="Y120" i="24"/>
  <c r="Y121" i="24" s="1"/>
  <c r="Y122" i="24" s="1"/>
  <c r="AA8" i="19" s="1"/>
  <c r="Z120" i="24"/>
  <c r="Z121" i="24" s="1"/>
  <c r="Z122" i="24" s="1"/>
  <c r="AB8" i="19" s="1"/>
  <c r="U156" i="24"/>
  <c r="U120" i="24"/>
  <c r="D156" i="24"/>
  <c r="C156" i="24" s="1"/>
  <c r="B156" i="24" s="1"/>
  <c r="D120" i="24"/>
  <c r="D121" i="24" s="1"/>
  <c r="N156" i="24"/>
  <c r="N120" i="24"/>
  <c r="O156" i="24"/>
  <c r="O120" i="24"/>
  <c r="P156" i="24"/>
  <c r="P120" i="24"/>
  <c r="I156" i="24"/>
  <c r="J156" i="24"/>
  <c r="J120" i="24"/>
  <c r="G14" i="14"/>
  <c r="F14" i="14"/>
  <c r="D76" i="24"/>
  <c r="D77" i="24" s="1"/>
  <c r="E120" i="24" s="1"/>
  <c r="E121" i="24" s="1"/>
  <c r="M156" i="24"/>
  <c r="K156" i="24"/>
  <c r="Q156" i="24"/>
  <c r="R156" i="24"/>
  <c r="L156" i="24"/>
  <c r="C127" i="24"/>
  <c r="B125" i="24"/>
  <c r="B126" i="24" s="1"/>
  <c r="E7" i="19"/>
  <c r="B118" i="24"/>
  <c r="C131" i="24"/>
  <c r="B129" i="24"/>
  <c r="B130" i="24" s="1"/>
  <c r="B133" i="24"/>
  <c r="B134" i="24" s="1"/>
  <c r="C135" i="24"/>
  <c r="E18" i="19" s="1"/>
  <c r="A30" i="17"/>
  <c r="Z159" i="24" l="1"/>
  <c r="AB9" i="16" s="1"/>
  <c r="Z165" i="24"/>
  <c r="AB15" i="16" s="1"/>
  <c r="Z162" i="24"/>
  <c r="AB11" i="16" s="1"/>
  <c r="AB143" i="24"/>
  <c r="AA129" i="24"/>
  <c r="AA130" i="24" s="1"/>
  <c r="AA131" i="24" s="1"/>
  <c r="AA125" i="24"/>
  <c r="AA126" i="24" s="1"/>
  <c r="AA127" i="24" s="1"/>
  <c r="AA133" i="24"/>
  <c r="AA134" i="24" s="1"/>
  <c r="AA135" i="24" s="1"/>
  <c r="AC18" i="19" s="1"/>
  <c r="AA117" i="24"/>
  <c r="AA118" i="24" s="1"/>
  <c r="AC7" i="19" s="1"/>
  <c r="AA120" i="24"/>
  <c r="AA121" i="24" s="1"/>
  <c r="AA122" i="24" s="1"/>
  <c r="AC8" i="19" s="1"/>
  <c r="O121" i="24"/>
  <c r="O122" i="24" s="1"/>
  <c r="Q8" i="19" s="1"/>
  <c r="U121" i="24"/>
  <c r="U122" i="24" s="1"/>
  <c r="W8" i="19" s="1"/>
  <c r="X121" i="24"/>
  <c r="X122" i="24" s="1"/>
  <c r="Z8" i="19" s="1"/>
  <c r="N121" i="24"/>
  <c r="N122" i="24" s="1"/>
  <c r="P8" i="19" s="1"/>
  <c r="P121" i="24"/>
  <c r="P122" i="24" s="1"/>
  <c r="R8" i="19" s="1"/>
  <c r="J121" i="24"/>
  <c r="J122" i="24" s="1"/>
  <c r="L8" i="19" s="1"/>
  <c r="E76" i="24"/>
  <c r="F76" i="24" s="1"/>
  <c r="M122" i="24"/>
  <c r="O8" i="19" s="1"/>
  <c r="W122" i="24"/>
  <c r="Y8" i="19" s="1"/>
  <c r="Q122" i="24"/>
  <c r="S8" i="19" s="1"/>
  <c r="L122" i="24"/>
  <c r="N8" i="19" s="1"/>
  <c r="K122" i="24"/>
  <c r="M8" i="19" s="1"/>
  <c r="I122" i="24"/>
  <c r="K8" i="19" s="1"/>
  <c r="D122" i="24"/>
  <c r="F8" i="19" s="1"/>
  <c r="C120" i="24"/>
  <c r="C121" i="24" s="1"/>
  <c r="D7" i="19"/>
  <c r="B127" i="24"/>
  <c r="B135" i="24"/>
  <c r="D18" i="19" s="1"/>
  <c r="B131" i="24"/>
  <c r="E156" i="24"/>
  <c r="D14" i="14"/>
  <c r="G11" i="12"/>
  <c r="H11" i="12"/>
  <c r="I11" i="12"/>
  <c r="F11" i="12"/>
  <c r="N10" i="12"/>
  <c r="M10" i="12"/>
  <c r="L10" i="12"/>
  <c r="AA165" i="24" l="1"/>
  <c r="AC15" i="16" s="1"/>
  <c r="AA159" i="24"/>
  <c r="AC9" i="16" s="1"/>
  <c r="AA162" i="24"/>
  <c r="AC11" i="16" s="1"/>
  <c r="AA156" i="24"/>
  <c r="AC143" i="24"/>
  <c r="AB117" i="24"/>
  <c r="AB118" i="24" s="1"/>
  <c r="AD7" i="19" s="1"/>
  <c r="AB125" i="24"/>
  <c r="AB126" i="24" s="1"/>
  <c r="AB127" i="24" s="1"/>
  <c r="AB133" i="24"/>
  <c r="AB134" i="24" s="1"/>
  <c r="AB135" i="24" s="1"/>
  <c r="AD18" i="19" s="1"/>
  <c r="AB129" i="24"/>
  <c r="AB130" i="24" s="1"/>
  <c r="AB131" i="24" s="1"/>
  <c r="AB120" i="24"/>
  <c r="AB121" i="24" s="1"/>
  <c r="AB122" i="24" s="1"/>
  <c r="AD8" i="19" s="1"/>
  <c r="E77" i="24"/>
  <c r="F120" i="24" s="1"/>
  <c r="F121" i="24" s="1"/>
  <c r="C122" i="24"/>
  <c r="E8" i="19" s="1"/>
  <c r="B120" i="24"/>
  <c r="B121" i="24" s="1"/>
  <c r="E122" i="24"/>
  <c r="G8" i="19" s="1"/>
  <c r="F77" i="24"/>
  <c r="G120" i="24" s="1"/>
  <c r="G121" i="24" s="1"/>
  <c r="G76" i="24"/>
  <c r="G77" i="24" s="1"/>
  <c r="H120" i="24" s="1"/>
  <c r="H121" i="24" s="1"/>
  <c r="M11" i="12"/>
  <c r="L11" i="12"/>
  <c r="AB165" i="24" l="1"/>
  <c r="AD15" i="16" s="1"/>
  <c r="AB162" i="24"/>
  <c r="AD11" i="16" s="1"/>
  <c r="AB159" i="24"/>
  <c r="AD9" i="16" s="1"/>
  <c r="AB156" i="24"/>
  <c r="AD143" i="24"/>
  <c r="AC129" i="24"/>
  <c r="AC130" i="24" s="1"/>
  <c r="AC131" i="24" s="1"/>
  <c r="AC125" i="24"/>
  <c r="AC126" i="24" s="1"/>
  <c r="AC127" i="24" s="1"/>
  <c r="AC133" i="24"/>
  <c r="AC134" i="24" s="1"/>
  <c r="AC135" i="24" s="1"/>
  <c r="AE18" i="19" s="1"/>
  <c r="AC117" i="24"/>
  <c r="AC118" i="24" s="1"/>
  <c r="AE7" i="19" s="1"/>
  <c r="AC120" i="24"/>
  <c r="AC121" i="24" s="1"/>
  <c r="AC122" i="24" s="1"/>
  <c r="AE8" i="19" s="1"/>
  <c r="F156" i="24"/>
  <c r="B122" i="24"/>
  <c r="D8" i="19" s="1"/>
  <c r="F122" i="24"/>
  <c r="H8" i="19" s="1"/>
  <c r="H156" i="24"/>
  <c r="G156" i="24"/>
  <c r="B16" i="16"/>
  <c r="B17" i="16"/>
  <c r="AC165" i="24" l="1"/>
  <c r="AE15" i="16" s="1"/>
  <c r="AC162" i="24"/>
  <c r="AE11" i="16" s="1"/>
  <c r="AC159" i="24"/>
  <c r="AE9" i="16" s="1"/>
  <c r="AC156" i="24"/>
  <c r="G122" i="24"/>
  <c r="I8" i="19" s="1"/>
  <c r="H122"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 r="D70" i="24" l="1"/>
  <c r="E70" i="24" s="1"/>
  <c r="F70" i="24" s="1"/>
  <c r="G70" i="24" s="1"/>
</calcChain>
</file>

<file path=xl/sharedStrings.xml><?xml version="1.0" encoding="utf-8"?>
<sst xmlns="http://schemas.openxmlformats.org/spreadsheetml/2006/main" count="3458" uniqueCount="1079">
  <si>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</si>
  <si>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</si>
  <si>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</si>
  <si>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</si>
  <si>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</si>
  <si>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</si>
  <si>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</si>
  <si>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</si>
  <si>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</si>
  <si>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</si>
  <si>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</si>
  <si>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</si>
  <si>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</si>
  <si>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</si>
  <si>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</si>
  <si>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</si>
  <si>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</si>
  <si>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</si>
  <si>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</si>
  <si>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</si>
  <si>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</si>
  <si>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</si>
  <si>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</si>
  <si>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</si>
  <si>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</si>
  <si>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</si>
  <si>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</si>
  <si>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</si>
  <si>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</si>
  <si>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</si>
  <si>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</si>
  <si>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</si>
  <si>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</si>
  <si>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</si>
  <si>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</si>
  <si>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</si>
  <si>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</si>
  <si>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</si>
  <si>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</si>
  <si>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</si>
  <si>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</si>
  <si>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</si>
  <si>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</si>
  <si>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</si>
  <si>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</si>
  <si>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</si>
  <si>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</si>
  <si>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</si>
  <si>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</si>
  <si>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</si>
  <si>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</si>
  <si>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</si>
  <si>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</si>
  <si>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</si>
  <si>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</si>
  <si>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</si>
  <si>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</si>
  <si>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</si>
  <si>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</si>
  <si>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</si>
  <si>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</si>
  <si>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</si>
  <si>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</si>
  <si>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</si>
  <si>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</si>
  <si>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</si>
  <si>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</si>
  <si>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</si>
  <si>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</si>
  <si>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</si>
  <si>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</si>
  <si>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</si>
  <si>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</si>
  <si>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</si>
  <si>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</si>
  <si>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</si>
  <si>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</si>
  <si>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</si>
  <si>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</si>
  <si>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</si>
  <si>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</si>
  <si>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</si>
  <si>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</si>
  <si>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</si>
  <si>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</si>
  <si>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</si>
  <si>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</si>
  <si>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</si>
  <si>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</si>
  <si>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</si>
  <si>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</si>
  <si>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</si>
  <si>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</si>
  <si>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</si>
  <si>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</si>
  <si>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</si>
  <si>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</si>
  <si>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</si>
  <si>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</si>
  <si>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</si>
  <si>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</si>
  <si>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</si>
  <si>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</si>
  <si>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</si>
  <si>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</si>
  <si>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</si>
  <si>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</si>
  <si>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</si>
  <si>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</si>
  <si>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</si>
  <si>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</si>
  <si>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</si>
  <si>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</si>
  <si>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</si>
  <si>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</si>
  <si>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</si>
  <si>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</si>
  <si>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</si>
  <si>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</si>
  <si>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</si>
  <si>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</si>
  <si>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</si>
  <si>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</si>
  <si>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</si>
  <si>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</si>
  <si>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</si>
  <si>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</si>
  <si>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</si>
  <si>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</si>
  <si>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</si>
  <si>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</si>
  <si>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</si>
  <si>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</si>
  <si>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</si>
  <si>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</si>
  <si>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</si>
  <si>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</si>
  <si>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</si>
  <si>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</si>
  <si>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</si>
  <si>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</si>
  <si>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</si>
  <si>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</si>
  <si>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</si>
  <si>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</si>
  <si>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</si>
  <si>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</si>
  <si>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</si>
  <si>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</si>
  <si>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</si>
  <si>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</si>
  <si>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</si>
  <si>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</si>
  <si>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</si>
  <si>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</si>
  <si>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</si>
  <si>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</si>
  <si>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</si>
  <si>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</si>
  <si>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</si>
  <si>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</si>
  <si>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</si>
  <si>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</si>
  <si>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</si>
  <si>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</si>
  <si>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</si>
  <si>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</si>
  <si>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</si>
  <si>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</si>
  <si>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</si>
  <si>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</si>
  <si>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</si>
  <si>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</si>
  <si>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</si>
  <si>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</si>
  <si>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</si>
  <si>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</si>
  <si>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</si>
  <si>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</si>
  <si>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</si>
  <si>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</si>
  <si>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</si>
  <si>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</si>
  <si>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</si>
  <si>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</si>
  <si>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</si>
  <si>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</si>
  <si>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</si>
  <si>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</si>
  <si>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</si>
  <si>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</si>
  <si>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</si>
  <si>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</si>
  <si>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</si>
  <si>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</si>
  <si>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</si>
  <si>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</si>
  <si>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</si>
  <si>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</si>
  <si>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</si>
  <si>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</si>
  <si>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</si>
  <si>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</si>
  <si>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</si>
  <si>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</si>
  <si>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</si>
  <si>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</si>
  <si>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</si>
  <si>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</si>
  <si>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</si>
  <si>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</si>
  <si>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</si>
  <si>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</si>
  <si>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</si>
  <si>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</si>
  <si>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</si>
  <si>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</si>
  <si>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</si>
  <si>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</si>
  <si>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</si>
  <si>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</si>
  <si>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</si>
  <si>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</si>
  <si>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</si>
  <si>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</si>
  <si>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</si>
  <si>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</si>
  <si>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</si>
  <si>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</si>
  <si>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</si>
  <si>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</si>
  <si>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</si>
  <si>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</si>
  <si>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</si>
  <si>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</si>
  <si>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</si>
  <si>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</si>
  <si>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</si>
  <si>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</si>
  <si>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</si>
  <si>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</si>
  <si>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</si>
  <si>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</si>
  <si>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</si>
  <si>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</si>
  <si>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</si>
  <si>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</si>
  <si>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</si>
  <si>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</si>
  <si>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</si>
  <si>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</si>
  <si>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</si>
  <si>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</si>
  <si>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</si>
  <si>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</si>
  <si>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</si>
  <si>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</si>
  <si>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</si>
  <si>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</si>
  <si>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</si>
  <si>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</si>
  <si>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</si>
  <si>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</si>
  <si>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</si>
  <si>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</si>
  <si>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</si>
  <si>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</si>
  <si>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</si>
  <si>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</si>
  <si>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</si>
  <si>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</si>
  <si>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</si>
  <si>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</si>
  <si>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</si>
  <si>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</si>
  <si>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</si>
  <si>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</si>
  <si>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</si>
  <si>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</si>
  <si>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</si>
  <si>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</si>
  <si>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</si>
  <si>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</si>
  <si>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</si>
  <si>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</si>
  <si>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</si>
  <si>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</si>
  <si>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</si>
  <si>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</si>
  <si>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</si>
  <si>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</si>
  <si>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</si>
  <si>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</si>
  <si>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</si>
  <si>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</si>
  <si>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</si>
  <si>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</si>
  <si>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</si>
  <si>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</si>
  <si>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</si>
  <si>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</si>
  <si>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</si>
  <si>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</si>
  <si>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</si>
  <si>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</si>
  <si>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</si>
  <si>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</si>
  <si>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</si>
  <si>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</si>
  <si>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</si>
  <si>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</si>
  <si>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</si>
  <si>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</si>
  <si>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</si>
  <si>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</si>
  <si>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</si>
  <si>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</si>
  <si>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</si>
  <si>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</si>
  <si>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</si>
  <si>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</si>
  <si>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</si>
  <si>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</si>
  <si>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</si>
  <si>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</si>
  <si>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</si>
  <si>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</si>
  <si>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</si>
  <si>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</si>
  <si>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</si>
  <si>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</si>
  <si>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</si>
  <si>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</si>
  <si>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</si>
  <si>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</si>
  <si>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</si>
  <si>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</si>
  <si>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</si>
  <si>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</si>
  <si>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</si>
  <si>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</si>
  <si>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</si>
  <si>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</si>
  <si>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</si>
  <si>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</si>
  <si>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</si>
  <si>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</si>
  <si>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</si>
  <si>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</si>
  <si>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</si>
  <si>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</si>
  <si>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</si>
  <si>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</si>
  <si>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</si>
  <si>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</si>
  <si>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</si>
  <si>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</si>
  <si>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</si>
  <si>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</si>
  <si>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</si>
  <si>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</si>
  <si>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</si>
  <si>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</si>
  <si>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</si>
  <si>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</si>
  <si>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</si>
  <si>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</si>
  <si>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</si>
  <si>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</si>
  <si>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</si>
  <si>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</si>
  <si>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</si>
  <si>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</si>
  <si>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</si>
  <si>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</si>
  <si>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</si>
  <si>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</si>
  <si>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</si>
  <si>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</si>
  <si>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</si>
  <si>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</si>
  <si>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</si>
  <si>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</si>
  <si>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</si>
  <si>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</si>
  <si>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</si>
  <si>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</si>
  <si>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</si>
  <si>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</si>
  <si>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</si>
  <si>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</si>
  <si>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</si>
  <si>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</si>
  <si>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</si>
  <si>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</si>
  <si>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</si>
  <si>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</si>
  <si>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</si>
  <si>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</si>
  <si>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</si>
  <si>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</si>
  <si>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</si>
  <si>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</si>
  <si>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</si>
  <si>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</si>
  <si>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</si>
  <si>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</si>
  <si>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</si>
  <si>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</si>
  <si>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</si>
  <si>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</si>
  <si>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</si>
  <si>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</si>
  <si>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</si>
  <si>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</si>
  <si>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</si>
  <si>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</si>
  <si>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</si>
  <si>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</si>
  <si>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</si>
  <si>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</si>
  <si>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</si>
  <si>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</si>
  <si>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</si>
  <si>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</si>
  <si>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</si>
  <si>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</si>
  <si>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</si>
  <si>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</si>
  <si>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</si>
  <si>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</si>
  <si>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</si>
  <si>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</si>
  <si>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</si>
  <si>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</si>
  <si>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</si>
  <si>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</si>
  <si>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</si>
  <si>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</si>
  <si>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</si>
  <si>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</si>
  <si>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</si>
  <si>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</si>
  <si>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</si>
  <si>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</si>
  <si>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</si>
  <si>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</si>
  <si>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</si>
  <si>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</si>
  <si>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</si>
  <si>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</si>
  <si>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</si>
  <si>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</si>
  <si>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</si>
  <si>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</si>
  <si>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</si>
  <si>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</si>
  <si>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</si>
  <si>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</si>
  <si>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</si>
  <si>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</si>
  <si>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</si>
  <si>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</si>
  <si>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</si>
  <si>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</si>
  <si>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</si>
  <si>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</si>
  <si>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</si>
  <si>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</si>
  <si>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</si>
  <si>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</si>
  <si>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</si>
  <si>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</si>
  <si>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</si>
  <si>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</si>
  <si>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</si>
  <si>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</si>
  <si>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</si>
  <si>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</si>
  <si>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</si>
  <si>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</si>
  <si>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</si>
  <si>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</si>
  <si>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</si>
  <si>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</si>
  <si>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</si>
  <si>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</si>
  <si>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</si>
  <si>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</si>
  <si>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</si>
  <si>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</si>
  <si>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</si>
  <si>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</si>
  <si>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</si>
  <si>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</si>
  <si>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</si>
  <si>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</si>
  <si>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</si>
  <si>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</si>
  <si>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</si>
  <si>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</si>
  <si>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</si>
  <si>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</si>
  <si>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</si>
  <si>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</si>
  <si>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</si>
  <si>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</si>
  <si>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</si>
  <si>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</si>
  <si>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</si>
  <si>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</si>
  <si>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</si>
  <si>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</si>
  <si>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</si>
  <si>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</si>
  <si>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</si>
  <si>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</si>
  <si>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</si>
  <si>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</si>
  <si>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</si>
  <si>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</si>
  <si>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</si>
  <si>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</si>
  <si>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</si>
  <si>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</si>
  <si>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</si>
  <si>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</si>
  <si>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</si>
  <si>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</si>
  <si>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</si>
  <si>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</si>
  <si>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</si>
  <si>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</si>
  <si>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</si>
  <si>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</si>
  <si>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</si>
  <si>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</si>
  <si>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</si>
  <si>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</si>
  <si>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</si>
  <si>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</si>
  <si>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</si>
  <si>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</si>
  <si>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</si>
  <si>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</si>
  <si>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</si>
  <si>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</si>
  <si>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</si>
  <si>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</si>
  <si>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</si>
  <si>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</si>
  <si>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</si>
  <si>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</si>
  <si>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</si>
  <si>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</si>
  <si>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</si>
  <si>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</si>
  <si>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</si>
  <si>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</si>
  <si>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</si>
  <si>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</si>
  <si>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</si>
  <si>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</si>
  <si>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</si>
  <si>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</si>
  <si>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</si>
  <si>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</si>
  <si>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</si>
  <si>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</si>
  <si>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</si>
  <si>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</si>
  <si>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</si>
  <si>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</si>
  <si>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</si>
  <si>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</si>
  <si>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</si>
  <si>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</si>
  <si>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</si>
  <si>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</si>
  <si>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</si>
  <si>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</si>
  <si>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</si>
  <si>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</si>
  <si>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</si>
  <si>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</si>
  <si>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</si>
  <si>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</si>
  <si>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</si>
  <si>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</si>
  <si>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</si>
  <si>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</si>
  <si>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</si>
  <si>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</si>
  <si>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</si>
  <si>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</si>
  <si>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</si>
  <si>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</si>
  <si>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</si>
  <si>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</si>
  <si>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</si>
  <si>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</si>
  <si>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</si>
  <si>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</si>
  <si>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</si>
  <si>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</si>
  <si>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</si>
  <si>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</si>
  <si>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</si>
  <si>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</si>
  <si>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</si>
  <si>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</si>
  <si>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</si>
  <si>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</si>
  <si>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</si>
  <si>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</si>
  <si>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</si>
  <si>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</si>
  <si>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</si>
  <si>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</si>
  <si>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</si>
  <si>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</si>
  <si>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</si>
  <si>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</si>
  <si>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</si>
  <si>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</si>
  <si>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</si>
  <si>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</si>
  <si>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</si>
  <si>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</si>
  <si>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</si>
  <si>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</si>
  <si>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</si>
  <si>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</si>
  <si>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</si>
  <si>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</si>
  <si>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</si>
  <si>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</si>
  <si>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</si>
  <si>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</si>
  <si>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</si>
  <si>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</si>
  <si>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</si>
  <si>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</si>
  <si>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</si>
  <si>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</si>
  <si>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</si>
  <si>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</si>
  <si>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</si>
  <si>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</si>
  <si>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</si>
  <si>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</si>
  <si>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</si>
  <si>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</si>
  <si>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</si>
  <si>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</si>
  <si>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</si>
  <si>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</si>
  <si>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</si>
  <si>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</si>
  <si>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</si>
  <si>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</si>
  <si>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</si>
  <si>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</si>
  <si>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</si>
  <si>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</si>
  <si>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</si>
  <si>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</si>
  <si>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</si>
  <si>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</si>
  <si>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</si>
  <si>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</si>
  <si>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</si>
  <si>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</si>
  <si>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</si>
  <si>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</si>
  <si>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</si>
  <si>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</si>
  <si>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</si>
  <si>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</si>
  <si>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</si>
  <si>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</si>
  <si>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</si>
  <si>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</si>
  <si>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</si>
  <si>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</si>
  <si>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</si>
  <si>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</si>
  <si>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</si>
  <si>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</si>
  <si>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</si>
  <si>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</si>
  <si>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</si>
  <si>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</si>
  <si>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</si>
  <si>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</si>
  <si>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</si>
  <si>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</si>
  <si>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</si>
  <si>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</si>
  <si>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</si>
  <si>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</si>
  <si>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</si>
  <si>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</si>
  <si>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</si>
  <si>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</si>
  <si>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</si>
  <si>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</si>
  <si>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</si>
  <si>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</si>
  <si>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</si>
  <si>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</si>
  <si>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</si>
  <si>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</si>
  <si>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</si>
  <si>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</si>
  <si>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</si>
  <si>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</si>
  <si>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</si>
  <si>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</si>
  <si>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</si>
  <si>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</si>
  <si>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</si>
  <si>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</si>
  <si>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</si>
  <si>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</si>
  <si>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</si>
  <si>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</si>
  <si>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</si>
  <si>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</si>
  <si>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</si>
  <si>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</si>
  <si>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</si>
  <si>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</si>
  <si>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</si>
  <si>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</si>
  <si>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</si>
  <si>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</si>
  <si>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</si>
  <si>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</si>
  <si>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</si>
  <si>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</si>
  <si>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</si>
  <si>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</si>
  <si>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</si>
  <si>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</si>
  <si>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</si>
  <si>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</si>
  <si>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</si>
  <si>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</si>
  <si>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</si>
  <si>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</si>
  <si>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</si>
  <si>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</si>
  <si>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</si>
  <si>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</si>
  <si>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</si>
  <si>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</si>
  <si>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</si>
  <si>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</si>
  <si>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</si>
  <si>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</si>
  <si>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</si>
  <si>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</si>
  <si>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</si>
  <si>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</si>
  <si>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</si>
  <si>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</si>
  <si>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</si>
  <si>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</si>
  <si>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</si>
  <si>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</si>
  <si>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</si>
  <si>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</si>
  <si>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</si>
  <si>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</si>
  <si>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</si>
  <si>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</si>
  <si>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</si>
  <si>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</si>
  <si>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</si>
  <si>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</si>
  <si>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</si>
  <si>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</si>
  <si>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</si>
  <si>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</si>
  <si>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</si>
  <si>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</si>
  <si>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</si>
  <si>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</si>
  <si>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</si>
  <si>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</si>
  <si>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</si>
  <si>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</si>
  <si>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</si>
  <si>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</si>
  <si>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</si>
  <si>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</si>
  <si>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</si>
  <si>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</si>
  <si>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</si>
  <si>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</si>
  <si>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</si>
  <si>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</si>
  <si>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</si>
  <si>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</si>
  <si>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</si>
  <si>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</si>
  <si>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</si>
  <si>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</si>
  <si>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</si>
  <si>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</si>
  <si>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</si>
  <si>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</si>
  <si>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</si>
  <si>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</si>
  <si>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</si>
  <si>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</si>
  <si>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</si>
  <si>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</si>
  <si>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</si>
  <si>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</si>
  <si>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</si>
  <si>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</si>
  <si>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</si>
  <si>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</si>
  <si>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</si>
  <si>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</si>
  <si>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</si>
  <si>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</si>
  <si>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</si>
  <si>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</si>
  <si>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</si>
  <si>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</si>
  <si>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</si>
  <si>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</si>
  <si>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</si>
  <si>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</si>
  <si>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</si>
  <si>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</si>
  <si>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</si>
  <si>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</si>
  <si>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</si>
  <si>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</si>
  <si>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</si>
  <si>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</si>
  <si>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</si>
  <si>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</si>
  <si>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</si>
  <si>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</si>
  <si>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</si>
  <si>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</si>
  <si>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</si>
  <si>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</si>
  <si>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</si>
  <si>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</si>
  <si>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</si>
  <si>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</si>
  <si>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</si>
  <si>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</si>
  <si>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</si>
  <si>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</si>
  <si>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</si>
  <si>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</si>
  <si>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</si>
  <si>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</si>
  <si>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</si>
  <si>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</si>
  <si>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</si>
  <si>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</si>
  <si>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</si>
  <si>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</si>
  <si>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</si>
  <si>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</si>
  <si>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</si>
  <si>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</si>
  <si>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</si>
  <si>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</si>
  <si>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</si>
  <si>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</si>
  <si>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</si>
  <si>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</si>
  <si>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</si>
  <si>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</si>
  <si>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</si>
  <si>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</si>
  <si>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</si>
  <si>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</si>
  <si>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</si>
  <si>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</si>
  <si>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</si>
  <si>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</si>
  <si>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</si>
  <si>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</si>
  <si>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</si>
  <si>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</si>
  <si>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</si>
  <si>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</si>
  <si>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</si>
  <si>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</si>
  <si>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</si>
  <si>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</si>
  <si>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</si>
  <si>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</si>
  <si>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</si>
  <si>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</si>
  <si>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</si>
  <si>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</si>
  <si>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</si>
  <si>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</si>
  <si>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</si>
  <si>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</si>
  <si>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</si>
  <si>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</si>
  <si>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</si>
  <si>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</si>
  <si>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</si>
  <si>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</si>
  <si>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</si>
  <si>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</si>
  <si>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</si>
  <si>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</si>
  <si>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</si>
  <si>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</si>
  <si>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</si>
  <si>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</si>
  <si>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</si>
  <si>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</si>
  <si>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</si>
  <si>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</si>
  <si>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</si>
  <si>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</si>
  <si>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</si>
  <si>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</si>
  <si>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</si>
  <si>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</si>
  <si>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</si>
  <si>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</si>
  <si>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</si>
  <si>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</si>
  <si>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</si>
  <si>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</si>
  <si>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</si>
  <si>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</si>
  <si>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</si>
  <si>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</si>
  <si>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</si>
  <si>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</si>
  <si>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</si>
  <si>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</si>
  <si>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</si>
  <si>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</si>
  <si>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</si>
  <si>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</si>
  <si>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</si>
  <si>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</si>
  <si>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</si>
  <si>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</si>
  <si>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</si>
  <si>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</si>
  <si>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</si>
  <si>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</si>
  <si>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</si>
  <si>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</si>
  <si>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</si>
  <si>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</si>
  <si>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</si>
  <si>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</si>
  <si>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</si>
  <si>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</si>
  <si>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</si>
  <si>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</si>
  <si>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</si>
  <si>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</si>
  <si>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</si>
  <si>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</si>
  <si>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</si>
  <si>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</si>
  <si>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</si>
  <si>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</si>
  <si>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</si>
  <si>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</si>
  <si>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</si>
  <si>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</si>
  <si>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</si>
  <si>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</si>
  <si>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</si>
  <si>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</si>
  <si>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</si>
  <si>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</si>
  <si>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</si>
  <si>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</si>
  <si>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</si>
  <si>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</si>
  <si>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</si>
  <si>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</si>
  <si>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</si>
  <si>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</si>
  <si>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</si>
  <si>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</si>
  <si>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</si>
  <si>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</si>
  <si>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</si>
  <si>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</si>
  <si>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</si>
  <si>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</si>
  <si>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</si>
  <si>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</si>
  <si>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</si>
  <si>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</si>
  <si>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</si>
  <si>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</si>
  <si>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</si>
  <si>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</si>
  <si>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</si>
  <si>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</si>
  <si>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</si>
  <si>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</si>
  <si>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</si>
  <si>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</si>
  <si>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</si>
  <si>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</si>
  <si>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</si>
  <si>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</si>
  <si>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</si>
  <si>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</si>
  <si>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</si>
  <si>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</si>
  <si>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</si>
  <si>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</si>
  <si>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</si>
  <si>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</si>
  <si>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</si>
  <si>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</si>
  <si>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</si>
  <si>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</si>
  <si>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</si>
  <si>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</si>
  <si>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</si>
  <si>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</si>
  <si>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</si>
  <si>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</si>
  <si>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</si>
  <si>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</si>
  <si>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</si>
  <si>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</si>
  <si>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</si>
  <si>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</si>
  <si>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</si>
  <si>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</si>
  <si>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</si>
  <si>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</si>
  <si>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</si>
  <si>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</si>
  <si>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</si>
  <si>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</si>
  <si>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</si>
  <si>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</si>
  <si>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</si>
  <si>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</si>
  <si>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</si>
  <si>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</si>
  <si>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</si>
  <si>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</si>
  <si>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</si>
  <si>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Green hydrogen $ per kg (2022 $)</t>
  </si>
  <si>
    <t>Blue hydrogen $ per kg (2022 $)</t>
  </si>
  <si>
    <t>Assumed Production Share (see hydgn/BHPSbP)</t>
  </si>
  <si>
    <t>Production Share (dimensionless)</t>
  </si>
  <si>
    <t>electrolysis</t>
  </si>
  <si>
    <t>natural gas reforming</t>
  </si>
  <si>
    <t>coal gasification</t>
  </si>
  <si>
    <t>biomass gasification</t>
  </si>
  <si>
    <t>thermochemical water splitting</t>
  </si>
  <si>
    <t>electrolysis with guaranteed clean electricity</t>
  </si>
  <si>
    <t>natural gas reforming with CCS</t>
  </si>
  <si>
    <t>Assumed Credit</t>
  </si>
  <si>
    <t>Latest calibration year target passed: 2039</t>
  </si>
  <si>
    <t xml:space="preserve">We assume a two year delay since plants can qualify so long as the begin construction by a certain date. </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</si>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</sst>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1">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0" fontId="0" fillId="0" borderId="0" xfId="0" applyAlignment="1">
      <alignment horizontal="right"/>
    </xf>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40" fillId="17" borderId="0" xfId="0" applyFont="1" applyFill="1" applyAlignment="1">
      <alignment horizontal="center"/>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40" fillId="14" borderId="0" xfId="0" applyFont="1" applyFill="1" applyAlignment="1">
      <alignment horizontal="center" vertical="center" wrapText="1"/>
    </xf>
    <xf numFmtId="0" fontId="49" fillId="22" borderId="0" xfId="0" applyFont="1" applyFill="1" applyAlignment="1">
      <alignment horizontal="center" vertical="center" textRotation="90" wrapText="1"/>
    </xf>
    <xf numFmtId="0" fontId="40" fillId="14" borderId="67" xfId="0" applyFont="1" applyFill="1" applyBorder="1" applyAlignment="1">
      <alignment horizontal="center" vertical="center"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34" fillId="27" borderId="0" xfId="0" applyFont="1" applyFill="1" applyAlignment="1">
      <alignment horizontal="center" vertical="center" textRotation="90"/>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0" fillId="17" borderId="24" xfId="0" applyFont="1" applyFill="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31" fillId="0" borderId="126" xfId="0" applyFont="1" applyBorder="1"/>
    <xf numFmtId="0" fontId="31" fillId="0" borderId="78" xfId="0" applyFont="1" applyBorder="1"/>
    <xf numFmtId="0" fontId="31" fillId="0" borderId="79" xfId="0" applyFont="1" applyBorder="1"/>
    <xf numFmtId="0" fontId="2" fillId="0" borderId="77" xfId="1" applyFill="1" applyBorder="1" applyAlignment="1">
      <alignment horizontal="center"/>
    </xf>
    <xf numFmtId="0" fontId="2" fillId="0" borderId="78" xfId="1" applyFill="1" applyBorder="1" applyAlignment="1">
      <alignment horizontal="center"/>
    </xf>
    <xf numFmtId="0" fontId="34" fillId="0" borderId="136" xfId="0" applyFont="1" applyBorder="1" applyAlignment="1">
      <alignment horizontal="left" vertical="center"/>
    </xf>
    <xf numFmtId="0" fontId="2" fillId="0" borderId="77" xfId="1" applyFill="1" applyBorder="1" applyAlignment="1">
      <alignment horizontal="center" vertical="top"/>
    </xf>
    <xf numFmtId="0" fontId="2" fillId="0" borderId="78" xfId="1" applyFill="1" applyBorder="1" applyAlignment="1">
      <alignment horizontal="center" vertical="top"/>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135" xfId="0" applyFont="1" applyBorder="1" applyAlignment="1">
      <alignment horizontal="left" vertical="center"/>
    </xf>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31" fillId="0" borderId="77" xfId="0" applyFont="1" applyBorder="1"/>
    <xf numFmtId="0" fontId="2" fillId="0" borderId="77" xfId="1" applyBorder="1" applyAlignment="1">
      <alignment horizont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77" xfId="0" applyFont="1" applyBorder="1" applyAlignment="1">
      <alignment horizontal="center"/>
    </xf>
    <xf numFmtId="0" fontId="31" fillId="0" borderId="78" xfId="0" applyFont="1" applyBorder="1" applyAlignment="1">
      <alignment horizontal="center"/>
    </xf>
    <xf numFmtId="0" fontId="31" fillId="0" borderId="18" xfId="0" applyFont="1" applyBorder="1" applyAlignment="1">
      <alignment horizontal="left" vertic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19</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abSelected="1" workbookViewId="0">
      <selection activeCell="E6" sqref="E6"/>
    </sheetView>
  </sheetViews>
  <sheetFormatPr defaultColWidth="9.1796875" defaultRowHeight="14.75" x14ac:dyDescent="0.75"/>
  <cols>
    <col min="2" max="2" width="83.26953125" customWidth="1"/>
  </cols>
  <sheetData>
    <row r="1" spans="1:3" x14ac:dyDescent="0.75">
      <c r="A1" s="1" t="s">
        <v>184</v>
      </c>
      <c r="B1" t="s">
        <v>1078</v>
      </c>
      <c r="C1" s="350">
        <v>45371</v>
      </c>
    </row>
    <row r="2" spans="1:3" x14ac:dyDescent="0.75">
      <c r="A2" s="1" t="s">
        <v>183</v>
      </c>
    </row>
    <row r="3" spans="1:3" x14ac:dyDescent="0.75">
      <c r="A3" s="1" t="s">
        <v>310</v>
      </c>
    </row>
    <row r="5" spans="1:3" x14ac:dyDescent="0.75">
      <c r="A5" s="1" t="s">
        <v>0</v>
      </c>
      <c r="B5" s="27" t="s">
        <v>115</v>
      </c>
    </row>
    <row r="6" spans="1:3" x14ac:dyDescent="0.75">
      <c r="B6" t="s">
        <v>1</v>
      </c>
    </row>
    <row r="7" spans="1:3" x14ac:dyDescent="0.75">
      <c r="B7" s="2">
        <v>2014</v>
      </c>
    </row>
    <row r="8" spans="1:3" x14ac:dyDescent="0.75">
      <c r="B8" t="s">
        <v>2</v>
      </c>
    </row>
    <row r="9" spans="1:3" x14ac:dyDescent="0.75">
      <c r="B9" s="28" t="s">
        <v>3</v>
      </c>
    </row>
    <row r="10" spans="1:3" x14ac:dyDescent="0.75">
      <c r="B10" t="s">
        <v>4</v>
      </c>
    </row>
    <row r="12" spans="1:3" x14ac:dyDescent="0.75">
      <c r="B12" s="27" t="s">
        <v>256</v>
      </c>
    </row>
    <row r="13" spans="1:3" x14ac:dyDescent="0.75">
      <c r="B13" t="s">
        <v>288</v>
      </c>
    </row>
    <row r="14" spans="1:3" x14ac:dyDescent="0.75">
      <c r="B14" s="2">
        <v>2015</v>
      </c>
    </row>
    <row r="15" spans="1:3" x14ac:dyDescent="0.75">
      <c r="B15" t="s">
        <v>289</v>
      </c>
    </row>
    <row r="16" spans="1:3" x14ac:dyDescent="0.75">
      <c r="B16" s="28" t="s">
        <v>230</v>
      </c>
    </row>
    <row r="18" spans="2:2" x14ac:dyDescent="0.75">
      <c r="B18" s="27" t="s">
        <v>290</v>
      </c>
    </row>
    <row r="19" spans="2:2" x14ac:dyDescent="0.75">
      <c r="B19" t="s">
        <v>521</v>
      </c>
    </row>
    <row r="20" spans="2:2" x14ac:dyDescent="0.75">
      <c r="B20" s="2">
        <v>2020</v>
      </c>
    </row>
    <row r="21" spans="2:2" x14ac:dyDescent="0.75">
      <c r="B21" t="s">
        <v>520</v>
      </c>
    </row>
    <row r="22" spans="2:2" x14ac:dyDescent="0.75">
      <c r="B22" s="28" t="s">
        <v>519</v>
      </c>
    </row>
    <row r="24" spans="2:2" x14ac:dyDescent="0.75">
      <c r="B24" s="27" t="s">
        <v>291</v>
      </c>
    </row>
    <row r="25" spans="2:2" x14ac:dyDescent="0.75">
      <c r="B25" t="s">
        <v>292</v>
      </c>
    </row>
    <row r="26" spans="2:2" x14ac:dyDescent="0.75">
      <c r="B26" s="2">
        <v>2015</v>
      </c>
    </row>
    <row r="27" spans="2:2" x14ac:dyDescent="0.75">
      <c r="B27" t="s">
        <v>293</v>
      </c>
    </row>
    <row r="28" spans="2:2" x14ac:dyDescent="0.75">
      <c r="B28" s="28" t="s">
        <v>224</v>
      </c>
    </row>
    <row r="30" spans="2:2" x14ac:dyDescent="0.75">
      <c r="B30" s="27" t="s">
        <v>297</v>
      </c>
    </row>
    <row r="31" spans="2:2" x14ac:dyDescent="0.75">
      <c r="B31" t="s">
        <v>294</v>
      </c>
    </row>
    <row r="32" spans="2:2" x14ac:dyDescent="0.75">
      <c r="B32" s="2">
        <v>2015</v>
      </c>
    </row>
    <row r="33" spans="2:2" x14ac:dyDescent="0.75">
      <c r="B33" t="s">
        <v>295</v>
      </c>
    </row>
    <row r="34" spans="2:2" x14ac:dyDescent="0.75">
      <c r="B34" s="28" t="s">
        <v>235</v>
      </c>
    </row>
    <row r="35" spans="2:2" x14ac:dyDescent="0.75">
      <c r="B35" t="s">
        <v>296</v>
      </c>
    </row>
    <row r="37" spans="2:2" x14ac:dyDescent="0.75">
      <c r="B37" s="27" t="s">
        <v>167</v>
      </c>
    </row>
    <row r="38" spans="2:2" x14ac:dyDescent="0.75">
      <c r="B38" t="s">
        <v>168</v>
      </c>
    </row>
    <row r="39" spans="2:2" x14ac:dyDescent="0.75">
      <c r="B39" s="2" t="s">
        <v>637</v>
      </c>
    </row>
    <row r="40" spans="2:2" x14ac:dyDescent="0.75">
      <c r="B40" t="s">
        <v>638</v>
      </c>
    </row>
    <row r="41" spans="2:2" x14ac:dyDescent="0.75">
      <c r="B41" s="28" t="s">
        <v>588</v>
      </c>
    </row>
    <row r="42" spans="2:2" x14ac:dyDescent="0.75">
      <c r="B42" t="s">
        <v>636</v>
      </c>
    </row>
    <row r="44" spans="2:2" x14ac:dyDescent="0.75">
      <c r="B44" s="27" t="s">
        <v>526</v>
      </c>
    </row>
    <row r="45" spans="2:2" x14ac:dyDescent="0.75">
      <c r="B45" t="s">
        <v>522</v>
      </c>
    </row>
    <row r="46" spans="2:2" x14ac:dyDescent="0.75">
      <c r="B46" s="2">
        <v>2020</v>
      </c>
    </row>
    <row r="47" spans="2:2" x14ac:dyDescent="0.75">
      <c r="B47" t="s">
        <v>523</v>
      </c>
    </row>
    <row r="48" spans="2:2" x14ac:dyDescent="0.75">
      <c r="B48" s="28" t="s">
        <v>517</v>
      </c>
    </row>
    <row r="50" spans="1:2" x14ac:dyDescent="0.75">
      <c r="B50" s="27" t="s">
        <v>533</v>
      </c>
    </row>
    <row r="51" spans="1:2" x14ac:dyDescent="0.75">
      <c r="B51" t="s">
        <v>527</v>
      </c>
    </row>
    <row r="52" spans="1:2" x14ac:dyDescent="0.75">
      <c r="B52" s="2">
        <v>2020</v>
      </c>
    </row>
    <row r="53" spans="1:2" x14ac:dyDescent="0.75">
      <c r="B53" t="s">
        <v>528</v>
      </c>
    </row>
    <row r="54" spans="1:2" x14ac:dyDescent="0.75">
      <c r="B54" t="s">
        <v>529</v>
      </c>
    </row>
    <row r="55" spans="1:2" x14ac:dyDescent="0.75">
      <c r="B55" t="s">
        <v>534</v>
      </c>
    </row>
    <row r="57" spans="1:2" x14ac:dyDescent="0.75">
      <c r="B57" s="27" t="s">
        <v>1058</v>
      </c>
    </row>
    <row r="58" spans="1:2" x14ac:dyDescent="0.75">
      <c r="B58" t="s">
        <v>1059</v>
      </c>
    </row>
    <row r="59" spans="1:2" x14ac:dyDescent="0.75">
      <c r="B59" s="2">
        <v>2023</v>
      </c>
    </row>
    <row r="60" spans="1:2" x14ac:dyDescent="0.75">
      <c r="B60" t="s">
        <v>1061</v>
      </c>
    </row>
    <row r="61" spans="1:2" x14ac:dyDescent="0.75">
      <c r="B61" s="138" t="s">
        <v>1060</v>
      </c>
    </row>
    <row r="64" spans="1:2" x14ac:dyDescent="0.75">
      <c r="A64" s="1" t="s">
        <v>169</v>
      </c>
    </row>
    <row r="65" spans="1:1" x14ac:dyDescent="0.75">
      <c r="A65" t="s">
        <v>671</v>
      </c>
    </row>
    <row r="66" spans="1:1" x14ac:dyDescent="0.75">
      <c r="A66" t="s">
        <v>672</v>
      </c>
    </row>
    <row r="67" spans="1:1" x14ac:dyDescent="0.75">
      <c r="A67" s="1"/>
    </row>
    <row r="68" spans="1:1" x14ac:dyDescent="0.75">
      <c r="A68" t="s">
        <v>170</v>
      </c>
    </row>
    <row r="69" spans="1:1" x14ac:dyDescent="0.75">
      <c r="A69" t="s">
        <v>171</v>
      </c>
    </row>
    <row r="71" spans="1:1" x14ac:dyDescent="0.75">
      <c r="A71" t="s">
        <v>174</v>
      </c>
    </row>
    <row r="72" spans="1:1" x14ac:dyDescent="0.75">
      <c r="A72" t="s">
        <v>175</v>
      </c>
    </row>
    <row r="73" spans="1:1" x14ac:dyDescent="0.75">
      <c r="A73" t="s">
        <v>176</v>
      </c>
    </row>
    <row r="74" spans="1:1" x14ac:dyDescent="0.75">
      <c r="A74" t="s">
        <v>177</v>
      </c>
    </row>
    <row r="76" spans="1:1" x14ac:dyDescent="0.75">
      <c r="A76" t="s">
        <v>186</v>
      </c>
    </row>
    <row r="77" spans="1:1" x14ac:dyDescent="0.75">
      <c r="A77" t="s">
        <v>187</v>
      </c>
    </row>
    <row r="78" spans="1:1" x14ac:dyDescent="0.75">
      <c r="A78" t="s">
        <v>188</v>
      </c>
    </row>
    <row r="79" spans="1:1" x14ac:dyDescent="0.75">
      <c r="A79" t="s">
        <v>190</v>
      </c>
    </row>
    <row r="80" spans="1:1" x14ac:dyDescent="0.75">
      <c r="A80">
        <v>0.97099999999999997</v>
      </c>
    </row>
    <row r="81" spans="1:5" x14ac:dyDescent="0.75">
      <c r="A81" t="s">
        <v>189</v>
      </c>
    </row>
    <row r="83" spans="1:5" x14ac:dyDescent="0.75">
      <c r="A83" t="s">
        <v>524</v>
      </c>
    </row>
    <row r="84" spans="1:5" x14ac:dyDescent="0.75">
      <c r="A84">
        <v>0.89805481563188172</v>
      </c>
    </row>
    <row r="85" spans="1:5" x14ac:dyDescent="0.75">
      <c r="A85" t="s">
        <v>189</v>
      </c>
    </row>
    <row r="86" spans="1:5" x14ac:dyDescent="0.75">
      <c r="A86">
        <v>0.88711067149387013</v>
      </c>
      <c r="B86" t="s">
        <v>537</v>
      </c>
      <c r="E86" s="19"/>
    </row>
    <row r="87" spans="1:5" x14ac:dyDescent="0.75">
      <c r="A87">
        <v>0.78452102304761584</v>
      </c>
      <c r="B87" t="s">
        <v>839</v>
      </c>
      <c r="E87" s="19"/>
    </row>
    <row r="88" spans="1:5" x14ac:dyDescent="0.75">
      <c r="E88" s="19"/>
    </row>
    <row r="89" spans="1:5" x14ac:dyDescent="0.75">
      <c r="E89" s="19"/>
    </row>
    <row r="90" spans="1:5" x14ac:dyDescent="0.75">
      <c r="E90" s="19"/>
    </row>
    <row r="93" spans="1:5" x14ac:dyDescent="0.75">
      <c r="A93" s="1" t="s">
        <v>530</v>
      </c>
    </row>
    <row r="94" spans="1:5" x14ac:dyDescent="0.75">
      <c r="A94" t="s">
        <v>589</v>
      </c>
    </row>
    <row r="95" spans="1:5" x14ac:dyDescent="0.75">
      <c r="A95" t="s">
        <v>590</v>
      </c>
    </row>
    <row r="96" spans="1:5" x14ac:dyDescent="0.75">
      <c r="A96" t="s">
        <v>531</v>
      </c>
    </row>
    <row r="97" spans="1:1" x14ac:dyDescent="0.75">
      <c r="A97" t="s">
        <v>532</v>
      </c>
    </row>
    <row r="99" spans="1:1" x14ac:dyDescent="0.75">
      <c r="A99" s="1" t="s">
        <v>305</v>
      </c>
    </row>
    <row r="100" spans="1:1" x14ac:dyDescent="0.75">
      <c r="A100" t="s">
        <v>316</v>
      </c>
    </row>
    <row r="101" spans="1:1" x14ac:dyDescent="0.75">
      <c r="A101" t="s">
        <v>317</v>
      </c>
    </row>
    <row r="102" spans="1:1" x14ac:dyDescent="0.75">
      <c r="A102" t="s">
        <v>306</v>
      </c>
    </row>
    <row r="103" spans="1:1" x14ac:dyDescent="0.75">
      <c r="A103" t="s">
        <v>307</v>
      </c>
    </row>
    <row r="105" spans="1:1" x14ac:dyDescent="0.75">
      <c r="A105" s="1" t="s">
        <v>535</v>
      </c>
    </row>
    <row r="106" spans="1:1" x14ac:dyDescent="0.75">
      <c r="A106" t="s">
        <v>831</v>
      </c>
    </row>
    <row r="107" spans="1:1" x14ac:dyDescent="0.75">
      <c r="A107" t="s">
        <v>832</v>
      </c>
    </row>
    <row r="109" spans="1:1" x14ac:dyDescent="0.75">
      <c r="A109" t="s">
        <v>536</v>
      </c>
    </row>
    <row r="110" spans="1:1" x14ac:dyDescent="0.7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47"/>
  <sheetViews>
    <sheetView topLeftCell="A78" workbookViewId="0">
      <selection activeCell="X113" sqref="X113"/>
    </sheetView>
  </sheetViews>
  <sheetFormatPr defaultColWidth="12.54296875" defaultRowHeight="15.75" customHeight="1" x14ac:dyDescent="0.7"/>
  <cols>
    <col min="1" max="1" width="94.453125" style="78" customWidth="1"/>
    <col min="2" max="2" width="15.453125" style="78" customWidth="1"/>
    <col min="3" max="3" width="11.54296875" style="78" customWidth="1"/>
    <col min="4" max="4" width="40.54296875" style="78" bestFit="1" customWidth="1"/>
    <col min="5" max="13" width="8.26953125" style="78" bestFit="1" customWidth="1"/>
    <col min="14" max="36" width="7.54296875" style="78" customWidth="1"/>
    <col min="37" max="16384" width="12.54296875" style="78"/>
  </cols>
  <sheetData>
    <row r="1" spans="1:36" ht="13.5" x14ac:dyDescent="0.7">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7">
      <c r="A2" s="79" t="s">
        <v>1057</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3.5" x14ac:dyDescent="0.7">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3.5" x14ac:dyDescent="0.7">
      <c r="A4" s="76" t="s">
        <v>840</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3.5" x14ac:dyDescent="0.7">
      <c r="A5" s="77" t="s">
        <v>1062</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3.5" x14ac:dyDescent="0.7">
      <c r="A6" s="77" t="s">
        <v>841</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3.5" x14ac:dyDescent="0.7">
      <c r="A7" s="77" t="s">
        <v>842</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3.5" x14ac:dyDescent="0.7">
      <c r="A8" s="77">
        <f>1650*0.25</f>
        <v>412.5</v>
      </c>
      <c r="B8" s="77" t="s">
        <v>843</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3.5" x14ac:dyDescent="0.7">
      <c r="A9" s="77" t="s">
        <v>1076</v>
      </c>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3.5" x14ac:dyDescent="0.7">
      <c r="A10" s="77" t="s">
        <v>1077</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3.5" x14ac:dyDescent="0.7">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3.5" x14ac:dyDescent="0.7">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3.5" x14ac:dyDescent="0.7">
      <c r="A13" s="77" t="s">
        <v>846</v>
      </c>
      <c r="B13" s="77" t="s">
        <v>847</v>
      </c>
      <c r="C13" s="77" t="s">
        <v>848</v>
      </c>
      <c r="D13" s="77" t="s">
        <v>849</v>
      </c>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row>
    <row r="14" spans="1:36" ht="13.5" x14ac:dyDescent="0.7">
      <c r="A14" s="87">
        <v>1</v>
      </c>
      <c r="B14" s="87">
        <v>0.75</v>
      </c>
      <c r="C14" s="87">
        <v>0.5</v>
      </c>
      <c r="D14" s="87">
        <v>0</v>
      </c>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row>
    <row r="15" spans="1:36" ht="13.5" x14ac:dyDescent="0.7">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3.5" x14ac:dyDescent="0.7">
      <c r="A16" s="76" t="s">
        <v>674</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row>
    <row r="17" spans="1:36" ht="13.5" x14ac:dyDescent="0.7">
      <c r="A17" s="81" t="s">
        <v>675</v>
      </c>
      <c r="B17" s="81"/>
      <c r="C17" s="81"/>
      <c r="D17" s="81"/>
      <c r="E17" s="81"/>
      <c r="F17" s="81"/>
      <c r="G17" s="81"/>
      <c r="H17" s="81"/>
      <c r="I17" s="81"/>
      <c r="J17" s="81"/>
      <c r="K17" s="81"/>
      <c r="L17" s="81"/>
      <c r="M17" s="81"/>
      <c r="N17" s="82"/>
      <c r="O17" s="82"/>
      <c r="P17" s="82"/>
      <c r="Q17" s="82"/>
      <c r="R17" s="82"/>
      <c r="S17" s="82"/>
      <c r="T17" s="82"/>
      <c r="U17" s="82"/>
      <c r="V17" s="82"/>
      <c r="W17" s="82"/>
      <c r="X17" s="82"/>
      <c r="Y17" s="82"/>
      <c r="Z17" s="82"/>
      <c r="AA17" s="82"/>
      <c r="AB17" s="82"/>
      <c r="AC17" s="82"/>
      <c r="AD17" s="82"/>
      <c r="AE17" s="82"/>
      <c r="AF17" s="82"/>
      <c r="AG17" s="82"/>
      <c r="AH17" s="82"/>
      <c r="AI17" s="82"/>
      <c r="AJ17" s="82"/>
    </row>
    <row r="18" spans="1:36" ht="13.5" x14ac:dyDescent="0.7">
      <c r="A18" s="83" t="s">
        <v>676</v>
      </c>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3.5" x14ac:dyDescent="0.7">
      <c r="A19" s="84" t="s">
        <v>677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3.5" x14ac:dyDescent="0.7">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3.5" x14ac:dyDescent="0.7">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3.5" x14ac:dyDescent="0.7">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3.5" x14ac:dyDescent="0.7">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3.5" x14ac:dyDescent="0.7">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3.5" x14ac:dyDescent="0.7">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3.5" x14ac:dyDescent="0.7">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3.5" x14ac:dyDescent="0.7">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3.5" x14ac:dyDescent="0.7">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3.5" x14ac:dyDescent="0.7">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3.5" x14ac:dyDescent="0.7">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3.5" x14ac:dyDescent="0.7">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3.5" x14ac:dyDescent="0.7">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3.5" x14ac:dyDescent="0.7">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3.5" x14ac:dyDescent="0.7">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3.5" x14ac:dyDescent="0.7">
      <c r="A35" s="85"/>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3.5" x14ac:dyDescent="0.7">
      <c r="A36" s="85"/>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3.5" x14ac:dyDescent="0.7">
      <c r="A37" s="85"/>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3.5" x14ac:dyDescent="0.7">
      <c r="A38" s="77" t="s">
        <v>678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3.5" x14ac:dyDescent="0.7">
      <c r="A39" s="77" t="s">
        <v>679</v>
      </c>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3.5" x14ac:dyDescent="0.7">
      <c r="A40" s="77" t="s">
        <v>680</v>
      </c>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3.5" x14ac:dyDescent="0.7">
      <c r="A41" s="77" t="s">
        <v>844</v>
      </c>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3.5" x14ac:dyDescent="0.7">
      <c r="A42" s="78" t="s">
        <v>681</v>
      </c>
      <c r="B42" s="86">
        <v>0.127</v>
      </c>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row>
    <row r="43" spans="1:36" ht="13.5" x14ac:dyDescent="0.7">
      <c r="A43" s="78" t="s">
        <v>682</v>
      </c>
      <c r="B43" s="87">
        <f>B42*1.2</f>
        <v>0.15240000000000001</v>
      </c>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row>
    <row r="44" spans="1:36" ht="13.5" x14ac:dyDescent="0.7">
      <c r="A44" s="85"/>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row>
    <row r="45" spans="1:36" ht="13.5" x14ac:dyDescent="0.7">
      <c r="A45" s="85"/>
      <c r="B45" s="85">
        <v>2022</v>
      </c>
      <c r="C45" s="85">
        <v>2023</v>
      </c>
      <c r="D45" s="85">
        <v>2024</v>
      </c>
      <c r="E45" s="85">
        <v>2025</v>
      </c>
      <c r="F45" s="85">
        <v>2026</v>
      </c>
      <c r="G45" s="85">
        <v>2027</v>
      </c>
      <c r="H45" s="85">
        <v>2028</v>
      </c>
      <c r="I45" s="85">
        <v>2029</v>
      </c>
      <c r="J45" s="85">
        <v>2030</v>
      </c>
      <c r="K45" s="85">
        <v>2031</v>
      </c>
      <c r="L45" s="85">
        <v>2032</v>
      </c>
      <c r="M45" s="85">
        <v>2033</v>
      </c>
      <c r="N45" s="85">
        <v>2034</v>
      </c>
      <c r="O45" s="85">
        <v>2035</v>
      </c>
      <c r="P45" s="85">
        <v>2036</v>
      </c>
      <c r="Q45" s="85">
        <v>2037</v>
      </c>
      <c r="R45" s="85">
        <v>2038</v>
      </c>
      <c r="S45" s="85">
        <v>2039</v>
      </c>
      <c r="T45" s="85">
        <v>2040</v>
      </c>
      <c r="U45" s="85">
        <v>2041</v>
      </c>
      <c r="V45" s="85">
        <v>2042</v>
      </c>
      <c r="W45" s="85">
        <v>2043</v>
      </c>
      <c r="X45" s="85">
        <v>2044</v>
      </c>
      <c r="Y45" s="85">
        <v>2045</v>
      </c>
      <c r="Z45" s="85">
        <v>2046</v>
      </c>
      <c r="AA45" s="85">
        <v>2047</v>
      </c>
      <c r="AB45" s="85">
        <v>2048</v>
      </c>
      <c r="AC45" s="85">
        <v>2049</v>
      </c>
      <c r="AD45" s="85">
        <v>2050</v>
      </c>
      <c r="AE45" s="77"/>
      <c r="AF45" s="77"/>
      <c r="AG45" s="77"/>
      <c r="AH45" s="77"/>
      <c r="AI45" s="77"/>
      <c r="AJ45" s="77"/>
    </row>
    <row r="46" spans="1:36" ht="13.5" x14ac:dyDescent="0.7">
      <c r="A46" s="88" t="s">
        <v>683</v>
      </c>
      <c r="B46" s="86">
        <v>0</v>
      </c>
      <c r="C46" s="86">
        <v>0.05</v>
      </c>
      <c r="D46" s="86">
        <v>0.1</v>
      </c>
      <c r="E46" s="86">
        <v>0.15</v>
      </c>
      <c r="F46" s="86">
        <v>0.15</v>
      </c>
      <c r="G46" s="86">
        <v>0.15</v>
      </c>
      <c r="H46" s="86">
        <v>0.15</v>
      </c>
      <c r="I46" s="86">
        <v>0.15</v>
      </c>
      <c r="J46" s="86">
        <v>0.15</v>
      </c>
      <c r="K46" s="86">
        <v>0.15</v>
      </c>
      <c r="L46" s="86">
        <v>0.15</v>
      </c>
      <c r="M46" s="86">
        <v>0.15</v>
      </c>
      <c r="N46" s="86">
        <v>0.15</v>
      </c>
      <c r="O46" s="86">
        <v>0.15</v>
      </c>
      <c r="P46" s="86">
        <v>0.15</v>
      </c>
      <c r="Q46" s="86">
        <v>0.15</v>
      </c>
      <c r="R46" s="86">
        <v>0.15</v>
      </c>
      <c r="S46" s="86">
        <v>0.15</v>
      </c>
      <c r="T46" s="86">
        <v>0.15</v>
      </c>
      <c r="U46" s="86">
        <v>0.15</v>
      </c>
      <c r="V46" s="86">
        <v>0.15</v>
      </c>
      <c r="W46" s="86">
        <v>0.15</v>
      </c>
      <c r="X46" s="86">
        <v>0.15</v>
      </c>
      <c r="Y46" s="86">
        <v>0.15</v>
      </c>
      <c r="Z46" s="86">
        <v>0.15</v>
      </c>
      <c r="AA46" s="86">
        <v>0.15</v>
      </c>
      <c r="AB46" s="86">
        <v>0.15</v>
      </c>
      <c r="AC46" s="86">
        <v>0.15</v>
      </c>
      <c r="AD46" s="86">
        <v>0.15</v>
      </c>
      <c r="AE46" s="86"/>
      <c r="AF46" s="86"/>
      <c r="AG46" s="77"/>
      <c r="AH46" s="77"/>
      <c r="AI46" s="77"/>
      <c r="AJ46" s="77"/>
    </row>
    <row r="47" spans="1:36" ht="13.5" x14ac:dyDescent="0.7">
      <c r="A47" s="88" t="s">
        <v>684</v>
      </c>
      <c r="B47" s="86">
        <f>B46</f>
        <v>0</v>
      </c>
      <c r="C47" s="86">
        <v>1</v>
      </c>
      <c r="D47" s="86">
        <v>1</v>
      </c>
      <c r="E47" s="86">
        <v>1</v>
      </c>
      <c r="F47" s="86">
        <v>1</v>
      </c>
      <c r="G47" s="86">
        <v>1</v>
      </c>
      <c r="H47" s="86">
        <v>1</v>
      </c>
      <c r="I47" s="86">
        <v>1</v>
      </c>
      <c r="J47" s="86">
        <v>1</v>
      </c>
      <c r="K47" s="86">
        <v>1</v>
      </c>
      <c r="L47" s="86">
        <v>1</v>
      </c>
      <c r="M47" s="86">
        <v>1</v>
      </c>
      <c r="N47" s="86">
        <v>1</v>
      </c>
      <c r="O47" s="86">
        <v>1</v>
      </c>
      <c r="P47" s="86">
        <v>1</v>
      </c>
      <c r="Q47" s="86">
        <v>1</v>
      </c>
      <c r="R47" s="86">
        <v>1</v>
      </c>
      <c r="S47" s="86">
        <v>1</v>
      </c>
      <c r="T47" s="86">
        <v>1</v>
      </c>
      <c r="U47" s="86">
        <v>1</v>
      </c>
      <c r="V47" s="86">
        <v>1</v>
      </c>
      <c r="W47" s="86">
        <v>1</v>
      </c>
      <c r="X47" s="86">
        <v>1</v>
      </c>
      <c r="Y47" s="86">
        <v>1</v>
      </c>
      <c r="Z47" s="86">
        <v>1</v>
      </c>
      <c r="AA47" s="86">
        <v>1</v>
      </c>
      <c r="AB47" s="86">
        <v>1</v>
      </c>
      <c r="AC47" s="86">
        <v>1</v>
      </c>
      <c r="AD47" s="86">
        <v>1</v>
      </c>
      <c r="AE47" s="86"/>
      <c r="AF47" s="86"/>
      <c r="AG47" s="77"/>
      <c r="AH47" s="77"/>
      <c r="AI47" s="77"/>
      <c r="AJ47" s="77"/>
    </row>
    <row r="48" spans="1:36" ht="13.5" x14ac:dyDescent="0.7">
      <c r="A48" s="85"/>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3.5" x14ac:dyDescent="0.7">
      <c r="A49" s="81" t="s">
        <v>685</v>
      </c>
      <c r="B49" s="81"/>
      <c r="C49" s="81"/>
      <c r="D49" s="81"/>
      <c r="E49" s="81"/>
      <c r="F49" s="81"/>
      <c r="G49" s="81"/>
      <c r="H49" s="81"/>
      <c r="I49" s="81"/>
      <c r="J49" s="81"/>
      <c r="K49" s="81"/>
      <c r="L49" s="81"/>
      <c r="M49" s="81"/>
      <c r="N49" s="82"/>
      <c r="O49" s="82"/>
      <c r="P49" s="82"/>
      <c r="Q49" s="82"/>
      <c r="R49" s="82"/>
      <c r="S49" s="82"/>
      <c r="T49" s="82"/>
      <c r="U49" s="82"/>
      <c r="V49" s="82"/>
      <c r="W49" s="82"/>
      <c r="X49" s="82"/>
      <c r="Y49" s="82"/>
      <c r="Z49" s="82"/>
      <c r="AA49" s="82"/>
      <c r="AB49" s="82"/>
      <c r="AC49" s="82"/>
      <c r="AD49" s="82"/>
      <c r="AE49" s="82"/>
      <c r="AF49" s="82"/>
      <c r="AG49" s="82"/>
      <c r="AH49" s="82"/>
      <c r="AI49" s="82"/>
      <c r="AJ49" s="82"/>
    </row>
    <row r="50" spans="1:36" ht="13.5" x14ac:dyDescent="0.7">
      <c r="A50" s="77" t="s">
        <v>686</v>
      </c>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3.5" x14ac:dyDescent="0.7">
      <c r="A51" s="89" t="s">
        <v>687</v>
      </c>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3.5" x14ac:dyDescent="0.7">
      <c r="A52" s="85"/>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3.5" x14ac:dyDescent="0.7">
      <c r="A53" s="90" t="s">
        <v>688</v>
      </c>
      <c r="B53" s="91" t="s">
        <v>689</v>
      </c>
      <c r="C53" s="77"/>
      <c r="D53" s="90" t="s">
        <v>690</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3.5" x14ac:dyDescent="0.7">
      <c r="A54" s="92" t="s">
        <v>691</v>
      </c>
      <c r="B54" s="93" t="s">
        <v>692</v>
      </c>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3.5" x14ac:dyDescent="0.7">
      <c r="A55" s="94" t="s">
        <v>693</v>
      </c>
      <c r="B55" s="95">
        <v>0.41199999999999998</v>
      </c>
      <c r="C55" s="96"/>
      <c r="D55" s="96">
        <v>0.11</v>
      </c>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3.5" x14ac:dyDescent="0.7">
      <c r="A56" s="94" t="s">
        <v>694</v>
      </c>
      <c r="B56" s="95">
        <v>0.13200000000000001</v>
      </c>
      <c r="C56" s="96"/>
      <c r="D56" s="96">
        <v>0.37</v>
      </c>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3.5" x14ac:dyDescent="0.7">
      <c r="A57" s="94" t="s">
        <v>695</v>
      </c>
      <c r="B57" s="95">
        <v>0.114</v>
      </c>
      <c r="C57" s="96"/>
      <c r="D57" s="96">
        <v>0.15</v>
      </c>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3.5" x14ac:dyDescent="0.7">
      <c r="A58" s="94" t="s">
        <v>696</v>
      </c>
      <c r="B58" s="95">
        <v>7.0000000000000007E-2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3.5" x14ac:dyDescent="0.7">
      <c r="A59" s="94" t="s">
        <v>697</v>
      </c>
      <c r="B59" s="95">
        <v>8.7999999999999995E-2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3.5" x14ac:dyDescent="0.7">
      <c r="A60" s="94" t="s">
        <v>698</v>
      </c>
      <c r="B60" s="95">
        <v>5.2999999999999999E-2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3.5" x14ac:dyDescent="0.7">
      <c r="A61" s="94" t="s">
        <v>699</v>
      </c>
      <c r="B61" s="95">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3.5" x14ac:dyDescent="0.7">
      <c r="A62" s="94" t="s">
        <v>700</v>
      </c>
      <c r="B62" s="95">
        <v>1.7999999999999999E-2</v>
      </c>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3.5" x14ac:dyDescent="0.7">
      <c r="A63" s="94" t="s">
        <v>701</v>
      </c>
      <c r="B63" s="95">
        <v>2.5999999999999999E-2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3.5" x14ac:dyDescent="0.7">
      <c r="A64" s="97" t="s">
        <v>702</v>
      </c>
      <c r="B64" s="98">
        <v>4.3999999999999997E-2</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3.5" x14ac:dyDescent="0.7">
      <c r="A65" s="85"/>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3.5" x14ac:dyDescent="0.7">
      <c r="A66" s="77" t="s">
        <v>703</v>
      </c>
      <c r="B66" s="96">
        <f>SUMPRODUCT(B55:B57,D55:D57)/SUM(B55:B57)</f>
        <v>0.16908814589665652</v>
      </c>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3.5" x14ac:dyDescent="0.7">
      <c r="A67" s="77" t="s">
        <v>704</v>
      </c>
      <c r="B67" s="96">
        <f>AVERAGE(H75,B66)</f>
        <v>0.3595440729483283</v>
      </c>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3.5" x14ac:dyDescent="0.7">
      <c r="A68" s="77"/>
      <c r="B68" s="96"/>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row>
    <row r="69" spans="1:36" ht="13.5" x14ac:dyDescent="0.7">
      <c r="A69" s="77"/>
      <c r="B69" s="85">
        <v>2022</v>
      </c>
      <c r="C69" s="85">
        <v>2023</v>
      </c>
      <c r="D69" s="85">
        <v>2024</v>
      </c>
      <c r="E69" s="85">
        <v>2025</v>
      </c>
      <c r="F69" s="85">
        <v>2026</v>
      </c>
      <c r="G69" s="85">
        <v>2027</v>
      </c>
      <c r="H69" s="85">
        <v>2028</v>
      </c>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row>
    <row r="70" spans="1:36" ht="13.5" x14ac:dyDescent="0.7">
      <c r="A70" s="79" t="s">
        <v>705</v>
      </c>
      <c r="B70" s="96">
        <f>B66</f>
        <v>0.16908814589665652</v>
      </c>
      <c r="C70" s="96">
        <f>B70</f>
        <v>0.16908814589665652</v>
      </c>
      <c r="D70" s="96">
        <f t="shared" ref="D70:G70" si="0">($H$70-$B$70)/5+C70</f>
        <v>0.20717933130699087</v>
      </c>
      <c r="E70" s="96">
        <f t="shared" si="0"/>
        <v>0.24527051671732522</v>
      </c>
      <c r="F70" s="96">
        <f t="shared" si="0"/>
        <v>0.2833617021276596</v>
      </c>
      <c r="G70" s="96">
        <f t="shared" si="0"/>
        <v>0.32145288753799395</v>
      </c>
      <c r="H70" s="96">
        <f>AVERAGE(B70,H75)</f>
        <v>0.3595440729483283</v>
      </c>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row>
    <row r="71" spans="1:36" ht="13.5" x14ac:dyDescent="0.7">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7"/>
      <c r="AG71" s="77"/>
      <c r="AH71" s="77"/>
      <c r="AI71" s="77"/>
      <c r="AJ71" s="77"/>
    </row>
    <row r="72" spans="1:36" ht="27" x14ac:dyDescent="0.7">
      <c r="A72" s="79" t="s">
        <v>706</v>
      </c>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7"/>
      <c r="AG72" s="77"/>
      <c r="AH72" s="77"/>
      <c r="AI72" s="77"/>
      <c r="AJ72" s="77"/>
    </row>
    <row r="73" spans="1:36" ht="13.5" x14ac:dyDescent="0.7">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85"/>
      <c r="AG73" s="85"/>
      <c r="AH73" s="85"/>
      <c r="AI73" s="85"/>
      <c r="AJ73" s="85"/>
    </row>
    <row r="74" spans="1:36" s="99" customFormat="1" ht="13.5" x14ac:dyDescent="0.7">
      <c r="A74" s="88"/>
      <c r="B74" s="88">
        <v>2022</v>
      </c>
      <c r="C74" s="88">
        <v>2023</v>
      </c>
      <c r="D74" s="88">
        <v>2024</v>
      </c>
      <c r="E74" s="88">
        <v>2025</v>
      </c>
      <c r="F74" s="88">
        <v>2026</v>
      </c>
      <c r="G74" s="88">
        <v>2027</v>
      </c>
      <c r="H74" s="88">
        <v>2028</v>
      </c>
      <c r="I74" s="88">
        <v>2029</v>
      </c>
      <c r="J74" s="88">
        <v>2030</v>
      </c>
      <c r="K74" s="88">
        <v>2031</v>
      </c>
      <c r="L74" s="88">
        <v>2032</v>
      </c>
      <c r="M74" s="88">
        <v>2033</v>
      </c>
      <c r="N74" s="88">
        <v>2034</v>
      </c>
      <c r="O74" s="88">
        <v>2035</v>
      </c>
      <c r="P74" s="88">
        <v>2036</v>
      </c>
      <c r="Q74" s="88">
        <v>2037</v>
      </c>
      <c r="R74" s="88">
        <v>2038</v>
      </c>
      <c r="S74" s="88">
        <v>2039</v>
      </c>
      <c r="T74" s="88">
        <v>2040</v>
      </c>
      <c r="U74" s="88">
        <v>2041</v>
      </c>
      <c r="V74" s="88">
        <v>2042</v>
      </c>
      <c r="W74" s="88">
        <v>2043</v>
      </c>
      <c r="X74" s="88">
        <v>2044</v>
      </c>
      <c r="Y74" s="88">
        <v>2045</v>
      </c>
      <c r="Z74" s="88">
        <v>2046</v>
      </c>
      <c r="AA74" s="88">
        <v>2047</v>
      </c>
      <c r="AB74" s="88">
        <v>2048</v>
      </c>
      <c r="AC74" s="88">
        <v>2049</v>
      </c>
      <c r="AD74" s="88">
        <v>2050</v>
      </c>
      <c r="AE74" s="88"/>
      <c r="AF74" s="85"/>
      <c r="AG74" s="85"/>
      <c r="AH74" s="85"/>
      <c r="AI74" s="85"/>
      <c r="AJ74" s="85"/>
    </row>
    <row r="75" spans="1:36" ht="13.5" x14ac:dyDescent="0.7">
      <c r="A75" s="96" t="s">
        <v>707</v>
      </c>
      <c r="B75" s="100">
        <v>0.4</v>
      </c>
      <c r="C75" s="100">
        <v>0.4</v>
      </c>
      <c r="D75" s="100">
        <v>0.4</v>
      </c>
      <c r="E75" s="100">
        <v>0.4</v>
      </c>
      <c r="F75" s="100">
        <v>0.45</v>
      </c>
      <c r="G75" s="100">
        <v>0.5</v>
      </c>
      <c r="H75" s="100">
        <v>0.55000000000000004</v>
      </c>
      <c r="I75" s="100">
        <v>0.55000000000000004</v>
      </c>
      <c r="J75" s="100">
        <v>0.55000000000000004</v>
      </c>
      <c r="K75" s="100">
        <v>0.55000000000000004</v>
      </c>
      <c r="L75" s="100">
        <v>0.55000000000000004</v>
      </c>
      <c r="M75" s="100">
        <v>0.55000000000000004</v>
      </c>
      <c r="N75" s="100">
        <v>0.55000000000000004</v>
      </c>
      <c r="O75" s="100">
        <v>0.55000000000000004</v>
      </c>
      <c r="P75" s="100">
        <v>0.55000000000000004</v>
      </c>
      <c r="Q75" s="100">
        <v>0.55000000000000004</v>
      </c>
      <c r="R75" s="100">
        <v>0.55000000000000004</v>
      </c>
      <c r="S75" s="100">
        <v>0.55000000000000004</v>
      </c>
      <c r="T75" s="100">
        <v>0.55000000000000004</v>
      </c>
      <c r="U75" s="100">
        <v>0.55000000000000004</v>
      </c>
      <c r="V75" s="100">
        <v>0.55000000000000004</v>
      </c>
      <c r="W75" s="100">
        <v>0.55000000000000004</v>
      </c>
      <c r="X75" s="100">
        <v>0.55000000000000004</v>
      </c>
      <c r="Y75" s="100">
        <v>0.55000000000000004</v>
      </c>
      <c r="Z75" s="100">
        <v>0.55000000000000004</v>
      </c>
      <c r="AA75" s="100">
        <v>0.55000000000000004</v>
      </c>
      <c r="AB75" s="100">
        <v>0.55000000000000004</v>
      </c>
      <c r="AC75" s="100">
        <v>0.55000000000000004</v>
      </c>
      <c r="AD75" s="100">
        <v>0.55000000000000004</v>
      </c>
      <c r="AE75" s="96"/>
      <c r="AF75" s="96"/>
      <c r="AG75" s="96"/>
      <c r="AH75" s="96"/>
      <c r="AI75" s="96"/>
      <c r="AJ75" s="96"/>
    </row>
    <row r="76" spans="1:36" ht="13.5" x14ac:dyDescent="0.7">
      <c r="A76" s="96" t="s">
        <v>708</v>
      </c>
      <c r="B76" s="100">
        <f>B66</f>
        <v>0.16908814589665652</v>
      </c>
      <c r="C76" s="100">
        <f>($H$76-$B$76)/COUNT($C$74:$H$74)+B76</f>
        <v>0.20083080040526849</v>
      </c>
      <c r="D76" s="100">
        <f t="shared" ref="D76:G76" si="1">($H$76-$B$76)/COUNT($C$74:$H$74)+C76</f>
        <v>0.23257345491388046</v>
      </c>
      <c r="E76" s="100">
        <f t="shared" si="1"/>
        <v>0.2643161094224924</v>
      </c>
      <c r="F76" s="100">
        <f t="shared" si="1"/>
        <v>0.29605876393110436</v>
      </c>
      <c r="G76" s="100">
        <f t="shared" si="1"/>
        <v>0.32780141843971633</v>
      </c>
      <c r="H76" s="100">
        <f>B67</f>
        <v>0.3595440729483283</v>
      </c>
      <c r="I76" s="100">
        <f>$H$76</f>
        <v>0.3595440729483283</v>
      </c>
      <c r="J76" s="100">
        <f t="shared" ref="J76:AD76" si="2">$H$76</f>
        <v>0.3595440729483283</v>
      </c>
      <c r="K76" s="100">
        <f t="shared" si="2"/>
        <v>0.3595440729483283</v>
      </c>
      <c r="L76" s="100">
        <f t="shared" si="2"/>
        <v>0.3595440729483283</v>
      </c>
      <c r="M76" s="100">
        <f t="shared" si="2"/>
        <v>0.3595440729483283</v>
      </c>
      <c r="N76" s="100">
        <f t="shared" si="2"/>
        <v>0.3595440729483283</v>
      </c>
      <c r="O76" s="100">
        <f t="shared" si="2"/>
        <v>0.3595440729483283</v>
      </c>
      <c r="P76" s="100">
        <f t="shared" si="2"/>
        <v>0.3595440729483283</v>
      </c>
      <c r="Q76" s="100">
        <f t="shared" si="2"/>
        <v>0.3595440729483283</v>
      </c>
      <c r="R76" s="100">
        <f t="shared" si="2"/>
        <v>0.3595440729483283</v>
      </c>
      <c r="S76" s="100">
        <f t="shared" si="2"/>
        <v>0.3595440729483283</v>
      </c>
      <c r="T76" s="100">
        <f t="shared" si="2"/>
        <v>0.3595440729483283</v>
      </c>
      <c r="U76" s="100">
        <f t="shared" si="2"/>
        <v>0.3595440729483283</v>
      </c>
      <c r="V76" s="100">
        <f t="shared" si="2"/>
        <v>0.3595440729483283</v>
      </c>
      <c r="W76" s="100">
        <f t="shared" si="2"/>
        <v>0.3595440729483283</v>
      </c>
      <c r="X76" s="100">
        <f t="shared" si="2"/>
        <v>0.3595440729483283</v>
      </c>
      <c r="Y76" s="100">
        <f t="shared" si="2"/>
        <v>0.3595440729483283</v>
      </c>
      <c r="Z76" s="100">
        <f t="shared" si="2"/>
        <v>0.3595440729483283</v>
      </c>
      <c r="AA76" s="100">
        <f t="shared" si="2"/>
        <v>0.3595440729483283</v>
      </c>
      <c r="AB76" s="100">
        <f t="shared" si="2"/>
        <v>0.3595440729483283</v>
      </c>
      <c r="AC76" s="100">
        <f t="shared" si="2"/>
        <v>0.3595440729483283</v>
      </c>
      <c r="AD76" s="100">
        <f t="shared" si="2"/>
        <v>0.3595440729483283</v>
      </c>
      <c r="AE76" s="96"/>
      <c r="AF76" s="96"/>
      <c r="AG76" s="96"/>
      <c r="AH76" s="96"/>
      <c r="AI76" s="96"/>
      <c r="AJ76" s="96"/>
    </row>
    <row r="77" spans="1:36" ht="13.5" x14ac:dyDescent="0.7">
      <c r="A77" s="77" t="s">
        <v>709</v>
      </c>
      <c r="B77" s="100">
        <f>B76/B75</f>
        <v>0.42272036474164126</v>
      </c>
      <c r="C77" s="100">
        <f t="shared" ref="C77:AD77" si="3">C76/C75</f>
        <v>0.50207700101317121</v>
      </c>
      <c r="D77" s="100">
        <f t="shared" si="3"/>
        <v>0.5814336372847011</v>
      </c>
      <c r="E77" s="100">
        <f t="shared" si="3"/>
        <v>0.66079027355623099</v>
      </c>
      <c r="F77" s="100">
        <f t="shared" si="3"/>
        <v>0.65790836429134303</v>
      </c>
      <c r="G77" s="100">
        <f t="shared" si="3"/>
        <v>0.65560283687943266</v>
      </c>
      <c r="H77" s="100">
        <f t="shared" si="3"/>
        <v>0.65371649626968775</v>
      </c>
      <c r="I77" s="100">
        <f t="shared" si="3"/>
        <v>0.65371649626968775</v>
      </c>
      <c r="J77" s="100">
        <f t="shared" si="3"/>
        <v>0.65371649626968775</v>
      </c>
      <c r="K77" s="100">
        <f t="shared" si="3"/>
        <v>0.65371649626968775</v>
      </c>
      <c r="L77" s="100">
        <f t="shared" si="3"/>
        <v>0.65371649626968775</v>
      </c>
      <c r="M77" s="100">
        <f t="shared" si="3"/>
        <v>0.65371649626968775</v>
      </c>
      <c r="N77" s="100">
        <f t="shared" si="3"/>
        <v>0.65371649626968775</v>
      </c>
      <c r="O77" s="100">
        <f t="shared" si="3"/>
        <v>0.65371649626968775</v>
      </c>
      <c r="P77" s="100">
        <f t="shared" si="3"/>
        <v>0.65371649626968775</v>
      </c>
      <c r="Q77" s="100">
        <f t="shared" si="3"/>
        <v>0.65371649626968775</v>
      </c>
      <c r="R77" s="100">
        <f t="shared" si="3"/>
        <v>0.65371649626968775</v>
      </c>
      <c r="S77" s="100">
        <f t="shared" si="3"/>
        <v>0.65371649626968775</v>
      </c>
      <c r="T77" s="100">
        <f t="shared" si="3"/>
        <v>0.65371649626968775</v>
      </c>
      <c r="U77" s="100">
        <f t="shared" si="3"/>
        <v>0.65371649626968775</v>
      </c>
      <c r="V77" s="100">
        <f t="shared" si="3"/>
        <v>0.65371649626968775</v>
      </c>
      <c r="W77" s="100">
        <f t="shared" si="3"/>
        <v>0.65371649626968775</v>
      </c>
      <c r="X77" s="100">
        <f t="shared" si="3"/>
        <v>0.65371649626968775</v>
      </c>
      <c r="Y77" s="100">
        <f t="shared" si="3"/>
        <v>0.65371649626968775</v>
      </c>
      <c r="Z77" s="100">
        <f t="shared" si="3"/>
        <v>0.65371649626968775</v>
      </c>
      <c r="AA77" s="100">
        <f t="shared" si="3"/>
        <v>0.65371649626968775</v>
      </c>
      <c r="AB77" s="100">
        <f t="shared" si="3"/>
        <v>0.65371649626968775</v>
      </c>
      <c r="AC77" s="100">
        <f t="shared" si="3"/>
        <v>0.65371649626968775</v>
      </c>
      <c r="AD77" s="100">
        <f t="shared" si="3"/>
        <v>0.65371649626968775</v>
      </c>
      <c r="AE77" s="77"/>
      <c r="AF77" s="77"/>
      <c r="AG77" s="77"/>
      <c r="AH77" s="77"/>
      <c r="AI77" s="77"/>
      <c r="AJ77" s="77"/>
    </row>
    <row r="78" spans="1:36" ht="13.5" x14ac:dyDescent="0.7">
      <c r="A78" s="83"/>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c r="AE78" s="85"/>
      <c r="AF78" s="85"/>
      <c r="AG78" s="85"/>
      <c r="AH78" s="85"/>
      <c r="AI78" s="85"/>
      <c r="AJ78" s="85"/>
    </row>
    <row r="79" spans="1:36" s="102" customFormat="1" ht="13.5" x14ac:dyDescent="0.7">
      <c r="A79" s="79" t="s">
        <v>710</v>
      </c>
      <c r="B79" s="101">
        <v>1</v>
      </c>
      <c r="C79" s="101">
        <v>1</v>
      </c>
      <c r="D79" s="101">
        <v>1</v>
      </c>
      <c r="E79" s="101">
        <v>1</v>
      </c>
      <c r="F79" s="101">
        <v>1</v>
      </c>
      <c r="G79" s="101">
        <v>1</v>
      </c>
      <c r="H79" s="101">
        <v>1</v>
      </c>
      <c r="I79" s="101">
        <v>1</v>
      </c>
      <c r="J79" s="101">
        <v>1</v>
      </c>
      <c r="K79" s="101">
        <v>1</v>
      </c>
      <c r="L79" s="101">
        <v>1</v>
      </c>
      <c r="M79" s="101">
        <v>1</v>
      </c>
      <c r="N79" s="101">
        <v>1</v>
      </c>
      <c r="O79" s="101">
        <v>1</v>
      </c>
      <c r="P79" s="101">
        <v>1</v>
      </c>
      <c r="Q79" s="101">
        <v>1</v>
      </c>
      <c r="R79" s="101">
        <v>1</v>
      </c>
      <c r="S79" s="101">
        <v>1</v>
      </c>
      <c r="T79" s="101">
        <v>1</v>
      </c>
      <c r="U79" s="101">
        <v>1</v>
      </c>
      <c r="V79" s="101">
        <v>1</v>
      </c>
      <c r="W79" s="101">
        <v>1</v>
      </c>
      <c r="X79" s="101">
        <v>1</v>
      </c>
      <c r="Y79" s="101">
        <v>1</v>
      </c>
      <c r="Z79" s="101">
        <v>1</v>
      </c>
      <c r="AA79" s="101">
        <v>1</v>
      </c>
      <c r="AB79" s="101">
        <v>1</v>
      </c>
      <c r="AC79" s="101">
        <v>1</v>
      </c>
      <c r="AD79" s="101">
        <v>1</v>
      </c>
      <c r="AE79" s="88"/>
      <c r="AF79" s="88"/>
      <c r="AG79" s="88"/>
      <c r="AH79" s="88"/>
      <c r="AI79" s="88"/>
      <c r="AJ79" s="88"/>
    </row>
    <row r="80" spans="1:36" ht="13.5" x14ac:dyDescent="0.7">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row>
    <row r="81" spans="1:36" ht="13.5" x14ac:dyDescent="0.7">
      <c r="A81" s="81" t="s">
        <v>711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row>
    <row r="82" spans="1:36" ht="13.5" x14ac:dyDescent="0.7">
      <c r="A82" s="83" t="s">
        <v>712</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3.5" x14ac:dyDescent="0.7">
      <c r="A83" s="83" t="s">
        <v>713</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3.5" x14ac:dyDescent="0.7">
      <c r="A84" s="83" t="s">
        <v>714</v>
      </c>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3.5" x14ac:dyDescent="0.7">
      <c r="A85" s="83" t="s">
        <v>715</v>
      </c>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row>
    <row r="86" spans="1:36" ht="13.5" x14ac:dyDescent="0.7">
      <c r="A86" s="83" t="s">
        <v>716</v>
      </c>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3.5" x14ac:dyDescent="0.7">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3.5" x14ac:dyDescent="0.7">
      <c r="A88" s="81" t="s">
        <v>717</v>
      </c>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row>
    <row r="89" spans="1:36" ht="13.5" x14ac:dyDescent="0.7">
      <c r="A89" s="103"/>
      <c r="B89" s="103"/>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3.5" x14ac:dyDescent="0.7">
      <c r="A90" s="103" t="s">
        <v>718</v>
      </c>
      <c r="B90" s="104">
        <v>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3.5" x14ac:dyDescent="0.7">
      <c r="A91" s="103" t="s">
        <v>719</v>
      </c>
      <c r="B91" s="104">
        <v>15</v>
      </c>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3.5" x14ac:dyDescent="0.7">
      <c r="A92" s="103" t="s">
        <v>845</v>
      </c>
      <c r="B92" s="77">
        <v>1.6687000000000001</v>
      </c>
      <c r="C92" s="105" t="s">
        <v>720</v>
      </c>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13.5" x14ac:dyDescent="0.7">
      <c r="A93" s="103" t="s">
        <v>721</v>
      </c>
      <c r="B93" s="106">
        <v>0.88711067149387013</v>
      </c>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6.75" x14ac:dyDescent="1.1499999999999999">
      <c r="A94" s="103" t="s">
        <v>722</v>
      </c>
      <c r="B94" s="107">
        <v>10</v>
      </c>
      <c r="C94" s="77"/>
      <c r="D94" s="77"/>
      <c r="E94" s="108"/>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row>
    <row r="95" spans="1:36" ht="16.75" x14ac:dyDescent="1.1499999999999999">
      <c r="A95" s="103"/>
      <c r="B95" s="107"/>
      <c r="C95" s="77"/>
      <c r="D95" s="77"/>
      <c r="E95" s="108"/>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row>
    <row r="96" spans="1:36" ht="29.25" x14ac:dyDescent="1.1499999999999999">
      <c r="A96" s="103" t="s">
        <v>1056</v>
      </c>
      <c r="B96" s="107"/>
      <c r="C96" s="77"/>
      <c r="D96" s="77"/>
      <c r="E96" s="108"/>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row>
    <row r="97" spans="1:36" ht="13.5" x14ac:dyDescent="0.7">
      <c r="A97" s="103"/>
      <c r="B97" s="107">
        <v>2023</v>
      </c>
      <c r="C97" s="107">
        <v>2024</v>
      </c>
      <c r="D97" s="107">
        <v>2025</v>
      </c>
      <c r="E97" s="107">
        <v>2026</v>
      </c>
      <c r="F97" s="107">
        <v>2027</v>
      </c>
      <c r="G97" s="107">
        <v>2028</v>
      </c>
      <c r="H97" s="107">
        <v>2029</v>
      </c>
      <c r="I97" s="107">
        <v>2030</v>
      </c>
      <c r="J97" s="107">
        <v>2031</v>
      </c>
      <c r="K97" s="107">
        <v>2032</v>
      </c>
      <c r="L97" s="107">
        <v>2033</v>
      </c>
      <c r="M97" s="107">
        <v>2034</v>
      </c>
      <c r="N97" s="107">
        <v>2035</v>
      </c>
      <c r="O97" s="107">
        <v>2036</v>
      </c>
      <c r="P97" s="107">
        <v>2037</v>
      </c>
      <c r="Q97" s="107">
        <v>2038</v>
      </c>
      <c r="R97" s="107">
        <v>2039</v>
      </c>
      <c r="S97" s="107">
        <v>2040</v>
      </c>
      <c r="T97" s="107">
        <v>2041</v>
      </c>
      <c r="U97" s="107">
        <v>2042</v>
      </c>
      <c r="V97" s="107">
        <v>2043</v>
      </c>
      <c r="W97" s="107">
        <v>2044</v>
      </c>
      <c r="X97" s="107">
        <v>2045</v>
      </c>
      <c r="Y97" s="107">
        <v>2046</v>
      </c>
      <c r="Z97" s="107">
        <v>2047</v>
      </c>
      <c r="AA97" s="107">
        <v>2048</v>
      </c>
      <c r="AB97" s="107">
        <v>2049</v>
      </c>
      <c r="AC97" s="107">
        <v>2050</v>
      </c>
      <c r="AD97" s="77"/>
      <c r="AE97" s="77"/>
      <c r="AF97" s="77"/>
      <c r="AG97" s="77"/>
      <c r="AH97" s="77"/>
      <c r="AI97" s="77"/>
      <c r="AJ97" s="77"/>
    </row>
    <row r="98" spans="1:36" ht="13.5" x14ac:dyDescent="0.7">
      <c r="A98" s="103" t="s">
        <v>1055</v>
      </c>
      <c r="B98" s="347">
        <f>'Solar - Utility PV'!O384/'Tax Credits'!E29</f>
        <v>0.81340045030017205</v>
      </c>
      <c r="C98" s="347">
        <f>'Solar - Utility PV'!P384/'Tax Credits'!F29</f>
        <v>0.81510163468640739</v>
      </c>
      <c r="D98" s="347">
        <f>'Solar - Utility PV'!Q384/'Tax Credits'!G29</f>
        <v>0.81589991682306995</v>
      </c>
      <c r="E98" s="347">
        <f>'Solar - Utility PV'!R384/'Tax Credits'!H29</f>
        <v>0.81674213813945595</v>
      </c>
      <c r="F98" s="347">
        <f>'Solar - Utility PV'!S384/'Tax Credits'!I29</f>
        <v>0.81763202697741111</v>
      </c>
      <c r="G98" s="347">
        <f>'Solar - Utility PV'!T384/'Tax Credits'!J29</f>
        <v>0.81857374532301308</v>
      </c>
      <c r="H98" s="347">
        <f>'Solar - Utility PV'!U384/'Tax Credits'!K29</f>
        <v>0.81957195368256253</v>
      </c>
      <c r="I98" s="347">
        <f>'Solar - Utility PV'!V384/'Tax Credits'!L29</f>
        <v>0.82063188795183062</v>
      </c>
      <c r="J98" s="347">
        <f>'Solar - Utility PV'!W384/'Tax Credits'!M29</f>
        <v>0.82175945094478053</v>
      </c>
      <c r="K98" s="347">
        <f>'Solar - Utility PV'!X384/'Tax Credits'!N29</f>
        <v>0.82296132194619032</v>
      </c>
      <c r="L98" s="347">
        <f>'Solar - Utility PV'!Y384/'Tax Credits'!O29</f>
        <v>0.82424508856402612</v>
      </c>
      <c r="M98" s="347">
        <f>'Solar - Utility PV'!Z384/'Tax Credits'!P29</f>
        <v>0.82561940635557174</v>
      </c>
      <c r="N98" s="347">
        <f>'Solar - Utility PV'!AA384/'Tax Credits'!Q29</f>
        <v>0.82709419329022871</v>
      </c>
      <c r="O98" s="347">
        <f>'Solar - Utility PV'!AB384/'Tax Credits'!R29</f>
        <v>0.82758691614833335</v>
      </c>
      <c r="P98" s="347">
        <f>'Solar - Utility PV'!AC384/'Tax Credits'!S29</f>
        <v>0.8280911882366675</v>
      </c>
      <c r="Q98" s="347">
        <f>'Solar - Utility PV'!AD384/'Tax Credits'!T29</f>
        <v>0.82860741978871177</v>
      </c>
      <c r="R98" s="347">
        <f>'Solar - Utility PV'!AE384/'Tax Credits'!U29</f>
        <v>0.82913604066724711</v>
      </c>
      <c r="S98" s="347">
        <f>'Solar - Utility PV'!AF384/'Tax Credits'!V29</f>
        <v>0.82967750155065345</v>
      </c>
      <c r="T98" s="347">
        <f>'Solar - Utility PV'!AG384/'Tax Credits'!W29</f>
        <v>0.83023227520596132</v>
      </c>
      <c r="U98" s="347">
        <f>'Solar - Utility PV'!AH384/'Tax Credits'!X29</f>
        <v>0.83080085785651914</v>
      </c>
      <c r="V98" s="347">
        <f>'Solar - Utility PV'!AI384/'Tax Credits'!Y29</f>
        <v>0.83138377065211</v>
      </c>
      <c r="W98" s="347">
        <f>'Solar - Utility PV'!AJ384/'Tax Credits'!Z29</f>
        <v>0.8219829594089384</v>
      </c>
      <c r="X98" s="347">
        <f>'Solar - Utility PV'!AK384/'Tax Credits'!AA29</f>
        <v>0.81220845556490473</v>
      </c>
      <c r="Y98" s="347">
        <f>$X98</f>
        <v>0.81220845556490473</v>
      </c>
      <c r="Z98" s="347">
        <f t="shared" ref="Z98:AC99" si="4">$X98</f>
        <v>0.81220845556490473</v>
      </c>
      <c r="AA98" s="347">
        <f t="shared" si="4"/>
        <v>0.81220845556490473</v>
      </c>
      <c r="AB98" s="347">
        <f t="shared" si="4"/>
        <v>0.81220845556490473</v>
      </c>
      <c r="AC98" s="347">
        <f t="shared" si="4"/>
        <v>0.81220845556490473</v>
      </c>
      <c r="AD98" s="77"/>
      <c r="AE98" s="77"/>
      <c r="AF98" s="77"/>
      <c r="AG98" s="77"/>
      <c r="AH98" s="77"/>
      <c r="AI98" s="77"/>
      <c r="AJ98" s="77"/>
    </row>
    <row r="99" spans="1:36" ht="13.5" x14ac:dyDescent="0.7">
      <c r="A99" s="103" t="s">
        <v>1054</v>
      </c>
      <c r="B99" s="347">
        <f>'Land-Based Wind'!O372/'Tax Credits'!E27</f>
        <v>0.84508078721372071</v>
      </c>
      <c r="C99" s="347">
        <f>'Land-Based Wind'!P372/'Tax Credits'!F27</f>
        <v>0.85049341722823724</v>
      </c>
      <c r="D99" s="347">
        <f>'Land-Based Wind'!Q372/'Tax Credits'!G27</f>
        <v>0.85155620178502767</v>
      </c>
      <c r="E99" s="347">
        <f>'Land-Based Wind'!R372/'Tax Credits'!H27</f>
        <v>0.85265035238009146</v>
      </c>
      <c r="F99" s="347">
        <f>'Land-Based Wind'!S372/'Tax Credits'!I27</f>
        <v>0.85377727144743532</v>
      </c>
      <c r="G99" s="347">
        <f>'Land-Based Wind'!T372/'Tax Credits'!J27</f>
        <v>0.85493844584292644</v>
      </c>
      <c r="H99" s="347">
        <f>'Land-Based Wind'!U372/'Tax Credits'!K27</f>
        <v>0.85613545325647478</v>
      </c>
      <c r="I99" s="347">
        <f>'Land-Based Wind'!V372/'Tax Credits'!L27</f>
        <v>0.85736996921359376</v>
      </c>
      <c r="J99" s="347">
        <f>'Land-Based Wind'!W372/'Tax Credits'!M27</f>
        <v>0.85783370043722862</v>
      </c>
      <c r="K99" s="347">
        <f>'Land-Based Wind'!X372/'Tax Credits'!N27</f>
        <v>0.85830456768613206</v>
      </c>
      <c r="L99" s="347">
        <f>'Land-Based Wind'!Y372/'Tax Credits'!O27</f>
        <v>0.85878273640842528</v>
      </c>
      <c r="M99" s="347">
        <f>'Land-Based Wind'!Z372/'Tax Credits'!P27</f>
        <v>0.85926837718873395</v>
      </c>
      <c r="N99" s="347">
        <f>'Land-Based Wind'!AA372/'Tax Credits'!Q27</f>
        <v>0.85976166594834347</v>
      </c>
      <c r="O99" s="347">
        <f>'Land-Based Wind'!AB372/'Tax Credits'!R27</f>
        <v>0.86026278415476454</v>
      </c>
      <c r="P99" s="347">
        <f>'Land-Based Wind'!AC372/'Tax Credits'!S27</f>
        <v>0.86077191904117611</v>
      </c>
      <c r="Q99" s="347">
        <f>'Land-Based Wind'!AD372/'Tax Credits'!T27</f>
        <v>0.86128926383638382</v>
      </c>
      <c r="R99" s="347">
        <f>'Land-Based Wind'!AE372/'Tax Credits'!U27</f>
        <v>0.86181501800574978</v>
      </c>
      <c r="S99" s="347">
        <f>'Land-Based Wind'!AF372/'Tax Credits'!V27</f>
        <v>0.86234938750383328</v>
      </c>
      <c r="T99" s="347">
        <f>'Land-Based Wind'!AG372/'Tax Credits'!W27</f>
        <v>0.86289258503945143</v>
      </c>
      <c r="U99" s="347">
        <f>'Land-Based Wind'!AH372/'Tax Credits'!X27</f>
        <v>0.8634448303535156</v>
      </c>
      <c r="V99" s="347">
        <f>'Land-Based Wind'!AI372/'Tax Credits'!Y27</f>
        <v>0.86400635051092267</v>
      </c>
      <c r="W99" s="347">
        <f>'Land-Based Wind'!AJ372/'Tax Credits'!Z27</f>
        <v>0.85008713643046196</v>
      </c>
      <c r="X99" s="347">
        <f>'Land-Based Wind'!AK372/'Tax Credits'!AA27</f>
        <v>0.83566231480590503</v>
      </c>
      <c r="Y99" s="347">
        <f>$X99</f>
        <v>0.83566231480590503</v>
      </c>
      <c r="Z99" s="347">
        <f t="shared" si="4"/>
        <v>0.83566231480590503</v>
      </c>
      <c r="AA99" s="347">
        <f t="shared" si="4"/>
        <v>0.83566231480590503</v>
      </c>
      <c r="AB99" s="347">
        <f t="shared" si="4"/>
        <v>0.83566231480590503</v>
      </c>
      <c r="AC99" s="347">
        <f t="shared" si="4"/>
        <v>0.83566231480590503</v>
      </c>
      <c r="AD99" s="77"/>
      <c r="AE99" s="77"/>
      <c r="AF99" s="77"/>
      <c r="AG99" s="77"/>
      <c r="AH99" s="77"/>
      <c r="AI99" s="77"/>
      <c r="AJ99" s="77"/>
    </row>
    <row r="100" spans="1:36" ht="16.75" x14ac:dyDescent="1.1499999999999999">
      <c r="A100" s="103"/>
      <c r="B100" s="347"/>
      <c r="C100" s="77"/>
      <c r="D100" s="77"/>
      <c r="E100" s="348"/>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6.75" x14ac:dyDescent="1.1499999999999999">
      <c r="A101" s="103"/>
      <c r="B101" s="347"/>
      <c r="C101" s="77"/>
      <c r="D101" s="77"/>
      <c r="E101" s="348"/>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3.5" x14ac:dyDescent="0.7">
      <c r="A102" s="103" t="s">
        <v>723</v>
      </c>
      <c r="B102" s="109">
        <f>B90*B92*B93</f>
        <v>4.4409647325654635</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3.5" x14ac:dyDescent="0.7">
      <c r="A103" s="103" t="s">
        <v>724</v>
      </c>
      <c r="B103" s="109">
        <f>B91*B92*B93</f>
        <v>22.204823662827316</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3.5" x14ac:dyDescent="0.7">
      <c r="A104" s="103" t="s">
        <v>725</v>
      </c>
      <c r="B104" s="110">
        <v>0.02</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6.75" x14ac:dyDescent="1.1499999999999999">
      <c r="A105" s="103" t="s">
        <v>726</v>
      </c>
      <c r="B105" s="110">
        <v>0.1</v>
      </c>
      <c r="C105" s="77"/>
      <c r="D105" s="77"/>
      <c r="E105" s="111"/>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3.5" x14ac:dyDescent="0.7">
      <c r="A106" s="103" t="s">
        <v>595</v>
      </c>
      <c r="B106" s="110">
        <v>0</v>
      </c>
      <c r="C106" s="77" t="s">
        <v>822</v>
      </c>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3.5" x14ac:dyDescent="0.7">
      <c r="A107" s="103" t="s">
        <v>727</v>
      </c>
      <c r="B107" s="112">
        <v>7.4999999999999997E-2</v>
      </c>
      <c r="C107" s="77" t="s">
        <v>850</v>
      </c>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ht="13.5" x14ac:dyDescent="0.7">
      <c r="A108" s="103" t="s">
        <v>728</v>
      </c>
      <c r="B108" s="110">
        <v>0.1</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row>
    <row r="109" spans="1:36" ht="13.5" x14ac:dyDescent="0.7">
      <c r="A109" s="103" t="s">
        <v>729</v>
      </c>
      <c r="B109" s="110">
        <v>0.5</v>
      </c>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row>
    <row r="110" spans="1:36" ht="13.5" x14ac:dyDescent="0.7">
      <c r="A110" s="103"/>
      <c r="B110" s="103"/>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row>
    <row r="111" spans="1:36" s="116" customFormat="1" ht="13.5" x14ac:dyDescent="0.7">
      <c r="A111" s="113" t="s">
        <v>730</v>
      </c>
      <c r="B111" s="114"/>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row>
    <row r="112" spans="1:36" ht="13.5" x14ac:dyDescent="0.7">
      <c r="A112" s="103"/>
      <c r="B112" s="103">
        <v>2023</v>
      </c>
      <c r="C112" s="103">
        <v>2024</v>
      </c>
      <c r="D112" s="103">
        <v>2025</v>
      </c>
      <c r="E112" s="103">
        <v>2026</v>
      </c>
      <c r="F112" s="103">
        <v>2027</v>
      </c>
      <c r="G112" s="103">
        <v>2028</v>
      </c>
      <c r="H112" s="103">
        <v>2029</v>
      </c>
      <c r="I112" s="103">
        <v>2030</v>
      </c>
      <c r="J112" s="103">
        <v>2031</v>
      </c>
      <c r="K112" s="103">
        <v>2032</v>
      </c>
      <c r="L112" s="103">
        <v>2033</v>
      </c>
      <c r="M112" s="103">
        <v>2034</v>
      </c>
      <c r="N112" s="103">
        <v>2035</v>
      </c>
      <c r="O112" s="103">
        <v>2036</v>
      </c>
      <c r="P112" s="103">
        <v>2037</v>
      </c>
      <c r="Q112" s="103">
        <v>2038</v>
      </c>
      <c r="R112" s="103">
        <v>2039</v>
      </c>
      <c r="S112" s="103">
        <v>2040</v>
      </c>
      <c r="T112" s="103">
        <v>2041</v>
      </c>
      <c r="U112" s="103">
        <v>2042</v>
      </c>
      <c r="V112" s="103">
        <v>2043</v>
      </c>
      <c r="W112" s="103">
        <v>2044</v>
      </c>
      <c r="X112" s="103">
        <v>2045</v>
      </c>
      <c r="Y112" s="103">
        <v>2046</v>
      </c>
      <c r="Z112" s="103">
        <v>2047</v>
      </c>
      <c r="AA112" s="103">
        <v>2048</v>
      </c>
      <c r="AB112" s="103">
        <v>2049</v>
      </c>
      <c r="AC112" s="103">
        <v>2050</v>
      </c>
      <c r="AD112" s="103"/>
      <c r="AE112" s="77"/>
      <c r="AF112" s="77"/>
      <c r="AG112" s="77"/>
      <c r="AH112" s="77"/>
      <c r="AI112" s="77"/>
    </row>
    <row r="113" spans="1:36" ht="13.5" x14ac:dyDescent="0.7">
      <c r="A113" s="103" t="s">
        <v>731</v>
      </c>
      <c r="B113" s="117">
        <v>1</v>
      </c>
      <c r="C113" s="117">
        <v>1</v>
      </c>
      <c r="D113" s="117">
        <v>1</v>
      </c>
      <c r="E113" s="117">
        <v>1</v>
      </c>
      <c r="F113" s="117">
        <v>1</v>
      </c>
      <c r="G113" s="117">
        <v>1</v>
      </c>
      <c r="H113" s="117">
        <v>1</v>
      </c>
      <c r="I113" s="117">
        <v>1</v>
      </c>
      <c r="J113" s="117">
        <v>1</v>
      </c>
      <c r="K113" s="117">
        <v>1</v>
      </c>
      <c r="L113" s="117">
        <v>1</v>
      </c>
      <c r="M113" s="117">
        <f>L113</f>
        <v>1</v>
      </c>
      <c r="N113" s="117">
        <f t="shared" ref="N113:R113" si="5">M113</f>
        <v>1</v>
      </c>
      <c r="O113" s="117">
        <f t="shared" si="5"/>
        <v>1</v>
      </c>
      <c r="P113" s="117">
        <f t="shared" si="5"/>
        <v>1</v>
      </c>
      <c r="Q113" s="117">
        <f t="shared" si="5"/>
        <v>1</v>
      </c>
      <c r="R113" s="117">
        <f t="shared" si="5"/>
        <v>1</v>
      </c>
      <c r="S113" s="117">
        <f t="shared" ref="S113" si="6">R113</f>
        <v>1</v>
      </c>
      <c r="T113" s="117">
        <f>A14</f>
        <v>1</v>
      </c>
      <c r="U113" s="117">
        <f t="shared" ref="U113:W113" si="7">B14</f>
        <v>0.75</v>
      </c>
      <c r="V113" s="117">
        <f t="shared" si="7"/>
        <v>0.5</v>
      </c>
      <c r="W113" s="117">
        <f t="shared" si="7"/>
        <v>0</v>
      </c>
      <c r="X113" s="117">
        <f t="shared" ref="X113" si="8">W113</f>
        <v>0</v>
      </c>
      <c r="Y113" s="117">
        <f t="shared" ref="Y113" si="9">X113</f>
        <v>0</v>
      </c>
      <c r="Z113" s="117">
        <f t="shared" ref="Z113" si="10">Y113</f>
        <v>0</v>
      </c>
      <c r="AA113" s="117">
        <f t="shared" ref="AA113" si="11">Z113</f>
        <v>0</v>
      </c>
      <c r="AB113" s="117">
        <f t="shared" ref="AB113" si="12">AA113</f>
        <v>0</v>
      </c>
      <c r="AC113" s="117">
        <f t="shared" ref="AC113" si="13">AB113</f>
        <v>0</v>
      </c>
      <c r="AD113" s="77"/>
      <c r="AE113" s="77"/>
      <c r="AF113" s="77"/>
      <c r="AG113" s="77"/>
      <c r="AH113" s="77"/>
      <c r="AI113" s="77"/>
    </row>
    <row r="114" spans="1:36" ht="13.5" x14ac:dyDescent="0.7">
      <c r="A114" s="103"/>
      <c r="B114" s="103"/>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row>
    <row r="115" spans="1:36" ht="13.5" x14ac:dyDescent="0.7">
      <c r="A115" s="103" t="s">
        <v>732</v>
      </c>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c r="AD115" s="103"/>
      <c r="AE115" s="103"/>
      <c r="AF115" s="77"/>
      <c r="AG115" s="77"/>
      <c r="AH115" s="77"/>
      <c r="AI115" s="77"/>
      <c r="AJ115" s="77"/>
    </row>
    <row r="116" spans="1:36" ht="13.5" x14ac:dyDescent="0.7">
      <c r="A116" s="103"/>
      <c r="B116" s="103">
        <v>2023</v>
      </c>
      <c r="C116" s="103">
        <v>2024</v>
      </c>
      <c r="D116" s="103">
        <v>2025</v>
      </c>
      <c r="E116" s="103">
        <v>2026</v>
      </c>
      <c r="F116" s="103">
        <v>2027</v>
      </c>
      <c r="G116" s="103">
        <v>2028</v>
      </c>
      <c r="H116" s="103">
        <v>2029</v>
      </c>
      <c r="I116" s="103">
        <v>2030</v>
      </c>
      <c r="J116" s="103">
        <v>2031</v>
      </c>
      <c r="K116" s="103">
        <v>2032</v>
      </c>
      <c r="L116" s="103">
        <v>2033</v>
      </c>
      <c r="M116" s="103">
        <v>2034</v>
      </c>
      <c r="N116" s="103">
        <v>2035</v>
      </c>
      <c r="O116" s="103">
        <v>2036</v>
      </c>
      <c r="P116" s="103">
        <v>2037</v>
      </c>
      <c r="Q116" s="103">
        <v>2038</v>
      </c>
      <c r="R116" s="103">
        <v>2039</v>
      </c>
      <c r="S116" s="103">
        <v>2040</v>
      </c>
      <c r="T116" s="103">
        <v>2041</v>
      </c>
      <c r="U116" s="103">
        <v>2042</v>
      </c>
      <c r="V116" s="103">
        <v>2043</v>
      </c>
      <c r="W116" s="103">
        <v>2044</v>
      </c>
      <c r="X116" s="103">
        <v>2045</v>
      </c>
      <c r="Y116" s="103">
        <v>2046</v>
      </c>
      <c r="Z116" s="103">
        <v>2047</v>
      </c>
      <c r="AA116" s="103">
        <v>2048</v>
      </c>
      <c r="AB116" s="103">
        <v>2049</v>
      </c>
      <c r="AC116" s="103">
        <v>2050</v>
      </c>
      <c r="AD116" s="103"/>
      <c r="AE116" s="103"/>
      <c r="AF116" s="77"/>
      <c r="AG116" s="77"/>
      <c r="AH116" s="77"/>
      <c r="AI116" s="77"/>
      <c r="AJ116" s="77"/>
    </row>
    <row r="117" spans="1:36" ht="13.5" x14ac:dyDescent="0.7">
      <c r="A117" s="103" t="s">
        <v>733</v>
      </c>
      <c r="B117" s="118">
        <f>C117</f>
        <v>23.620381171332561</v>
      </c>
      <c r="C117" s="118">
        <f>D117</f>
        <v>23.620381171332561</v>
      </c>
      <c r="D117" s="118">
        <f>((($B$103*C47+$B$102*(1-C47))*(1+($B$105*C79+$B$104*(1-C79))))+(($B$103*C47+$B$102*(1-C47))*$B$108*$B$109))*D113*(1-$B$107)</f>
        <v>23.620381171332561</v>
      </c>
      <c r="E117" s="118">
        <f>((($B$103*D47+$B$102*(1-D47))*(1+($B$105*D79+$B$104*(1-D79))))+(($B$103*D47+$B$102*(1-D47))*$B$108*$B$109))*E113*(1-$B$107)</f>
        <v>23.620381171332561</v>
      </c>
      <c r="F117" s="118">
        <f>((($B$103*E47+$B$102*(1-E47))*(1+($B$105*E79+$B$104*(1-E79))))+(($B$103*E47+$B$102*(1-E47))*$B$108*$B$109))*F113*(1-$B$107)</f>
        <v>23.620381171332561</v>
      </c>
      <c r="G117" s="118">
        <f>((($B$103*F47+$B$102*(1-F47))*(1+($B$105*F79+$B$104*(1-F79))))+(($B$103*F47+$B$102*(1-F47))*$B$108*$B$109))*G113*(1-$B$107)</f>
        <v>23.620381171332561</v>
      </c>
      <c r="H117" s="118">
        <f>((($B$103*G47+$B$102*(1-G47))*(1+($B$105*G79+$B$104*(1-G79))))+(($B$103*G47+$B$102*(1-G47))*$B$108*$B$109))*H113*(1-$B$107)</f>
        <v>23.620381171332561</v>
      </c>
      <c r="I117" s="118">
        <f t="shared" ref="I117:AC117" si="14">((($B$103*H47+$B$102*(1-H47))*(1+($B$105*H79+$B$104*(1-H79))))+(($B$103*H47+$B$102*(1-H47))*$B$108*$B$109))*I113*(1-$B$107)</f>
        <v>23.620381171332561</v>
      </c>
      <c r="J117" s="118">
        <f t="shared" si="14"/>
        <v>23.620381171332561</v>
      </c>
      <c r="K117" s="118">
        <f t="shared" si="14"/>
        <v>23.620381171332561</v>
      </c>
      <c r="L117" s="118">
        <f>((($B$103*K47+$B$102*(1-K47))*(1+($B$105*K79+$B$104*(1-K79))))+(($B$103*K47+$B$102*(1-K47))*$B$108*$B$109))*L113*(1-$B$107)</f>
        <v>23.620381171332561</v>
      </c>
      <c r="M117" s="118">
        <f>((($B$103*L47+$B$102*(1-L47))*(1+($B$105*L79+$B$104*(1-L79))))+(($B$103*L47+$B$102*(1-L47))*$B$108*$B$109))*M113*(1-$B$107)</f>
        <v>23.620381171332561</v>
      </c>
      <c r="N117" s="118">
        <f>((($B$103*M47+$B$102*(1-M47))*(1+($B$105*M79+$B$104*(1-M79))))+(($B$103*M47+$B$102*(1-M47))*$B$108*$B$109))*N113*(1-$B$107)</f>
        <v>23.620381171332561</v>
      </c>
      <c r="O117" s="118">
        <f t="shared" si="14"/>
        <v>23.620381171332561</v>
      </c>
      <c r="P117" s="118">
        <f t="shared" si="14"/>
        <v>23.620381171332561</v>
      </c>
      <c r="Q117" s="118">
        <f t="shared" si="14"/>
        <v>23.620381171332561</v>
      </c>
      <c r="R117" s="118">
        <f t="shared" si="14"/>
        <v>23.620381171332561</v>
      </c>
      <c r="S117" s="118">
        <f t="shared" si="14"/>
        <v>23.620381171332561</v>
      </c>
      <c r="T117" s="118">
        <f>((($B$103*S47+$B$102*(1-S47))*(1+($B$105*S79+$B$104*(1-S79))))+(($B$103*S47+$B$102*(1-S47))*$B$108*$B$109))*T113*(1-$B$107)</f>
        <v>23.620381171332561</v>
      </c>
      <c r="U117" s="118">
        <f t="shared" si="14"/>
        <v>17.715285878499422</v>
      </c>
      <c r="V117" s="118">
        <f t="shared" si="14"/>
        <v>11.81019058566628</v>
      </c>
      <c r="W117" s="118">
        <f t="shared" si="14"/>
        <v>0</v>
      </c>
      <c r="X117" s="118">
        <f t="shared" si="14"/>
        <v>0</v>
      </c>
      <c r="Y117" s="118">
        <f t="shared" si="14"/>
        <v>0</v>
      </c>
      <c r="Z117" s="118">
        <f t="shared" si="14"/>
        <v>0</v>
      </c>
      <c r="AA117" s="118">
        <f t="shared" si="14"/>
        <v>0</v>
      </c>
      <c r="AB117" s="118">
        <f t="shared" si="14"/>
        <v>0</v>
      </c>
      <c r="AC117" s="118">
        <f t="shared" si="14"/>
        <v>0</v>
      </c>
      <c r="AD117" s="103"/>
      <c r="AE117" s="103"/>
      <c r="AF117" s="77"/>
      <c r="AG117" s="77"/>
      <c r="AH117" s="77"/>
      <c r="AI117" s="77"/>
      <c r="AJ117" s="77"/>
    </row>
    <row r="118" spans="1:36" ht="13.5" x14ac:dyDescent="0.7">
      <c r="A118" s="103" t="s">
        <v>734</v>
      </c>
      <c r="B118" s="118">
        <f>B117*$B$99*(1-$B$107)</f>
        <v>18.464045540966026</v>
      </c>
      <c r="C118" s="118">
        <f>C117*$B$99*(1-$B$107)</f>
        <v>18.464045540966026</v>
      </c>
      <c r="D118" s="118">
        <f>D117*B$99*(1-$B$107)</f>
        <v>18.464045540966026</v>
      </c>
      <c r="E118" s="118">
        <f t="shared" ref="E118:AC118" si="15">E117*C$99*(1-$B$107)</f>
        <v>18.582305296242133</v>
      </c>
      <c r="F118" s="118">
        <f t="shared" si="15"/>
        <v>18.605525919351447</v>
      </c>
      <c r="G118" s="118">
        <f t="shared" si="15"/>
        <v>18.629431854407127</v>
      </c>
      <c r="H118" s="118">
        <f t="shared" si="15"/>
        <v>18.654053742983038</v>
      </c>
      <c r="I118" s="118">
        <f>I117*G$99*(1-$B$107)</f>
        <v>18.679424071173838</v>
      </c>
      <c r="J118" s="118">
        <f t="shared" si="15"/>
        <v>18.705577309693794</v>
      </c>
      <c r="K118" s="118">
        <f t="shared" si="15"/>
        <v>18.732550066852841</v>
      </c>
      <c r="L118" s="118">
        <f t="shared" si="15"/>
        <v>18.742682061996398</v>
      </c>
      <c r="M118" s="118">
        <f t="shared" si="15"/>
        <v>18.752969971104079</v>
      </c>
      <c r="N118" s="118">
        <f t="shared" si="15"/>
        <v>18.763417409027497</v>
      </c>
      <c r="O118" s="118">
        <f t="shared" si="15"/>
        <v>18.774028102844987</v>
      </c>
      <c r="P118" s="118">
        <f t="shared" si="15"/>
        <v>18.784805896234786</v>
      </c>
      <c r="Q118" s="118">
        <f t="shared" si="15"/>
        <v>18.795754754053778</v>
      </c>
      <c r="R118" s="118">
        <f t="shared" si="15"/>
        <v>18.806878767132094</v>
      </c>
      <c r="S118" s="118">
        <f t="shared" si="15"/>
        <v>18.818182157297421</v>
      </c>
      <c r="T118" s="118">
        <f t="shared" si="15"/>
        <v>18.829669282639045</v>
      </c>
      <c r="U118" s="118">
        <f t="shared" si="15"/>
        <v>14.131008482270838</v>
      </c>
      <c r="V118" s="118">
        <f t="shared" si="15"/>
        <v>9.4266064429536076</v>
      </c>
      <c r="W118" s="118">
        <f t="shared" si="15"/>
        <v>0</v>
      </c>
      <c r="X118" s="118">
        <f t="shared" si="15"/>
        <v>0</v>
      </c>
      <c r="Y118" s="118">
        <f t="shared" si="15"/>
        <v>0</v>
      </c>
      <c r="Z118" s="118">
        <f t="shared" si="15"/>
        <v>0</v>
      </c>
      <c r="AA118" s="118">
        <f t="shared" si="15"/>
        <v>0</v>
      </c>
      <c r="AB118" s="118">
        <f t="shared" si="15"/>
        <v>0</v>
      </c>
      <c r="AC118" s="118">
        <f t="shared" si="15"/>
        <v>0</v>
      </c>
      <c r="AD118" s="103"/>
      <c r="AE118" s="103"/>
      <c r="AF118" s="77"/>
      <c r="AG118" s="77"/>
      <c r="AH118" s="77"/>
      <c r="AI118" s="77"/>
      <c r="AJ118" s="77"/>
    </row>
    <row r="119" spans="1:36" ht="13.5" x14ac:dyDescent="0.7">
      <c r="A119" s="103"/>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03"/>
      <c r="AE119" s="103"/>
      <c r="AF119" s="77"/>
      <c r="AG119" s="77"/>
      <c r="AH119" s="77"/>
      <c r="AI119" s="77"/>
      <c r="AJ119" s="77"/>
    </row>
    <row r="120" spans="1:36" ht="13.5" x14ac:dyDescent="0.7">
      <c r="A120" s="103" t="s">
        <v>735</v>
      </c>
      <c r="B120" s="118">
        <f t="shared" ref="B120:C120" si="16">C120</f>
        <v>22.802215534460078</v>
      </c>
      <c r="C120" s="118">
        <f t="shared" si="16"/>
        <v>22.802215534460078</v>
      </c>
      <c r="D120" s="118">
        <f>((($B$103*C47+$B$102*(1-C47))*(1+($B$105*C77+$B$104*(1-C77))))+(($B$103*C47+$B$102*(1-C47))*$B$108*$B$109))*D113*(1-$B$107)</f>
        <v>22.802215534460078</v>
      </c>
      <c r="E120" s="118">
        <f t="shared" ref="E120:P120" si="17">((($B$103*D47+$B$102*(1-D47))*(1+($B$105*D77+$B$104*(1-D77))))+(($B$103*D47+$B$102*(1-D47))*$B$108*$B$109))*E113*(1-$B$107)</f>
        <v>22.932610942961524</v>
      </c>
      <c r="F120" s="118">
        <f t="shared" si="17"/>
        <v>23.063006351462974</v>
      </c>
      <c r="G120" s="118">
        <f t="shared" si="17"/>
        <v>23.058270922222079</v>
      </c>
      <c r="H120" s="118">
        <f t="shared" si="17"/>
        <v>23.054482578829365</v>
      </c>
      <c r="I120" s="118">
        <f>((($B$103*H47+$B$102*(1-H47))*(1+($B$105*H77+$B$104*(1-H77))))+(($B$103*H47+$B$102*(1-H47))*$B$108*$B$109))*I113*(1-$B$107)</f>
        <v>23.051383025144418</v>
      </c>
      <c r="J120" s="118">
        <f t="shared" si="17"/>
        <v>23.051383025144418</v>
      </c>
      <c r="K120" s="118">
        <f t="shared" si="17"/>
        <v>23.051383025144418</v>
      </c>
      <c r="L120" s="118">
        <f>((($B$103*K47+$B$102*(1-K47))*(1+($B$105*K77+$B$104*(1-K77))))+(($B$103*K47+$B$102*(1-K47))*$B$108*$B$109))*L113*(1-$B$107)</f>
        <v>23.051383025144418</v>
      </c>
      <c r="M120" s="118">
        <f>((($B$103*L47+$B$102*(1-L47))*(1+($B$105*L77+$B$104*(1-L77))))+(($B$103*L47+$B$102*(1-L47))*$B$108*$B$109))*M113*(1-$B$107)</f>
        <v>23.051383025144418</v>
      </c>
      <c r="N120" s="118">
        <f>((($B$103*M47+$B$102*(1-M47))*(1+($B$105*M77+$B$104*(1-M77))))+(($B$103*M47+$B$102*(1-M47))*$B$108*$B$109))*N113*(1-$B$107)</f>
        <v>23.051383025144418</v>
      </c>
      <c r="O120" s="118">
        <f t="shared" si="17"/>
        <v>23.051383025144418</v>
      </c>
      <c r="P120" s="118">
        <f t="shared" si="17"/>
        <v>23.051383025144418</v>
      </c>
      <c r="Q120" s="118">
        <f t="shared" ref="Q120" si="18">((($B$103*P47+$B$102*(1-P47))*(1+($B$105*P77+$B$104*(1-P77))))+(($B$103*P47+$B$102*(1-P47))*$B$108*$B$109))*Q113*(1-$B$107)</f>
        <v>23.051383025144418</v>
      </c>
      <c r="R120" s="118">
        <f t="shared" ref="R120" si="19">((($B$103*Q47+$B$102*(1-Q47))*(1+($B$105*Q77+$B$104*(1-Q77))))+(($B$103*Q47+$B$102*(1-Q47))*$B$108*$B$109))*R113*(1-$B$107)</f>
        <v>23.051383025144418</v>
      </c>
      <c r="S120" s="118">
        <f t="shared" ref="S120" si="20">((($B$103*R47+$B$102*(1-R47))*(1+($B$105*R77+$B$104*(1-R77))))+(($B$103*R47+$B$102*(1-R47))*$B$108*$B$109))*S113*(1-$B$107)</f>
        <v>23.051383025144418</v>
      </c>
      <c r="T120" s="118">
        <f t="shared" ref="T120" si="21">((($B$103*S47+$B$102*(1-S47))*(1+($B$105*S77+$B$104*(1-S77))))+(($B$103*S47+$B$102*(1-S47))*$B$108*$B$109))*T113*(1-$B$107)</f>
        <v>23.051383025144418</v>
      </c>
      <c r="U120" s="118">
        <f t="shared" ref="U120" si="22">((($B$103*T47+$B$102*(1-T47))*(1+($B$105*T77+$B$104*(1-T77))))+(($B$103*T47+$B$102*(1-T47))*$B$108*$B$109))*U113*(1-$B$107)</f>
        <v>17.288537268858313</v>
      </c>
      <c r="V120" s="118">
        <f t="shared" ref="V120" si="23">((($B$103*U47+$B$102*(1-U47))*(1+($B$105*U77+$B$104*(1-U77))))+(($B$103*U47+$B$102*(1-U47))*$B$108*$B$109))*V113*(1-$B$107)</f>
        <v>11.525691512572209</v>
      </c>
      <c r="W120" s="118">
        <f t="shared" ref="W120" si="24">((($B$103*V47+$B$102*(1-V47))*(1+($B$105*V77+$B$104*(1-V77))))+(($B$103*V47+$B$102*(1-V47))*$B$108*$B$109))*W113*(1-$B$107)</f>
        <v>0</v>
      </c>
      <c r="X120" s="118">
        <f t="shared" ref="X120" si="25">((($B$103*W47+$B$102*(1-W47))*(1+($B$105*W77+$B$104*(1-W77))))+(($B$103*W47+$B$102*(1-W47))*$B$108*$B$109))*X113*(1-$B$107)</f>
        <v>0</v>
      </c>
      <c r="Y120" s="118">
        <f t="shared" ref="Y120" si="26">((($B$103*X47+$B$102*(1-X47))*(1+($B$105*X77+$B$104*(1-X77))))+(($B$103*X47+$B$102*(1-X47))*$B$108*$B$109))*Y113*(1-$B$107)</f>
        <v>0</v>
      </c>
      <c r="Z120" s="118">
        <f t="shared" ref="Z120" si="27">((($B$103*Y47+$B$102*(1-Y47))*(1+($B$105*Y77+$B$104*(1-Y77))))+(($B$103*Y47+$B$102*(1-Y47))*$B$108*$B$109))*Z113*(1-$B$107)</f>
        <v>0</v>
      </c>
      <c r="AA120" s="118">
        <f t="shared" ref="AA120" si="28">((($B$103*Z47+$B$102*(1-Z47))*(1+($B$105*Z77+$B$104*(1-Z77))))+(($B$103*Z47+$B$102*(1-Z47))*$B$108*$B$109))*AA113*(1-$B$107)</f>
        <v>0</v>
      </c>
      <c r="AB120" s="118">
        <f t="shared" ref="AB120" si="29">((($B$103*AA47+$B$102*(1-AA47))*(1+($B$105*AA77+$B$104*(1-AA77))))+(($B$103*AA47+$B$102*(1-AA47))*$B$108*$B$109))*AB113*(1-$B$107)</f>
        <v>0</v>
      </c>
      <c r="AC120" s="118">
        <f t="shared" ref="AC120" si="30">((($B$103*AB47+$B$102*(1-AB47))*(1+($B$105*AB77+$B$104*(1-AB77))))+(($B$103*AB47+$B$102*(1-AB47))*$B$108*$B$109))*AC113*(1-$B$107)</f>
        <v>0</v>
      </c>
      <c r="AD120" s="103"/>
      <c r="AE120" s="103"/>
      <c r="AF120" s="77"/>
      <c r="AG120" s="77"/>
      <c r="AH120" s="77"/>
      <c r="AI120" s="77"/>
      <c r="AJ120" s="77"/>
    </row>
    <row r="121" spans="1:36" ht="13.5" x14ac:dyDescent="0.7">
      <c r="A121" s="103" t="s">
        <v>736</v>
      </c>
      <c r="B121" s="118">
        <f>B120*B$98*(1-$B$107)</f>
        <v>17.156282454803549</v>
      </c>
      <c r="C121" s="118">
        <f t="shared" ref="C121:AC121" si="31">C120*C$98*(1-$B$107)</f>
        <v>17.192163919864438</v>
      </c>
      <c r="D121" s="118">
        <f t="shared" si="31"/>
        <v>17.209001326101614</v>
      </c>
      <c r="E121" s="118">
        <f t="shared" si="31"/>
        <v>17.325277467574079</v>
      </c>
      <c r="F121" s="118">
        <f t="shared" si="31"/>
        <v>17.44277368398911</v>
      </c>
      <c r="G121" s="118">
        <f t="shared" si="31"/>
        <v>17.45927805026535</v>
      </c>
      <c r="H121" s="118">
        <f t="shared" si="31"/>
        <v>17.477696778651403</v>
      </c>
      <c r="I121" s="118">
        <f t="shared" si="31"/>
        <v>17.497947473938165</v>
      </c>
      <c r="J121" s="118">
        <f t="shared" si="31"/>
        <v>17.521989968890971</v>
      </c>
      <c r="K121" s="118">
        <f t="shared" si="31"/>
        <v>17.54761689853126</v>
      </c>
      <c r="L121" s="118">
        <f t="shared" si="31"/>
        <v>17.57499004985219</v>
      </c>
      <c r="M121" s="118">
        <f t="shared" si="31"/>
        <v>17.604293981227542</v>
      </c>
      <c r="N121" s="118">
        <f t="shared" si="31"/>
        <v>17.635740168850454</v>
      </c>
      <c r="O121" s="118">
        <f t="shared" si="31"/>
        <v>17.64624626642831</v>
      </c>
      <c r="P121" s="118">
        <f t="shared" si="31"/>
        <v>17.65699862280611</v>
      </c>
      <c r="Q121" s="118">
        <f t="shared" si="31"/>
        <v>17.668005985199258</v>
      </c>
      <c r="R121" s="118">
        <f t="shared" si="31"/>
        <v>17.679277519369499</v>
      </c>
      <c r="S121" s="118">
        <f t="shared" si="31"/>
        <v>17.690822834919793</v>
      </c>
      <c r="T121" s="118">
        <f t="shared" si="31"/>
        <v>17.702652012438996</v>
      </c>
      <c r="U121" s="118">
        <f t="shared" si="31"/>
        <v>13.286081724497999</v>
      </c>
      <c r="V121" s="118">
        <f t="shared" si="31"/>
        <v>8.8636024039131573</v>
      </c>
      <c r="W121" s="118">
        <f t="shared" si="31"/>
        <v>0</v>
      </c>
      <c r="X121" s="118">
        <f t="shared" si="31"/>
        <v>0</v>
      </c>
      <c r="Y121" s="118">
        <f t="shared" si="31"/>
        <v>0</v>
      </c>
      <c r="Z121" s="118">
        <f t="shared" si="31"/>
        <v>0</v>
      </c>
      <c r="AA121" s="118">
        <f t="shared" si="31"/>
        <v>0</v>
      </c>
      <c r="AB121" s="118">
        <f t="shared" si="31"/>
        <v>0</v>
      </c>
      <c r="AC121" s="118">
        <f t="shared" si="31"/>
        <v>0</v>
      </c>
      <c r="AD121" s="103"/>
      <c r="AE121" s="103"/>
      <c r="AF121" s="77"/>
      <c r="AG121" s="77"/>
      <c r="AH121" s="77"/>
      <c r="AI121" s="77"/>
      <c r="AJ121" s="77"/>
    </row>
    <row r="122" spans="1:36" ht="13.5" x14ac:dyDescent="0.7">
      <c r="A122" s="103" t="s">
        <v>737</v>
      </c>
      <c r="B122" s="119">
        <f>B121*$B$93</f>
        <v>15.219521248819278</v>
      </c>
      <c r="C122" s="119">
        <f t="shared" ref="C122:AC122" si="32">C121*$B$93</f>
        <v>15.251352079383627</v>
      </c>
      <c r="D122" s="119">
        <f t="shared" si="32"/>
        <v>15.266288722136904</v>
      </c>
      <c r="E122" s="119">
        <f t="shared" si="32"/>
        <v>15.369438528077259</v>
      </c>
      <c r="F122" s="119">
        <f t="shared" si="32"/>
        <v>15.473670675519186</v>
      </c>
      <c r="G122" s="119">
        <f t="shared" si="32"/>
        <v>15.488311874969083</v>
      </c>
      <c r="H122" s="119">
        <f t="shared" si="32"/>
        <v>15.504651325475697</v>
      </c>
      <c r="I122" s="120">
        <f t="shared" si="32"/>
        <v>15.522615933369755</v>
      </c>
      <c r="J122" s="120">
        <f t="shared" si="32"/>
        <v>15.543944287211726</v>
      </c>
      <c r="K122" s="120">
        <f t="shared" si="32"/>
        <v>15.566678209973249</v>
      </c>
      <c r="L122" s="120">
        <f t="shared" si="32"/>
        <v>15.590961224622461</v>
      </c>
      <c r="M122" s="120">
        <f t="shared" si="32"/>
        <v>15.616957054862262</v>
      </c>
      <c r="N122" s="120">
        <f t="shared" si="32"/>
        <v>15.644853303480344</v>
      </c>
      <c r="O122" s="120">
        <f t="shared" si="32"/>
        <v>15.654173374757416</v>
      </c>
      <c r="P122" s="120">
        <f t="shared" si="32"/>
        <v>15.663711904843868</v>
      </c>
      <c r="Q122" s="120">
        <f t="shared" si="32"/>
        <v>15.67347665348783</v>
      </c>
      <c r="R122" s="118">
        <f>R121*$B$93</f>
        <v>15.68347575173436</v>
      </c>
      <c r="S122" s="118">
        <f t="shared" si="32"/>
        <v>15.693717724364788</v>
      </c>
      <c r="T122" s="118">
        <f t="shared" si="32"/>
        <v>15.70421151397707</v>
      </c>
      <c r="U122" s="118">
        <f t="shared" si="32"/>
        <v>11.786224880141855</v>
      </c>
      <c r="V122" s="118">
        <f t="shared" si="32"/>
        <v>7.8629962803900826</v>
      </c>
      <c r="W122" s="118">
        <f t="shared" si="32"/>
        <v>0</v>
      </c>
      <c r="X122" s="118">
        <f t="shared" si="32"/>
        <v>0</v>
      </c>
      <c r="Y122" s="118">
        <f t="shared" si="32"/>
        <v>0</v>
      </c>
      <c r="Z122" s="118">
        <f t="shared" si="32"/>
        <v>0</v>
      </c>
      <c r="AA122" s="118">
        <f t="shared" si="32"/>
        <v>0</v>
      </c>
      <c r="AB122" s="118">
        <f t="shared" si="32"/>
        <v>0</v>
      </c>
      <c r="AC122" s="118">
        <f t="shared" si="32"/>
        <v>0</v>
      </c>
      <c r="AD122" s="103"/>
      <c r="AE122" s="103"/>
      <c r="AF122" s="77"/>
      <c r="AG122" s="77"/>
      <c r="AH122" s="77"/>
      <c r="AI122" s="77"/>
      <c r="AJ122" s="77"/>
    </row>
    <row r="123" spans="1:36" ht="13.5" x14ac:dyDescent="0.7">
      <c r="A123" s="103" t="s">
        <v>738</v>
      </c>
      <c r="B123" s="119"/>
      <c r="C123" s="119"/>
      <c r="D123" s="119"/>
      <c r="E123" s="119"/>
      <c r="F123" s="119"/>
      <c r="G123" s="119"/>
      <c r="H123" s="119"/>
      <c r="I123" s="120"/>
      <c r="J123" s="120"/>
      <c r="K123" s="120"/>
      <c r="L123" s="120"/>
      <c r="M123" s="120"/>
      <c r="N123" s="120"/>
      <c r="O123" s="120"/>
      <c r="P123" s="120"/>
      <c r="Q123" s="120"/>
      <c r="R123" s="118"/>
      <c r="S123" s="118"/>
      <c r="T123" s="118"/>
      <c r="U123" s="118"/>
      <c r="V123" s="118"/>
      <c r="W123" s="118"/>
      <c r="X123" s="118"/>
      <c r="Y123" s="118"/>
      <c r="Z123" s="118"/>
      <c r="AA123" s="118"/>
      <c r="AB123" s="118"/>
      <c r="AC123" s="118"/>
      <c r="AD123" s="103"/>
      <c r="AE123" s="103"/>
      <c r="AF123" s="77"/>
      <c r="AG123" s="77"/>
      <c r="AH123" s="77"/>
      <c r="AI123" s="77"/>
      <c r="AJ123" s="77"/>
    </row>
    <row r="124" spans="1:36" ht="13.5" x14ac:dyDescent="0.7">
      <c r="A124" s="103"/>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03"/>
      <c r="AE124" s="103"/>
      <c r="AF124" s="77"/>
      <c r="AG124" s="77"/>
      <c r="AH124" s="77"/>
      <c r="AI124" s="77"/>
      <c r="AJ124" s="77"/>
    </row>
    <row r="125" spans="1:36" ht="13.5" x14ac:dyDescent="0.7">
      <c r="A125" s="103" t="s">
        <v>739</v>
      </c>
      <c r="B125" s="118">
        <f t="shared" ref="B125:C125" si="33">C125</f>
        <v>23.620381171332561</v>
      </c>
      <c r="C125" s="118">
        <f t="shared" si="33"/>
        <v>23.620381171332561</v>
      </c>
      <c r="D125" s="118">
        <f>((($B$103*C47+$B$102*(1-C47))*(1+($B$105*C79+$B$104*(1-C79))))+(($B$103*C47+$B$102*(1-C47))*$B$108*$B$109))*D113*(1-$B$107)</f>
        <v>23.620381171332561</v>
      </c>
      <c r="E125" s="118">
        <f t="shared" ref="E125:Q125" si="34">((($B$103*D47+$B$102*(1-D47))*(1+($B$105*D79+$B$104*(1-D79))))+(($B$103*D47+$B$102*(1-D47))*$B$108*$B$109))*E113*(1-$B$107)</f>
        <v>23.620381171332561</v>
      </c>
      <c r="F125" s="118">
        <f t="shared" si="34"/>
        <v>23.620381171332561</v>
      </c>
      <c r="G125" s="118">
        <f t="shared" si="34"/>
        <v>23.620381171332561</v>
      </c>
      <c r="H125" s="118">
        <f t="shared" si="34"/>
        <v>23.620381171332561</v>
      </c>
      <c r="I125" s="118">
        <f t="shared" si="34"/>
        <v>23.620381171332561</v>
      </c>
      <c r="J125" s="118">
        <f t="shared" si="34"/>
        <v>23.620381171332561</v>
      </c>
      <c r="K125" s="118">
        <f t="shared" si="34"/>
        <v>23.620381171332561</v>
      </c>
      <c r="L125" s="118">
        <f>((($B$103*K47+$B$102*(1-K47))*(1+($B$105*K79+$B$104*(1-K79))))+(($B$103*K47+$B$102*(1-K47))*$B$108*$B$109))*L113*(1-$B$107)</f>
        <v>23.620381171332561</v>
      </c>
      <c r="M125" s="118">
        <f>((($B$103*L47+$B$102*(1-L47))*(1+($B$105*L79+$B$104*(1-L79))))+(($B$103*L47+$B$102*(1-L47))*$B$108*$B$109))*M113*(1-$B$107)</f>
        <v>23.620381171332561</v>
      </c>
      <c r="N125" s="118">
        <f>((($B$103*M47+$B$102*(1-M47))*(1+($B$105*M79+$B$104*(1-M79))))+(($B$103*M47+$B$102*(1-M47))*$B$108*$B$109))*N113*(1-$B$107)</f>
        <v>23.620381171332561</v>
      </c>
      <c r="O125" s="118">
        <f t="shared" si="34"/>
        <v>23.620381171332561</v>
      </c>
      <c r="P125" s="118">
        <f t="shared" si="34"/>
        <v>23.620381171332561</v>
      </c>
      <c r="Q125" s="118">
        <f t="shared" si="34"/>
        <v>23.620381171332561</v>
      </c>
      <c r="R125" s="118">
        <f t="shared" ref="R125:AC125" si="35">((($B$103*Q47+$B$102*(1-Q47))*(1+($B$105*Q79+$B$104*(1-Q79))))+(($B$103*Q47+$B$102*(1-Q47))*$B$108*$B$109))*R113*(1-P107)</f>
        <v>25.535547212251416</v>
      </c>
      <c r="S125" s="118">
        <f t="shared" si="35"/>
        <v>25.535547212251416</v>
      </c>
      <c r="T125" s="118">
        <f t="shared" si="35"/>
        <v>25.535547212251416</v>
      </c>
      <c r="U125" s="118">
        <f t="shared" si="35"/>
        <v>19.151660409188562</v>
      </c>
      <c r="V125" s="118">
        <f t="shared" si="35"/>
        <v>12.767773606125708</v>
      </c>
      <c r="W125" s="118">
        <f t="shared" si="35"/>
        <v>0</v>
      </c>
      <c r="X125" s="118">
        <f t="shared" si="35"/>
        <v>0</v>
      </c>
      <c r="Y125" s="118">
        <f t="shared" si="35"/>
        <v>0</v>
      </c>
      <c r="Z125" s="118">
        <f t="shared" si="35"/>
        <v>0</v>
      </c>
      <c r="AA125" s="118">
        <f t="shared" si="35"/>
        <v>0</v>
      </c>
      <c r="AB125" s="118">
        <f t="shared" si="35"/>
        <v>0</v>
      </c>
      <c r="AC125" s="118">
        <f t="shared" si="35"/>
        <v>0</v>
      </c>
      <c r="AD125" s="103"/>
      <c r="AE125" s="103"/>
      <c r="AF125" s="77"/>
      <c r="AG125" s="77"/>
      <c r="AH125" s="77"/>
      <c r="AI125" s="77"/>
      <c r="AJ125" s="77"/>
    </row>
    <row r="126" spans="1:36" ht="13.5" x14ac:dyDescent="0.7">
      <c r="A126" s="103" t="s">
        <v>740</v>
      </c>
      <c r="B126" s="118">
        <f>B125*$B$99*(1-$B$107)</f>
        <v>18.464045540966026</v>
      </c>
      <c r="C126" s="118">
        <f t="shared" ref="C126" si="36">C125*$B$99*(1-$B$107)</f>
        <v>18.464045540966026</v>
      </c>
      <c r="D126" s="118">
        <f t="shared" ref="D126" si="37">D125*$B$99*(1-$B$107)</f>
        <v>18.464045540966026</v>
      </c>
      <c r="E126" s="118">
        <f t="shared" ref="E126" si="38">E125*$B$99*(1-$B$107)</f>
        <v>18.464045540966026</v>
      </c>
      <c r="F126" s="118">
        <f t="shared" ref="F126" si="39">F125*$B$99*(1-$B$107)</f>
        <v>18.464045540966026</v>
      </c>
      <c r="G126" s="118">
        <f t="shared" ref="G126" si="40">G125*$B$99*(1-$B$107)</f>
        <v>18.464045540966026</v>
      </c>
      <c r="H126" s="118">
        <f t="shared" ref="H126" si="41">H125*$B$99*(1-$B$107)</f>
        <v>18.464045540966026</v>
      </c>
      <c r="I126" s="118">
        <f t="shared" ref="I126" si="42">I125*$B$99*(1-$B$107)</f>
        <v>18.464045540966026</v>
      </c>
      <c r="J126" s="118">
        <f t="shared" ref="J126" si="43">J125*$B$99*(1-$B$107)</f>
        <v>18.464045540966026</v>
      </c>
      <c r="K126" s="118">
        <f t="shared" ref="K126" si="44">K125*$B$99*(1-$B$107)</f>
        <v>18.464045540966026</v>
      </c>
      <c r="L126" s="118">
        <f t="shared" ref="L126" si="45">L125*$B$99*(1-$B$107)</f>
        <v>18.464045540966026</v>
      </c>
      <c r="M126" s="118">
        <f t="shared" ref="M126" si="46">M125*$B$99*(1-$B$107)</f>
        <v>18.464045540966026</v>
      </c>
      <c r="N126" s="118">
        <f t="shared" ref="N126" si="47">N125*$B$99*(1-$B$107)</f>
        <v>18.464045540966026</v>
      </c>
      <c r="O126" s="118">
        <f t="shared" ref="O126" si="48">O125*$B$99*(1-$B$107)</f>
        <v>18.464045540966026</v>
      </c>
      <c r="P126" s="118">
        <f t="shared" ref="P126" si="49">P125*$B$99*(1-$B$107)</f>
        <v>18.464045540966026</v>
      </c>
      <c r="Q126" s="118">
        <f t="shared" ref="Q126" si="50">Q125*$B$99*(1-$B$107)</f>
        <v>18.464045540966026</v>
      </c>
      <c r="R126" s="118">
        <f t="shared" ref="R126" si="51">R125*$B$99*(1-$B$107)</f>
        <v>19.961130314557867</v>
      </c>
      <c r="S126" s="118">
        <f t="shared" ref="S126" si="52">S125*$B$99*(1-$B$107)</f>
        <v>19.961130314557867</v>
      </c>
      <c r="T126" s="118">
        <f t="shared" ref="T126" si="53">T125*$B$99*(1-$B$107)</f>
        <v>19.961130314557867</v>
      </c>
      <c r="U126" s="118">
        <f t="shared" ref="U126" si="54">U125*$B$99*(1-$B$107)</f>
        <v>14.970847735918401</v>
      </c>
      <c r="V126" s="118">
        <f t="shared" ref="V126" si="55">V125*$B$99*(1-$B$107)</f>
        <v>9.9805651572789333</v>
      </c>
      <c r="W126" s="118">
        <f t="shared" ref="W126" si="56">W125*$B$99*(1-$B$107)</f>
        <v>0</v>
      </c>
      <c r="X126" s="118">
        <f t="shared" ref="X126" si="57">X125*$B$99*(1-$B$107)</f>
        <v>0</v>
      </c>
      <c r="Y126" s="118">
        <f t="shared" ref="Y126" si="58">Y125*$B$99*(1-$B$107)</f>
        <v>0</v>
      </c>
      <c r="Z126" s="118">
        <f t="shared" ref="Z126" si="59">Z125*$B$99*(1-$B$107)</f>
        <v>0</v>
      </c>
      <c r="AA126" s="118">
        <f t="shared" ref="AA126" si="60">AA125*$B$99*(1-$B$107)</f>
        <v>0</v>
      </c>
      <c r="AB126" s="118">
        <f t="shared" ref="AB126" si="61">AB125*$B$99*(1-$B$107)</f>
        <v>0</v>
      </c>
      <c r="AC126" s="118">
        <f t="shared" ref="AC126" si="62">AC125*$B$99*(1-$B$107)</f>
        <v>0</v>
      </c>
      <c r="AD126" s="103"/>
      <c r="AE126" s="103"/>
      <c r="AF126" s="77"/>
      <c r="AG126" s="77"/>
      <c r="AH126" s="77"/>
      <c r="AI126" s="77"/>
      <c r="AJ126" s="77"/>
    </row>
    <row r="127" spans="1:36" ht="13.5" x14ac:dyDescent="0.7">
      <c r="A127" s="103" t="s">
        <v>741</v>
      </c>
      <c r="B127" s="118">
        <f>B126*$B$93</f>
        <v>16.379651838339772</v>
      </c>
      <c r="C127" s="118">
        <f t="shared" ref="C127:AC127" si="63">C126*$B$93</f>
        <v>16.379651838339772</v>
      </c>
      <c r="D127" s="118">
        <f t="shared" si="63"/>
        <v>16.379651838339772</v>
      </c>
      <c r="E127" s="118">
        <f t="shared" si="63"/>
        <v>16.379651838339772</v>
      </c>
      <c r="F127" s="118">
        <f t="shared" si="63"/>
        <v>16.379651838339772</v>
      </c>
      <c r="G127" s="118">
        <f t="shared" si="63"/>
        <v>16.379651838339772</v>
      </c>
      <c r="H127" s="118">
        <f t="shared" si="63"/>
        <v>16.379651838339772</v>
      </c>
      <c r="I127" s="118">
        <f t="shared" si="63"/>
        <v>16.379651838339772</v>
      </c>
      <c r="J127" s="118">
        <f t="shared" si="63"/>
        <v>16.379651838339772</v>
      </c>
      <c r="K127" s="118">
        <f t="shared" si="63"/>
        <v>16.379651838339772</v>
      </c>
      <c r="L127" s="118">
        <f t="shared" si="63"/>
        <v>16.379651838339772</v>
      </c>
      <c r="M127" s="118">
        <f t="shared" si="63"/>
        <v>16.379651838339772</v>
      </c>
      <c r="N127" s="118">
        <f t="shared" si="63"/>
        <v>16.379651838339772</v>
      </c>
      <c r="O127" s="118">
        <f t="shared" si="63"/>
        <v>16.379651838339772</v>
      </c>
      <c r="P127" s="118">
        <f t="shared" si="63"/>
        <v>16.379651838339772</v>
      </c>
      <c r="Q127" s="118">
        <f t="shared" si="63"/>
        <v>16.379651838339772</v>
      </c>
      <c r="R127" s="118">
        <f t="shared" si="63"/>
        <v>17.707731717124076</v>
      </c>
      <c r="S127" s="118">
        <f t="shared" si="63"/>
        <v>17.707731717124076</v>
      </c>
      <c r="T127" s="118">
        <f t="shared" si="63"/>
        <v>17.707731717124076</v>
      </c>
      <c r="U127" s="118">
        <f t="shared" si="63"/>
        <v>13.280798787843057</v>
      </c>
      <c r="V127" s="118">
        <f t="shared" si="63"/>
        <v>8.8538658585620382</v>
      </c>
      <c r="W127" s="118">
        <f t="shared" si="63"/>
        <v>0</v>
      </c>
      <c r="X127" s="118">
        <f t="shared" si="63"/>
        <v>0</v>
      </c>
      <c r="Y127" s="118">
        <f t="shared" si="63"/>
        <v>0</v>
      </c>
      <c r="Z127" s="118">
        <f t="shared" si="63"/>
        <v>0</v>
      </c>
      <c r="AA127" s="118">
        <f t="shared" si="63"/>
        <v>0</v>
      </c>
      <c r="AB127" s="118">
        <f t="shared" si="63"/>
        <v>0</v>
      </c>
      <c r="AC127" s="118">
        <f t="shared" si="63"/>
        <v>0</v>
      </c>
      <c r="AD127" s="103"/>
      <c r="AE127" s="103"/>
      <c r="AF127" s="77"/>
      <c r="AG127" s="77"/>
      <c r="AH127" s="77"/>
      <c r="AI127" s="77"/>
      <c r="AJ127" s="77"/>
    </row>
    <row r="128" spans="1:36" ht="13.5" x14ac:dyDescent="0.7">
      <c r="A128" s="103"/>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03"/>
      <c r="AE128" s="103"/>
      <c r="AF128" s="77"/>
      <c r="AG128" s="77"/>
      <c r="AH128" s="77"/>
      <c r="AI128" s="77"/>
      <c r="AJ128" s="77"/>
    </row>
    <row r="129" spans="1:36" ht="13.5" x14ac:dyDescent="0.7">
      <c r="A129" s="103" t="s">
        <v>742</v>
      </c>
      <c r="B129" s="118">
        <f t="shared" ref="B129:C129" si="64">C129</f>
        <v>23.620381171332561</v>
      </c>
      <c r="C129" s="118">
        <f t="shared" si="64"/>
        <v>23.620381171332561</v>
      </c>
      <c r="D129" s="118">
        <f>((($B$103*C47+$B$102*(1-C47))*(1+($B$105*C79+$B$104*(1-C79))))+(($B$103*C47+$B$102*(1-C47))*$B$108*$B$109))*D113*(1-$B$107)</f>
        <v>23.620381171332561</v>
      </c>
      <c r="E129" s="118">
        <f t="shared" ref="E129:P129" si="65">((($B$103*D47+$B$102*(1-D47))*(1+($B$105*D79+$B$104*(1-D79))))+(($B$103*D47+$B$102*(1-D47))*$B$108*$B$109))*E113*(1-$B$107)</f>
        <v>23.620381171332561</v>
      </c>
      <c r="F129" s="118">
        <f t="shared" si="65"/>
        <v>23.620381171332561</v>
      </c>
      <c r="G129" s="118">
        <f t="shared" si="65"/>
        <v>23.620381171332561</v>
      </c>
      <c r="H129" s="118">
        <f t="shared" si="65"/>
        <v>23.620381171332561</v>
      </c>
      <c r="I129" s="118">
        <f t="shared" si="65"/>
        <v>23.620381171332561</v>
      </c>
      <c r="J129" s="118">
        <f t="shared" si="65"/>
        <v>23.620381171332561</v>
      </c>
      <c r="K129" s="118">
        <f t="shared" si="65"/>
        <v>23.620381171332561</v>
      </c>
      <c r="L129" s="118">
        <f>((($B$103*K47+$B$102*(1-K47))*(1+($B$105*K79+$B$104*(1-K79))))+(($B$103*K47+$B$102*(1-K47))*$B$108*$B$109))*L113*(1-$B$107)</f>
        <v>23.620381171332561</v>
      </c>
      <c r="M129" s="118">
        <f>((($B$103*L47+$B$102*(1-L47))*(1+($B$105*L79+$B$104*(1-L79))))+(($B$103*L47+$B$102*(1-L47))*$B$108*$B$109))*M113*(1-$B$107)</f>
        <v>23.620381171332561</v>
      </c>
      <c r="N129" s="118">
        <f>((($B$103*M47+$B$102*(1-M47))*(1+($B$105*M79+$B$104*(1-M79))))+(($B$103*M47+$B$102*(1-M47))*$B$108*$B$109))*N113*(1-$B$107)</f>
        <v>23.620381171332561</v>
      </c>
      <c r="O129" s="118">
        <f t="shared" si="65"/>
        <v>23.620381171332561</v>
      </c>
      <c r="P129" s="118">
        <f t="shared" si="65"/>
        <v>23.620381171332561</v>
      </c>
      <c r="Q129" s="118">
        <f>((($B$103*P47+$B$102*(1-P47))*(1+($B$105*P79+$B$104*(1-P79))))+(($B$103*P47+$B$102*(1-P47))*$B$108*$B$109))*Q113*(1-$B$107)</f>
        <v>23.620381171332561</v>
      </c>
      <c r="R129" s="118">
        <f t="shared" ref="R129:AC129" si="66">((($B$103*Q47+$B$102*(1-Q47))*(1+($B$105*Q79+$B$104*(1-Q79))))+(($B$103*Q47+$B$102*(1-Q47))*$B$108*$B$109))*R113*(1-P107)</f>
        <v>25.535547212251416</v>
      </c>
      <c r="S129" s="118">
        <f t="shared" si="66"/>
        <v>25.535547212251416</v>
      </c>
      <c r="T129" s="118">
        <f t="shared" si="66"/>
        <v>25.535547212251416</v>
      </c>
      <c r="U129" s="118">
        <f t="shared" si="66"/>
        <v>19.151660409188562</v>
      </c>
      <c r="V129" s="118">
        <f t="shared" si="66"/>
        <v>12.767773606125708</v>
      </c>
      <c r="W129" s="118">
        <f t="shared" si="66"/>
        <v>0</v>
      </c>
      <c r="X129" s="118">
        <f t="shared" si="66"/>
        <v>0</v>
      </c>
      <c r="Y129" s="118">
        <f t="shared" si="66"/>
        <v>0</v>
      </c>
      <c r="Z129" s="118">
        <f t="shared" si="66"/>
        <v>0</v>
      </c>
      <c r="AA129" s="118">
        <f t="shared" si="66"/>
        <v>0</v>
      </c>
      <c r="AB129" s="118">
        <f t="shared" si="66"/>
        <v>0</v>
      </c>
      <c r="AC129" s="118">
        <f t="shared" si="66"/>
        <v>0</v>
      </c>
      <c r="AD129" s="103"/>
      <c r="AE129" s="103"/>
      <c r="AF129" s="77"/>
      <c r="AG129" s="77"/>
      <c r="AH129" s="77"/>
      <c r="AI129" s="77"/>
      <c r="AJ129" s="77"/>
    </row>
    <row r="130" spans="1:36" ht="13.5" x14ac:dyDescent="0.7">
      <c r="A130" s="103" t="s">
        <v>743</v>
      </c>
      <c r="B130" s="118">
        <f>B129*$B$99*(1-$B$107)</f>
        <v>18.464045540966026</v>
      </c>
      <c r="C130" s="118">
        <f t="shared" ref="C130" si="67">C129*$B$99*(1-$B$107)</f>
        <v>18.464045540966026</v>
      </c>
      <c r="D130" s="118">
        <f t="shared" ref="D130" si="68">D129*$B$99*(1-$B$107)</f>
        <v>18.464045540966026</v>
      </c>
      <c r="E130" s="118">
        <f t="shared" ref="E130" si="69">E129*$B$99*(1-$B$107)</f>
        <v>18.464045540966026</v>
      </c>
      <c r="F130" s="118">
        <f t="shared" ref="F130" si="70">F129*$B$99*(1-$B$107)</f>
        <v>18.464045540966026</v>
      </c>
      <c r="G130" s="118">
        <f t="shared" ref="G130" si="71">G129*$B$99*(1-$B$107)</f>
        <v>18.464045540966026</v>
      </c>
      <c r="H130" s="118">
        <f t="shared" ref="H130" si="72">H129*$B$99*(1-$B$107)</f>
        <v>18.464045540966026</v>
      </c>
      <c r="I130" s="118">
        <f t="shared" ref="I130" si="73">I129*$B$99*(1-$B$107)</f>
        <v>18.464045540966026</v>
      </c>
      <c r="J130" s="118">
        <f t="shared" ref="J130" si="74">J129*$B$99*(1-$B$107)</f>
        <v>18.464045540966026</v>
      </c>
      <c r="K130" s="118">
        <f t="shared" ref="K130" si="75">K129*$B$99*(1-$B$107)</f>
        <v>18.464045540966026</v>
      </c>
      <c r="L130" s="118">
        <f t="shared" ref="L130" si="76">L129*$B$99*(1-$B$107)</f>
        <v>18.464045540966026</v>
      </c>
      <c r="M130" s="118">
        <f t="shared" ref="M130" si="77">M129*$B$99*(1-$B$107)</f>
        <v>18.464045540966026</v>
      </c>
      <c r="N130" s="118">
        <f t="shared" ref="N130" si="78">N129*$B$99*(1-$B$107)</f>
        <v>18.464045540966026</v>
      </c>
      <c r="O130" s="118">
        <f t="shared" ref="O130" si="79">O129*$B$99*(1-$B$107)</f>
        <v>18.464045540966026</v>
      </c>
      <c r="P130" s="118">
        <f t="shared" ref="P130" si="80">P129*$B$99*(1-$B$107)</f>
        <v>18.464045540966026</v>
      </c>
      <c r="Q130" s="118">
        <f t="shared" ref="Q130" si="81">Q129*$B$99*(1-$B$107)</f>
        <v>18.464045540966026</v>
      </c>
      <c r="R130" s="118">
        <f t="shared" ref="R130" si="82">R129*$B$99*(1-$B$107)</f>
        <v>19.961130314557867</v>
      </c>
      <c r="S130" s="118">
        <f t="shared" ref="S130" si="83">S129*$B$99*(1-$B$107)</f>
        <v>19.961130314557867</v>
      </c>
      <c r="T130" s="118">
        <f t="shared" ref="T130" si="84">T129*$B$99*(1-$B$107)</f>
        <v>19.961130314557867</v>
      </c>
      <c r="U130" s="118">
        <f t="shared" ref="U130" si="85">U129*$B$99*(1-$B$107)</f>
        <v>14.970847735918401</v>
      </c>
      <c r="V130" s="118">
        <f t="shared" ref="V130" si="86">V129*$B$99*(1-$B$107)</f>
        <v>9.9805651572789333</v>
      </c>
      <c r="W130" s="118">
        <f t="shared" ref="W130" si="87">W129*$B$99*(1-$B$107)</f>
        <v>0</v>
      </c>
      <c r="X130" s="118">
        <f t="shared" ref="X130" si="88">X129*$B$99*(1-$B$107)</f>
        <v>0</v>
      </c>
      <c r="Y130" s="118">
        <f t="shared" ref="Y130" si="89">Y129*$B$99*(1-$B$107)</f>
        <v>0</v>
      </c>
      <c r="Z130" s="118">
        <f t="shared" ref="Z130" si="90">Z129*$B$99*(1-$B$107)</f>
        <v>0</v>
      </c>
      <c r="AA130" s="118">
        <f t="shared" ref="AA130" si="91">AA129*$B$99*(1-$B$107)</f>
        <v>0</v>
      </c>
      <c r="AB130" s="118">
        <f t="shared" ref="AB130" si="92">AB129*$B$99*(1-$B$107)</f>
        <v>0</v>
      </c>
      <c r="AC130" s="118">
        <f t="shared" ref="AC130" si="93">AC129*$B$99*(1-$B$107)</f>
        <v>0</v>
      </c>
      <c r="AD130" s="103"/>
      <c r="AE130" s="103"/>
      <c r="AF130" s="77"/>
      <c r="AG130" s="77"/>
      <c r="AH130" s="77"/>
      <c r="AI130" s="77"/>
      <c r="AJ130" s="77"/>
    </row>
    <row r="131" spans="1:36" ht="13.5" x14ac:dyDescent="0.7">
      <c r="A131" s="103" t="s">
        <v>744</v>
      </c>
      <c r="B131" s="118">
        <f>B130*$B$93</f>
        <v>16.379651838339772</v>
      </c>
      <c r="C131" s="118">
        <f t="shared" ref="C131:AC131" si="94">C130*$B$93</f>
        <v>16.379651838339772</v>
      </c>
      <c r="D131" s="118">
        <f t="shared" si="94"/>
        <v>16.379651838339772</v>
      </c>
      <c r="E131" s="118">
        <f t="shared" si="94"/>
        <v>16.379651838339772</v>
      </c>
      <c r="F131" s="118">
        <f t="shared" si="94"/>
        <v>16.379651838339772</v>
      </c>
      <c r="G131" s="118">
        <f t="shared" si="94"/>
        <v>16.379651838339772</v>
      </c>
      <c r="H131" s="118">
        <f t="shared" si="94"/>
        <v>16.379651838339772</v>
      </c>
      <c r="I131" s="118">
        <f t="shared" si="94"/>
        <v>16.379651838339772</v>
      </c>
      <c r="J131" s="118">
        <f t="shared" si="94"/>
        <v>16.379651838339772</v>
      </c>
      <c r="K131" s="118">
        <f t="shared" si="94"/>
        <v>16.379651838339772</v>
      </c>
      <c r="L131" s="118">
        <f t="shared" si="94"/>
        <v>16.379651838339772</v>
      </c>
      <c r="M131" s="118">
        <f t="shared" si="94"/>
        <v>16.379651838339772</v>
      </c>
      <c r="N131" s="118">
        <f t="shared" si="94"/>
        <v>16.379651838339772</v>
      </c>
      <c r="O131" s="118">
        <f t="shared" si="94"/>
        <v>16.379651838339772</v>
      </c>
      <c r="P131" s="118">
        <f t="shared" si="94"/>
        <v>16.379651838339772</v>
      </c>
      <c r="Q131" s="118">
        <f t="shared" si="94"/>
        <v>16.379651838339772</v>
      </c>
      <c r="R131" s="118">
        <f t="shared" si="94"/>
        <v>17.707731717124076</v>
      </c>
      <c r="S131" s="118">
        <f t="shared" si="94"/>
        <v>17.707731717124076</v>
      </c>
      <c r="T131" s="118">
        <f t="shared" si="94"/>
        <v>17.707731717124076</v>
      </c>
      <c r="U131" s="118">
        <f t="shared" si="94"/>
        <v>13.280798787843057</v>
      </c>
      <c r="V131" s="118">
        <f t="shared" si="94"/>
        <v>8.8538658585620382</v>
      </c>
      <c r="W131" s="118">
        <f t="shared" si="94"/>
        <v>0</v>
      </c>
      <c r="X131" s="118">
        <f t="shared" si="94"/>
        <v>0</v>
      </c>
      <c r="Y131" s="118">
        <f t="shared" si="94"/>
        <v>0</v>
      </c>
      <c r="Z131" s="118">
        <f t="shared" si="94"/>
        <v>0</v>
      </c>
      <c r="AA131" s="118">
        <f t="shared" si="94"/>
        <v>0</v>
      </c>
      <c r="AB131" s="118">
        <f t="shared" si="94"/>
        <v>0</v>
      </c>
      <c r="AC131" s="118">
        <f t="shared" si="94"/>
        <v>0</v>
      </c>
      <c r="AD131" s="103"/>
      <c r="AE131" s="103"/>
      <c r="AF131" s="77"/>
      <c r="AG131" s="77"/>
      <c r="AH131" s="77"/>
      <c r="AI131" s="77"/>
      <c r="AJ131" s="77"/>
    </row>
    <row r="132" spans="1:36" ht="13.5" x14ac:dyDescent="0.7">
      <c r="A132" s="103"/>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03"/>
      <c r="AE132" s="103"/>
      <c r="AF132" s="77"/>
      <c r="AG132" s="77"/>
      <c r="AH132" s="77"/>
      <c r="AI132" s="77"/>
      <c r="AJ132" s="77"/>
    </row>
    <row r="133" spans="1:36" ht="13.5" x14ac:dyDescent="0.7">
      <c r="A133" s="103" t="s">
        <v>745</v>
      </c>
      <c r="B133" s="118">
        <f t="shared" ref="B133:C133" si="95">C133</f>
        <v>23.620381171332561</v>
      </c>
      <c r="C133" s="118">
        <f t="shared" si="95"/>
        <v>23.620381171332561</v>
      </c>
      <c r="D133" s="118">
        <f>((($B$103*C47+$B$102*(1-C47))*(1+($B$105*C79+$B$104*(1-C79))))+(($B$103*C47+$B$102*(1-C47))*$B$108*$B$109))*D113*(1-$B$107)</f>
        <v>23.620381171332561</v>
      </c>
      <c r="E133" s="118">
        <f t="shared" ref="E133:P133" si="96">((($B$103*D47+$B$102*(1-D47))*(1+($B$105*D79+$B$104*(1-D79))))+(($B$103*D47+$B$102*(1-D47))*$B$108*$B$109))*E113*(1-$B$107)</f>
        <v>23.620381171332561</v>
      </c>
      <c r="F133" s="118">
        <f t="shared" si="96"/>
        <v>23.620381171332561</v>
      </c>
      <c r="G133" s="118">
        <f t="shared" si="96"/>
        <v>23.620381171332561</v>
      </c>
      <c r="H133" s="118">
        <f t="shared" si="96"/>
        <v>23.620381171332561</v>
      </c>
      <c r="I133" s="118">
        <f t="shared" si="96"/>
        <v>23.620381171332561</v>
      </c>
      <c r="J133" s="118">
        <f t="shared" si="96"/>
        <v>23.620381171332561</v>
      </c>
      <c r="K133" s="118">
        <f t="shared" si="96"/>
        <v>23.620381171332561</v>
      </c>
      <c r="L133" s="118">
        <f>((($B$103*K47+$B$102*(1-K47))*(1+($B$105*K79+$B$104*(1-K79))))+(($B$103*K47+$B$102*(1-K47))*$B$108*$B$109))*L113*(1-$B$107)</f>
        <v>23.620381171332561</v>
      </c>
      <c r="M133" s="118">
        <f>((($B$103*L47+$B$102*(1-L47))*(1+($B$105*L79+$B$104*(1-L79))))+(($B$103*L47+$B$102*(1-L47))*$B$108*$B$109))*M113*(1-$B$107)</f>
        <v>23.620381171332561</v>
      </c>
      <c r="N133" s="118">
        <f>((($B$103*M47+$B$102*(1-M47))*(1+($B$105*M79+$B$104*(1-M79))))+(($B$103*M47+$B$102*(1-M47))*$B$108*$B$109))*N113*(1-$B$107)</f>
        <v>23.620381171332561</v>
      </c>
      <c r="O133" s="118">
        <f t="shared" si="96"/>
        <v>23.620381171332561</v>
      </c>
      <c r="P133" s="118">
        <f t="shared" si="96"/>
        <v>23.620381171332561</v>
      </c>
      <c r="Q133" s="118">
        <f>((($B$103*P47+$B$102*(1-P47))*(1+($B$105*P79+$B$104*(1-P79))))+(($B$103*P47+$B$102*(1-P47))*$B$108*$B$109))*Q113*(1-$B$107)</f>
        <v>23.620381171332561</v>
      </c>
      <c r="R133" s="118">
        <f t="shared" ref="R133:AC133" si="97">((($B$103*Q47+$B$102*(1-Q47))*(1+($B$105*Q79+$B$104*(1-Q79))))+(($B$103*Q47+$B$102*(1-Q47))*$B$108*$B$109))*R113*(1-P107)</f>
        <v>25.535547212251416</v>
      </c>
      <c r="S133" s="118">
        <f t="shared" si="97"/>
        <v>25.535547212251416</v>
      </c>
      <c r="T133" s="118">
        <f t="shared" si="97"/>
        <v>25.535547212251416</v>
      </c>
      <c r="U133" s="118">
        <f t="shared" si="97"/>
        <v>19.151660409188562</v>
      </c>
      <c r="V133" s="118">
        <f t="shared" si="97"/>
        <v>12.767773606125708</v>
      </c>
      <c r="W133" s="118">
        <f t="shared" si="97"/>
        <v>0</v>
      </c>
      <c r="X133" s="118">
        <f t="shared" si="97"/>
        <v>0</v>
      </c>
      <c r="Y133" s="118">
        <f t="shared" si="97"/>
        <v>0</v>
      </c>
      <c r="Z133" s="118">
        <f t="shared" si="97"/>
        <v>0</v>
      </c>
      <c r="AA133" s="118">
        <f t="shared" si="97"/>
        <v>0</v>
      </c>
      <c r="AB133" s="118">
        <f t="shared" si="97"/>
        <v>0</v>
      </c>
      <c r="AC133" s="118">
        <f t="shared" si="97"/>
        <v>0</v>
      </c>
      <c r="AD133" s="103"/>
      <c r="AE133" s="103"/>
      <c r="AF133" s="77"/>
      <c r="AG133" s="77"/>
      <c r="AH133" s="77"/>
      <c r="AI133" s="77"/>
      <c r="AJ133" s="77"/>
    </row>
    <row r="134" spans="1:36" ht="13.5" x14ac:dyDescent="0.7">
      <c r="A134" s="103" t="s">
        <v>746</v>
      </c>
      <c r="B134" s="118">
        <f>B133*$B$99*(1-$B$107)</f>
        <v>18.464045540966026</v>
      </c>
      <c r="C134" s="118">
        <f t="shared" ref="C134" si="98">C133*$B$99*(1-$B$107)</f>
        <v>18.464045540966026</v>
      </c>
      <c r="D134" s="118">
        <f t="shared" ref="D134" si="99">D133*$B$99*(1-$B$107)</f>
        <v>18.464045540966026</v>
      </c>
      <c r="E134" s="118">
        <f t="shared" ref="E134" si="100">E133*$B$99*(1-$B$107)</f>
        <v>18.464045540966026</v>
      </c>
      <c r="F134" s="118">
        <f t="shared" ref="F134" si="101">F133*$B$99*(1-$B$107)</f>
        <v>18.464045540966026</v>
      </c>
      <c r="G134" s="118">
        <f t="shared" ref="G134" si="102">G133*$B$99*(1-$B$107)</f>
        <v>18.464045540966026</v>
      </c>
      <c r="H134" s="118">
        <f t="shared" ref="H134" si="103">H133*$B$99*(1-$B$107)</f>
        <v>18.464045540966026</v>
      </c>
      <c r="I134" s="118">
        <f t="shared" ref="I134" si="104">I133*$B$99*(1-$B$107)</f>
        <v>18.464045540966026</v>
      </c>
      <c r="J134" s="118">
        <f t="shared" ref="J134" si="105">J133*$B$99*(1-$B$107)</f>
        <v>18.464045540966026</v>
      </c>
      <c r="K134" s="118">
        <f t="shared" ref="K134" si="106">K133*$B$99*(1-$B$107)</f>
        <v>18.464045540966026</v>
      </c>
      <c r="L134" s="118">
        <f t="shared" ref="L134" si="107">L133*$B$99*(1-$B$107)</f>
        <v>18.464045540966026</v>
      </c>
      <c r="M134" s="118">
        <f t="shared" ref="M134" si="108">M133*$B$99*(1-$B$107)</f>
        <v>18.464045540966026</v>
      </c>
      <c r="N134" s="118">
        <f t="shared" ref="N134" si="109">N133*$B$99*(1-$B$107)</f>
        <v>18.464045540966026</v>
      </c>
      <c r="O134" s="118">
        <f t="shared" ref="O134" si="110">O133*$B$99*(1-$B$107)</f>
        <v>18.464045540966026</v>
      </c>
      <c r="P134" s="118">
        <f t="shared" ref="P134" si="111">P133*$B$99*(1-$B$107)</f>
        <v>18.464045540966026</v>
      </c>
      <c r="Q134" s="118">
        <f t="shared" ref="Q134" si="112">Q133*$B$99*(1-$B$107)</f>
        <v>18.464045540966026</v>
      </c>
      <c r="R134" s="118">
        <f t="shared" ref="R134" si="113">R133*$B$99*(1-$B$107)</f>
        <v>19.961130314557867</v>
      </c>
      <c r="S134" s="118">
        <f t="shared" ref="S134" si="114">S133*$B$99*(1-$B$107)</f>
        <v>19.961130314557867</v>
      </c>
      <c r="T134" s="118">
        <f t="shared" ref="T134" si="115">T133*$B$99*(1-$B$107)</f>
        <v>19.961130314557867</v>
      </c>
      <c r="U134" s="118">
        <f t="shared" ref="U134" si="116">U133*$B$99*(1-$B$107)</f>
        <v>14.970847735918401</v>
      </c>
      <c r="V134" s="118">
        <f t="shared" ref="V134" si="117">V133*$B$99*(1-$B$107)</f>
        <v>9.9805651572789333</v>
      </c>
      <c r="W134" s="118">
        <f t="shared" ref="W134" si="118">W133*$B$99*(1-$B$107)</f>
        <v>0</v>
      </c>
      <c r="X134" s="118">
        <f t="shared" ref="X134" si="119">X133*$B$99*(1-$B$107)</f>
        <v>0</v>
      </c>
      <c r="Y134" s="118">
        <f t="shared" ref="Y134" si="120">Y133*$B$99*(1-$B$107)</f>
        <v>0</v>
      </c>
      <c r="Z134" s="118">
        <f t="shared" ref="Z134" si="121">Z133*$B$99*(1-$B$107)</f>
        <v>0</v>
      </c>
      <c r="AA134" s="118">
        <f t="shared" ref="AA134" si="122">AA133*$B$99*(1-$B$107)</f>
        <v>0</v>
      </c>
      <c r="AB134" s="118">
        <f t="shared" ref="AB134" si="123">AB133*$B$99*(1-$B$107)</f>
        <v>0</v>
      </c>
      <c r="AC134" s="118">
        <f t="shared" ref="AC134" si="124">AC133*$B$99*(1-$B$107)</f>
        <v>0</v>
      </c>
      <c r="AD134" s="103"/>
      <c r="AE134" s="103"/>
      <c r="AF134" s="77"/>
      <c r="AG134" s="77"/>
      <c r="AH134" s="77"/>
      <c r="AI134" s="77"/>
      <c r="AJ134" s="77"/>
    </row>
    <row r="135" spans="1:36" ht="13.5" x14ac:dyDescent="0.7">
      <c r="A135" s="103" t="s">
        <v>747</v>
      </c>
      <c r="B135" s="118">
        <f>B134*$B$93</f>
        <v>16.379651838339772</v>
      </c>
      <c r="C135" s="118">
        <f t="shared" ref="C135:AC135" si="125">C134*$B$93</f>
        <v>16.379651838339772</v>
      </c>
      <c r="D135" s="118">
        <f t="shared" si="125"/>
        <v>16.379651838339772</v>
      </c>
      <c r="E135" s="118">
        <f t="shared" si="125"/>
        <v>16.379651838339772</v>
      </c>
      <c r="F135" s="118">
        <f t="shared" si="125"/>
        <v>16.379651838339772</v>
      </c>
      <c r="G135" s="118">
        <f t="shared" si="125"/>
        <v>16.379651838339772</v>
      </c>
      <c r="H135" s="118">
        <f t="shared" si="125"/>
        <v>16.379651838339772</v>
      </c>
      <c r="I135" s="118">
        <f t="shared" si="125"/>
        <v>16.379651838339772</v>
      </c>
      <c r="J135" s="118">
        <f t="shared" si="125"/>
        <v>16.379651838339772</v>
      </c>
      <c r="K135" s="118">
        <f t="shared" si="125"/>
        <v>16.379651838339772</v>
      </c>
      <c r="L135" s="118">
        <f t="shared" si="125"/>
        <v>16.379651838339772</v>
      </c>
      <c r="M135" s="118">
        <f t="shared" si="125"/>
        <v>16.379651838339772</v>
      </c>
      <c r="N135" s="118">
        <f t="shared" si="125"/>
        <v>16.379651838339772</v>
      </c>
      <c r="O135" s="118">
        <f t="shared" si="125"/>
        <v>16.379651838339772</v>
      </c>
      <c r="P135" s="118">
        <f t="shared" si="125"/>
        <v>16.379651838339772</v>
      </c>
      <c r="Q135" s="118">
        <f t="shared" si="125"/>
        <v>16.379651838339772</v>
      </c>
      <c r="R135" s="118">
        <f t="shared" si="125"/>
        <v>17.707731717124076</v>
      </c>
      <c r="S135" s="118">
        <f t="shared" si="125"/>
        <v>17.707731717124076</v>
      </c>
      <c r="T135" s="118">
        <f t="shared" si="125"/>
        <v>17.707731717124076</v>
      </c>
      <c r="U135" s="118">
        <f t="shared" si="125"/>
        <v>13.280798787843057</v>
      </c>
      <c r="V135" s="118">
        <f t="shared" si="125"/>
        <v>8.8538658585620382</v>
      </c>
      <c r="W135" s="118">
        <f t="shared" si="125"/>
        <v>0</v>
      </c>
      <c r="X135" s="118">
        <f t="shared" si="125"/>
        <v>0</v>
      </c>
      <c r="Y135" s="118">
        <f t="shared" si="125"/>
        <v>0</v>
      </c>
      <c r="Z135" s="118">
        <f t="shared" si="125"/>
        <v>0</v>
      </c>
      <c r="AA135" s="118">
        <f t="shared" si="125"/>
        <v>0</v>
      </c>
      <c r="AB135" s="118">
        <f t="shared" si="125"/>
        <v>0</v>
      </c>
      <c r="AC135" s="118">
        <f t="shared" si="125"/>
        <v>0</v>
      </c>
      <c r="AD135" s="103"/>
      <c r="AE135" s="103"/>
      <c r="AF135" s="77"/>
      <c r="AG135" s="77"/>
      <c r="AH135" s="77"/>
      <c r="AI135" s="77"/>
      <c r="AJ135" s="77"/>
    </row>
    <row r="136" spans="1:36" ht="13.5" x14ac:dyDescent="0.7">
      <c r="A136" s="103"/>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03"/>
      <c r="AE136" s="103"/>
      <c r="AF136" s="77"/>
      <c r="AG136" s="77"/>
      <c r="AH136" s="77"/>
      <c r="AI136" s="77"/>
      <c r="AJ136" s="77"/>
    </row>
    <row r="137" spans="1:36" ht="13.5" x14ac:dyDescent="0.7">
      <c r="A137" s="103" t="s">
        <v>825</v>
      </c>
      <c r="B137" s="118">
        <f>15</f>
        <v>15</v>
      </c>
      <c r="C137" s="118">
        <f>15</f>
        <v>15</v>
      </c>
      <c r="D137" s="118">
        <f>15</f>
        <v>15</v>
      </c>
      <c r="E137" s="118">
        <f>15</f>
        <v>15</v>
      </c>
      <c r="F137" s="118">
        <f>15</f>
        <v>15</v>
      </c>
      <c r="G137" s="118">
        <f>15</f>
        <v>15</v>
      </c>
      <c r="H137" s="118">
        <f>15</f>
        <v>15</v>
      </c>
      <c r="I137" s="118">
        <f>15</f>
        <v>15</v>
      </c>
      <c r="J137" s="118">
        <f>15</f>
        <v>15</v>
      </c>
      <c r="K137" s="118">
        <f>15</f>
        <v>15</v>
      </c>
      <c r="L137" s="118">
        <f>15</f>
        <v>15</v>
      </c>
      <c r="M137" s="118">
        <f>15</f>
        <v>15</v>
      </c>
      <c r="N137" s="118">
        <f>15</f>
        <v>15</v>
      </c>
      <c r="O137" s="118">
        <f>15</f>
        <v>15</v>
      </c>
      <c r="P137" s="118">
        <f>15</f>
        <v>15</v>
      </c>
      <c r="Q137" s="118">
        <f>15</f>
        <v>15</v>
      </c>
      <c r="R137" s="118">
        <f>15</f>
        <v>15</v>
      </c>
      <c r="S137" s="118">
        <f>15</f>
        <v>15</v>
      </c>
      <c r="T137" s="118">
        <f>15</f>
        <v>15</v>
      </c>
      <c r="U137" s="118">
        <f>15</f>
        <v>15</v>
      </c>
      <c r="V137" s="118">
        <f>15</f>
        <v>15</v>
      </c>
      <c r="W137" s="118">
        <f>15</f>
        <v>15</v>
      </c>
      <c r="X137" s="118">
        <f>15</f>
        <v>15</v>
      </c>
      <c r="Y137" s="118">
        <f>15</f>
        <v>15</v>
      </c>
      <c r="Z137" s="118">
        <f>15</f>
        <v>15</v>
      </c>
      <c r="AA137" s="118">
        <f>15</f>
        <v>15</v>
      </c>
      <c r="AB137" s="118">
        <f>15</f>
        <v>15</v>
      </c>
      <c r="AC137" s="118">
        <f>15</f>
        <v>15</v>
      </c>
      <c r="AD137" s="103"/>
      <c r="AE137" s="103"/>
      <c r="AF137" s="77"/>
      <c r="AG137" s="77"/>
      <c r="AH137" s="77"/>
      <c r="AI137" s="77"/>
      <c r="AJ137" s="77"/>
    </row>
    <row r="138" spans="1:36" ht="13.5" x14ac:dyDescent="0.7">
      <c r="A138" s="103" t="s">
        <v>826</v>
      </c>
      <c r="B138" s="118">
        <f>B137*$B$99*(1-$B$107)</f>
        <v>11.725495922590374</v>
      </c>
      <c r="C138" s="118">
        <f t="shared" ref="C138" si="126">C137*$B$99*(1-$B$107)</f>
        <v>11.725495922590374</v>
      </c>
      <c r="D138" s="118">
        <f t="shared" ref="D138" si="127">D137*$B$99*(1-$B$107)</f>
        <v>11.725495922590374</v>
      </c>
      <c r="E138" s="118">
        <f t="shared" ref="E138" si="128">E137*$B$99*(1-$B$107)</f>
        <v>11.725495922590374</v>
      </c>
      <c r="F138" s="118">
        <f t="shared" ref="F138" si="129">F137*$B$99*(1-$B$107)</f>
        <v>11.725495922590374</v>
      </c>
      <c r="G138" s="118">
        <f t="shared" ref="G138" si="130">G137*$B$99*(1-$B$107)</f>
        <v>11.725495922590374</v>
      </c>
      <c r="H138" s="118">
        <f t="shared" ref="H138" si="131">H137*$B$99*(1-$B$107)</f>
        <v>11.725495922590374</v>
      </c>
      <c r="I138" s="118">
        <f t="shared" ref="I138" si="132">I137*$B$99*(1-$B$107)</f>
        <v>11.725495922590374</v>
      </c>
      <c r="J138" s="118">
        <f t="shared" ref="J138" si="133">J137*$B$99*(1-$B$107)</f>
        <v>11.725495922590374</v>
      </c>
      <c r="K138" s="118">
        <f t="shared" ref="K138" si="134">K137*$B$99*(1-$B$107)</f>
        <v>11.725495922590374</v>
      </c>
      <c r="L138" s="118">
        <f t="shared" ref="L138" si="135">L137*$B$99*(1-$B$107)</f>
        <v>11.725495922590374</v>
      </c>
      <c r="M138" s="118">
        <f t="shared" ref="M138" si="136">M137*$B$99*(1-$B$107)</f>
        <v>11.725495922590374</v>
      </c>
      <c r="N138" s="118">
        <f t="shared" ref="N138" si="137">N137*$B$99*(1-$B$107)</f>
        <v>11.725495922590374</v>
      </c>
      <c r="O138" s="118">
        <f t="shared" ref="O138" si="138">O137*$B$99*(1-$B$107)</f>
        <v>11.725495922590374</v>
      </c>
      <c r="P138" s="118">
        <f t="shared" ref="P138" si="139">P137*$B$99*(1-$B$107)</f>
        <v>11.725495922590374</v>
      </c>
      <c r="Q138" s="118">
        <f t="shared" ref="Q138" si="140">Q137*$B$99*(1-$B$107)</f>
        <v>11.725495922590374</v>
      </c>
      <c r="R138" s="118">
        <f t="shared" ref="R138" si="141">R137*$B$99*(1-$B$107)</f>
        <v>11.725495922590374</v>
      </c>
      <c r="S138" s="118">
        <f t="shared" ref="S138" si="142">S137*$B$99*(1-$B$107)</f>
        <v>11.725495922590374</v>
      </c>
      <c r="T138" s="118">
        <f t="shared" ref="T138" si="143">T137*$B$99*(1-$B$107)</f>
        <v>11.725495922590374</v>
      </c>
      <c r="U138" s="118">
        <f t="shared" ref="U138" si="144">U137*$B$99*(1-$B$107)</f>
        <v>11.725495922590374</v>
      </c>
      <c r="V138" s="118">
        <f t="shared" ref="V138" si="145">V137*$B$99*(1-$B$107)</f>
        <v>11.725495922590374</v>
      </c>
      <c r="W138" s="118">
        <f t="shared" ref="W138" si="146">W137*$B$99*(1-$B$107)</f>
        <v>11.725495922590374</v>
      </c>
      <c r="X138" s="118">
        <f t="shared" ref="X138" si="147">X137*$B$99*(1-$B$107)</f>
        <v>11.725495922590374</v>
      </c>
      <c r="Y138" s="118">
        <f t="shared" ref="Y138" si="148">Y137*$B$99*(1-$B$107)</f>
        <v>11.725495922590374</v>
      </c>
      <c r="Z138" s="118">
        <f t="shared" ref="Z138" si="149">Z137*$B$99*(1-$B$107)</f>
        <v>11.725495922590374</v>
      </c>
      <c r="AA138" s="118">
        <f t="shared" ref="AA138" si="150">AA137*$B$99*(1-$B$107)</f>
        <v>11.725495922590374</v>
      </c>
      <c r="AB138" s="118">
        <f t="shared" ref="AB138" si="151">AB137*$B$99*(1-$B$107)</f>
        <v>11.725495922590374</v>
      </c>
      <c r="AC138" s="118">
        <f t="shared" ref="AC138" si="152">AC137*$B$99*(1-$B$107)</f>
        <v>11.725495922590374</v>
      </c>
      <c r="AD138" s="103"/>
      <c r="AE138" s="103"/>
      <c r="AF138" s="77"/>
      <c r="AG138" s="77"/>
      <c r="AH138" s="77"/>
      <c r="AI138" s="77"/>
      <c r="AJ138" s="77"/>
    </row>
    <row r="139" spans="1:36" ht="13.5" x14ac:dyDescent="0.7">
      <c r="A139" s="103" t="s">
        <v>827</v>
      </c>
      <c r="B139" s="118">
        <f>B138*$B$93</f>
        <v>10.401812561487784</v>
      </c>
      <c r="C139" s="118">
        <f t="shared" ref="C139:AC139" si="153">C138*$B$93</f>
        <v>10.401812561487784</v>
      </c>
      <c r="D139" s="118">
        <f t="shared" si="153"/>
        <v>10.401812561487784</v>
      </c>
      <c r="E139" s="118">
        <f t="shared" si="153"/>
        <v>10.401812561487784</v>
      </c>
      <c r="F139" s="118">
        <f t="shared" si="153"/>
        <v>10.401812561487784</v>
      </c>
      <c r="G139" s="118">
        <f t="shared" si="153"/>
        <v>10.401812561487784</v>
      </c>
      <c r="H139" s="118">
        <f t="shared" si="153"/>
        <v>10.401812561487784</v>
      </c>
      <c r="I139" s="118">
        <f t="shared" si="153"/>
        <v>10.401812561487784</v>
      </c>
      <c r="J139" s="118">
        <f t="shared" si="153"/>
        <v>10.401812561487784</v>
      </c>
      <c r="K139" s="118">
        <f t="shared" si="153"/>
        <v>10.401812561487784</v>
      </c>
      <c r="L139" s="118">
        <f t="shared" si="153"/>
        <v>10.401812561487784</v>
      </c>
      <c r="M139" s="118">
        <f t="shared" si="153"/>
        <v>10.401812561487784</v>
      </c>
      <c r="N139" s="118">
        <f t="shared" si="153"/>
        <v>10.401812561487784</v>
      </c>
      <c r="O139" s="118">
        <f t="shared" si="153"/>
        <v>10.401812561487784</v>
      </c>
      <c r="P139" s="118">
        <f t="shared" si="153"/>
        <v>10.401812561487784</v>
      </c>
      <c r="Q139" s="118">
        <f t="shared" si="153"/>
        <v>10.401812561487784</v>
      </c>
      <c r="R139" s="118">
        <f t="shared" si="153"/>
        <v>10.401812561487784</v>
      </c>
      <c r="S139" s="118">
        <f t="shared" si="153"/>
        <v>10.401812561487784</v>
      </c>
      <c r="T139" s="118">
        <f t="shared" si="153"/>
        <v>10.401812561487784</v>
      </c>
      <c r="U139" s="118">
        <f t="shared" si="153"/>
        <v>10.401812561487784</v>
      </c>
      <c r="V139" s="118">
        <f t="shared" si="153"/>
        <v>10.401812561487784</v>
      </c>
      <c r="W139" s="118">
        <f t="shared" si="153"/>
        <v>10.401812561487784</v>
      </c>
      <c r="X139" s="118">
        <f t="shared" si="153"/>
        <v>10.401812561487784</v>
      </c>
      <c r="Y139" s="118">
        <f t="shared" si="153"/>
        <v>10.401812561487784</v>
      </c>
      <c r="Z139" s="118">
        <f t="shared" si="153"/>
        <v>10.401812561487784</v>
      </c>
      <c r="AA139" s="118">
        <f t="shared" si="153"/>
        <v>10.401812561487784</v>
      </c>
      <c r="AB139" s="118">
        <f t="shared" si="153"/>
        <v>10.401812561487784</v>
      </c>
      <c r="AC139" s="118">
        <f t="shared" si="153"/>
        <v>10.401812561487784</v>
      </c>
      <c r="AD139" s="103"/>
      <c r="AE139" s="103"/>
      <c r="AF139" s="77"/>
      <c r="AG139" s="77"/>
      <c r="AH139" s="77"/>
      <c r="AI139" s="77"/>
      <c r="AJ139" s="77"/>
    </row>
    <row r="140" spans="1:36" ht="13.5" x14ac:dyDescent="0.7">
      <c r="A140" s="103"/>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03"/>
      <c r="AE140" s="103"/>
      <c r="AF140" s="77"/>
      <c r="AG140" s="77"/>
      <c r="AH140" s="77"/>
      <c r="AI140" s="77"/>
      <c r="AJ140" s="77"/>
    </row>
    <row r="141" spans="1:36" s="116" customFormat="1" ht="13.5" x14ac:dyDescent="0.7">
      <c r="A141" s="113" t="s">
        <v>748</v>
      </c>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14"/>
      <c r="AE141" s="114"/>
      <c r="AF141" s="115"/>
      <c r="AG141" s="115"/>
      <c r="AH141" s="115"/>
      <c r="AI141" s="115"/>
      <c r="AJ141" s="115"/>
    </row>
    <row r="142" spans="1:36" ht="13.5" x14ac:dyDescent="0.7">
      <c r="A142" s="103" t="s">
        <v>749</v>
      </c>
      <c r="B142" s="103">
        <v>2022</v>
      </c>
      <c r="C142" s="103">
        <v>2023</v>
      </c>
      <c r="D142" s="103">
        <v>2024</v>
      </c>
      <c r="E142" s="103">
        <v>2025</v>
      </c>
      <c r="F142" s="103">
        <v>2026</v>
      </c>
      <c r="G142" s="103">
        <v>2027</v>
      </c>
      <c r="H142" s="103">
        <v>2028</v>
      </c>
      <c r="I142" s="103">
        <v>2029</v>
      </c>
      <c r="J142" s="103">
        <v>2030</v>
      </c>
      <c r="K142" s="103">
        <v>2031</v>
      </c>
      <c r="L142" s="103">
        <v>2032</v>
      </c>
      <c r="M142" s="77">
        <v>2033</v>
      </c>
      <c r="N142" s="77">
        <v>2034</v>
      </c>
      <c r="O142" s="77">
        <v>2035</v>
      </c>
      <c r="P142" s="77">
        <v>2036</v>
      </c>
      <c r="Q142" s="77">
        <v>2037</v>
      </c>
      <c r="R142" s="77">
        <v>2038</v>
      </c>
      <c r="S142" s="77">
        <v>2039</v>
      </c>
      <c r="T142" s="77">
        <v>2040</v>
      </c>
      <c r="U142" s="77">
        <v>2041</v>
      </c>
      <c r="V142" s="77">
        <v>2042</v>
      </c>
      <c r="W142" s="77">
        <v>2043</v>
      </c>
      <c r="X142" s="77">
        <v>2044</v>
      </c>
      <c r="Y142" s="77">
        <v>2045</v>
      </c>
      <c r="Z142" s="77">
        <v>2046</v>
      </c>
      <c r="AA142" s="77">
        <v>2047</v>
      </c>
      <c r="AB142" s="77">
        <v>2048</v>
      </c>
      <c r="AC142" s="77">
        <v>2049</v>
      </c>
      <c r="AD142" s="77">
        <v>2050</v>
      </c>
      <c r="AE142" s="77"/>
      <c r="AF142" s="77"/>
      <c r="AG142" s="77"/>
      <c r="AH142" s="77"/>
      <c r="AI142" s="77"/>
      <c r="AJ142" s="77"/>
    </row>
    <row r="143" spans="1:36" ht="13.5" x14ac:dyDescent="0.7">
      <c r="A143" s="103" t="s">
        <v>750</v>
      </c>
      <c r="B143" s="117">
        <v>0</v>
      </c>
      <c r="C143" s="117">
        <f>B113</f>
        <v>1</v>
      </c>
      <c r="D143" s="117">
        <f t="shared" ref="D143:AD143" si="154">C113</f>
        <v>1</v>
      </c>
      <c r="E143" s="117">
        <f t="shared" si="154"/>
        <v>1</v>
      </c>
      <c r="F143" s="117">
        <f t="shared" si="154"/>
        <v>1</v>
      </c>
      <c r="G143" s="117">
        <f t="shared" si="154"/>
        <v>1</v>
      </c>
      <c r="H143" s="117">
        <f t="shared" si="154"/>
        <v>1</v>
      </c>
      <c r="I143" s="117">
        <f t="shared" si="154"/>
        <v>1</v>
      </c>
      <c r="J143" s="117">
        <f t="shared" si="154"/>
        <v>1</v>
      </c>
      <c r="K143" s="117">
        <f t="shared" si="154"/>
        <v>1</v>
      </c>
      <c r="L143" s="117">
        <f t="shared" si="154"/>
        <v>1</v>
      </c>
      <c r="M143" s="117">
        <f t="shared" si="154"/>
        <v>1</v>
      </c>
      <c r="N143" s="117">
        <f t="shared" si="154"/>
        <v>1</v>
      </c>
      <c r="O143" s="117">
        <f t="shared" si="154"/>
        <v>1</v>
      </c>
      <c r="P143" s="117">
        <f t="shared" si="154"/>
        <v>1</v>
      </c>
      <c r="Q143" s="117">
        <f t="shared" si="154"/>
        <v>1</v>
      </c>
      <c r="R143" s="117">
        <f t="shared" si="154"/>
        <v>1</v>
      </c>
      <c r="S143" s="117">
        <f t="shared" si="154"/>
        <v>1</v>
      </c>
      <c r="T143" s="117">
        <f t="shared" si="154"/>
        <v>1</v>
      </c>
      <c r="U143" s="117">
        <f t="shared" si="154"/>
        <v>1</v>
      </c>
      <c r="V143" s="117">
        <f t="shared" si="154"/>
        <v>0.75</v>
      </c>
      <c r="W143" s="117">
        <f t="shared" si="154"/>
        <v>0.5</v>
      </c>
      <c r="X143" s="117">
        <f t="shared" si="154"/>
        <v>0</v>
      </c>
      <c r="Y143" s="117">
        <f t="shared" si="154"/>
        <v>0</v>
      </c>
      <c r="Z143" s="117">
        <f t="shared" si="154"/>
        <v>0</v>
      </c>
      <c r="AA143" s="117">
        <f t="shared" si="154"/>
        <v>0</v>
      </c>
      <c r="AB143" s="117">
        <f t="shared" si="154"/>
        <v>0</v>
      </c>
      <c r="AC143" s="117">
        <f t="shared" si="154"/>
        <v>0</v>
      </c>
      <c r="AD143" s="117">
        <f t="shared" si="154"/>
        <v>0</v>
      </c>
      <c r="AE143" s="77"/>
      <c r="AF143" s="77"/>
      <c r="AG143" s="77"/>
      <c r="AH143" s="77"/>
      <c r="AI143" s="77"/>
      <c r="AJ143" s="77"/>
    </row>
    <row r="144" spans="1:36" ht="13.5" x14ac:dyDescent="0.7">
      <c r="A144" s="85"/>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3.5" x14ac:dyDescent="0.7">
      <c r="A145" s="103" t="s">
        <v>751</v>
      </c>
      <c r="B145" s="122">
        <v>0.06</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3.5" x14ac:dyDescent="0.7">
      <c r="A146" s="103" t="s">
        <v>752</v>
      </c>
      <c r="B146" s="122">
        <v>0.3</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3.5" x14ac:dyDescent="0.7">
      <c r="A147" s="103" t="s">
        <v>725</v>
      </c>
      <c r="B147" s="122">
        <v>0.02</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3.5" x14ac:dyDescent="0.7">
      <c r="A148" s="103" t="s">
        <v>726</v>
      </c>
      <c r="B148" s="122">
        <v>0.1</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3.5" x14ac:dyDescent="0.7">
      <c r="A149" s="77" t="s">
        <v>727</v>
      </c>
      <c r="B149" s="96">
        <v>7.4999999999999997E-2</v>
      </c>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3.5" x14ac:dyDescent="0.7">
      <c r="A150" s="103" t="s">
        <v>728</v>
      </c>
      <c r="B150" s="110">
        <v>0.1</v>
      </c>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3.5" x14ac:dyDescent="0.7">
      <c r="A151" s="103" t="s">
        <v>729</v>
      </c>
      <c r="B151" s="110">
        <v>0.5</v>
      </c>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row>
    <row r="152" spans="1:36" ht="13.5" x14ac:dyDescent="0.7">
      <c r="A152" s="85"/>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c r="AI152" s="77"/>
      <c r="AJ152" s="77"/>
    </row>
    <row r="153" spans="1:36" ht="13.5" x14ac:dyDescent="0.7">
      <c r="A153" s="123" t="s">
        <v>753</v>
      </c>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row>
    <row r="154" spans="1:36" ht="13.5" x14ac:dyDescent="0.7">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c r="AD154" s="103"/>
      <c r="AE154" s="103"/>
      <c r="AF154" s="77"/>
      <c r="AG154" s="77"/>
      <c r="AH154" s="77"/>
      <c r="AI154" s="77"/>
      <c r="AJ154" s="77"/>
    </row>
    <row r="155" spans="1:36" ht="13.5" x14ac:dyDescent="0.7">
      <c r="A155" s="103"/>
      <c r="B155" s="103">
        <v>2023</v>
      </c>
      <c r="C155" s="103">
        <v>2024</v>
      </c>
      <c r="D155" s="103">
        <v>2025</v>
      </c>
      <c r="E155" s="103">
        <v>2026</v>
      </c>
      <c r="F155" s="103">
        <v>2027</v>
      </c>
      <c r="G155" s="103">
        <v>2028</v>
      </c>
      <c r="H155" s="103">
        <v>2029</v>
      </c>
      <c r="I155" s="103">
        <v>2030</v>
      </c>
      <c r="J155" s="103">
        <v>2031</v>
      </c>
      <c r="K155" s="103">
        <v>2032</v>
      </c>
      <c r="L155" s="103">
        <v>2033</v>
      </c>
      <c r="M155" s="103">
        <v>2034</v>
      </c>
      <c r="N155" s="103">
        <v>2035</v>
      </c>
      <c r="O155" s="103">
        <v>2036</v>
      </c>
      <c r="P155" s="103">
        <v>2037</v>
      </c>
      <c r="Q155" s="103">
        <v>2038</v>
      </c>
      <c r="R155" s="103">
        <v>2039</v>
      </c>
      <c r="S155" s="103">
        <v>2040</v>
      </c>
      <c r="T155" s="103">
        <v>2041</v>
      </c>
      <c r="U155" s="103">
        <v>2042</v>
      </c>
      <c r="V155" s="103">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3.5" x14ac:dyDescent="0.7">
      <c r="A156" s="77" t="s">
        <v>754</v>
      </c>
      <c r="B156" s="118">
        <f t="shared" ref="B156:C156" si="155">C156</f>
        <v>0.37940369807497465</v>
      </c>
      <c r="C156" s="118">
        <f t="shared" si="155"/>
        <v>0.37940369807497465</v>
      </c>
      <c r="D156" s="118">
        <f t="shared" ref="D156:AC156" si="156">(($B$146*C47+$B$145*(1-C47))+($B$148*C77+$B$147*(1-C77))+($B$150*$B$151))*(1-$B$149)*E143</f>
        <v>0.37940369807497465</v>
      </c>
      <c r="E156" s="118">
        <f t="shared" si="156"/>
        <v>0.38527608915906791</v>
      </c>
      <c r="F156" s="118">
        <f t="shared" si="156"/>
        <v>0.39114848024316112</v>
      </c>
      <c r="G156" s="118">
        <f t="shared" si="156"/>
        <v>0.39093521895755939</v>
      </c>
      <c r="H156" s="118">
        <f t="shared" si="156"/>
        <v>0.39076460992907802</v>
      </c>
      <c r="I156" s="118">
        <f t="shared" si="156"/>
        <v>0.39062502072395688</v>
      </c>
      <c r="J156" s="118">
        <f t="shared" si="156"/>
        <v>0.39062502072395688</v>
      </c>
      <c r="K156" s="118">
        <f t="shared" si="156"/>
        <v>0.39062502072395688</v>
      </c>
      <c r="L156" s="118">
        <f t="shared" si="156"/>
        <v>0.39062502072395688</v>
      </c>
      <c r="M156" s="118">
        <f t="shared" si="156"/>
        <v>0.39062502072395688</v>
      </c>
      <c r="N156" s="118">
        <f t="shared" si="156"/>
        <v>0.39062502072395688</v>
      </c>
      <c r="O156" s="118">
        <f t="shared" si="156"/>
        <v>0.39062502072395688</v>
      </c>
      <c r="P156" s="118">
        <f t="shared" si="156"/>
        <v>0.39062502072395688</v>
      </c>
      <c r="Q156" s="118">
        <f t="shared" si="156"/>
        <v>0.39062502072395688</v>
      </c>
      <c r="R156" s="118">
        <f t="shared" si="156"/>
        <v>0.39062502072395688</v>
      </c>
      <c r="S156" s="118">
        <f t="shared" si="156"/>
        <v>0.39062502072395688</v>
      </c>
      <c r="T156" s="118">
        <f t="shared" si="156"/>
        <v>0.39062502072395688</v>
      </c>
      <c r="U156" s="118">
        <f t="shared" si="156"/>
        <v>0.29296876554296769</v>
      </c>
      <c r="V156" s="118">
        <f t="shared" si="156"/>
        <v>0.19531251036197844</v>
      </c>
      <c r="W156" s="103">
        <f t="shared" si="156"/>
        <v>0</v>
      </c>
      <c r="X156" s="103">
        <f t="shared" si="156"/>
        <v>0</v>
      </c>
      <c r="Y156" s="103">
        <f t="shared" si="156"/>
        <v>0</v>
      </c>
      <c r="Z156" s="103">
        <f t="shared" si="156"/>
        <v>0</v>
      </c>
      <c r="AA156" s="103">
        <f t="shared" si="156"/>
        <v>0</v>
      </c>
      <c r="AB156" s="103">
        <f t="shared" si="156"/>
        <v>0</v>
      </c>
      <c r="AC156" s="103">
        <f t="shared" si="156"/>
        <v>0</v>
      </c>
      <c r="AD156" s="103"/>
      <c r="AE156" s="103"/>
      <c r="AF156" s="77"/>
      <c r="AG156" s="77"/>
      <c r="AH156" s="77"/>
      <c r="AI156" s="77"/>
      <c r="AJ156" s="77"/>
    </row>
    <row r="157" spans="1:36" ht="13.5" x14ac:dyDescent="0.7">
      <c r="A157" s="103"/>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3.5" x14ac:dyDescent="0.7">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3.5" x14ac:dyDescent="0.7">
      <c r="A159" s="77" t="s">
        <v>755</v>
      </c>
      <c r="B159" s="118">
        <f t="shared" ref="B159:C159" si="157">C159</f>
        <v>0.41625000000000001</v>
      </c>
      <c r="C159" s="118">
        <f t="shared" si="157"/>
        <v>0.41625000000000001</v>
      </c>
      <c r="D159" s="118">
        <f t="shared" ref="D159:AC159" si="158">(($B$146*C47+$B$145*(1-C47))+($B$148*C79+$B$147*(1-C79))+($B$150*$B$151))*(1-$B$149)*E143</f>
        <v>0.41625000000000001</v>
      </c>
      <c r="E159" s="118">
        <f t="shared" si="158"/>
        <v>0.41625000000000001</v>
      </c>
      <c r="F159" s="118">
        <f t="shared" si="158"/>
        <v>0.41625000000000001</v>
      </c>
      <c r="G159" s="118">
        <f t="shared" si="158"/>
        <v>0.41625000000000001</v>
      </c>
      <c r="H159" s="118">
        <f t="shared" si="158"/>
        <v>0.41625000000000001</v>
      </c>
      <c r="I159" s="118">
        <f t="shared" si="158"/>
        <v>0.41625000000000001</v>
      </c>
      <c r="J159" s="118">
        <f t="shared" si="158"/>
        <v>0.41625000000000001</v>
      </c>
      <c r="K159" s="118">
        <f t="shared" si="158"/>
        <v>0.41625000000000001</v>
      </c>
      <c r="L159" s="118">
        <f t="shared" si="158"/>
        <v>0.41625000000000001</v>
      </c>
      <c r="M159" s="118">
        <f t="shared" si="158"/>
        <v>0.41625000000000001</v>
      </c>
      <c r="N159" s="118">
        <f t="shared" si="158"/>
        <v>0.41625000000000001</v>
      </c>
      <c r="O159" s="118">
        <f t="shared" si="158"/>
        <v>0.41625000000000001</v>
      </c>
      <c r="P159" s="118">
        <f t="shared" si="158"/>
        <v>0.41625000000000001</v>
      </c>
      <c r="Q159" s="118">
        <f t="shared" si="158"/>
        <v>0.41625000000000001</v>
      </c>
      <c r="R159" s="118">
        <f t="shared" si="158"/>
        <v>0.41625000000000001</v>
      </c>
      <c r="S159" s="118">
        <f t="shared" si="158"/>
        <v>0.41625000000000001</v>
      </c>
      <c r="T159" s="118">
        <f t="shared" si="158"/>
        <v>0.41625000000000001</v>
      </c>
      <c r="U159" s="118">
        <f t="shared" si="158"/>
        <v>0.31218750000000001</v>
      </c>
      <c r="V159" s="118">
        <f t="shared" si="158"/>
        <v>0.208125</v>
      </c>
      <c r="W159" s="103">
        <f t="shared" si="158"/>
        <v>0</v>
      </c>
      <c r="X159" s="103">
        <f t="shared" si="158"/>
        <v>0</v>
      </c>
      <c r="Y159" s="103">
        <f t="shared" si="158"/>
        <v>0</v>
      </c>
      <c r="Z159" s="103">
        <f t="shared" si="158"/>
        <v>0</v>
      </c>
      <c r="AA159" s="103">
        <f t="shared" si="158"/>
        <v>0</v>
      </c>
      <c r="AB159" s="103">
        <f t="shared" si="158"/>
        <v>0</v>
      </c>
      <c r="AC159" s="103">
        <f t="shared" si="158"/>
        <v>0</v>
      </c>
      <c r="AD159" s="103"/>
      <c r="AE159" s="103"/>
      <c r="AF159" s="77"/>
      <c r="AG159" s="77"/>
      <c r="AH159" s="77"/>
      <c r="AI159" s="77"/>
      <c r="AJ159" s="77"/>
    </row>
    <row r="160" spans="1:36" ht="13.5" x14ac:dyDescent="0.7">
      <c r="A160" s="77"/>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3.5" x14ac:dyDescent="0.7">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3.5" x14ac:dyDescent="0.7">
      <c r="A162" s="77" t="s">
        <v>756</v>
      </c>
      <c r="B162" s="118">
        <f t="shared" ref="B162:C162" si="159">C162</f>
        <v>0.41625000000000001</v>
      </c>
      <c r="C162" s="118">
        <f t="shared" si="159"/>
        <v>0.41625000000000001</v>
      </c>
      <c r="D162" s="118">
        <f t="shared" ref="D162:AC162" si="160">(($B$146*C47+$B$145*(1-C47))+($B$148*C79+$B$147*(1-C79))+($B$150*$B$151))*(1-$B$149)*E143</f>
        <v>0.41625000000000001</v>
      </c>
      <c r="E162" s="118">
        <f t="shared" si="160"/>
        <v>0.41625000000000001</v>
      </c>
      <c r="F162" s="118">
        <f t="shared" si="160"/>
        <v>0.41625000000000001</v>
      </c>
      <c r="G162" s="118">
        <f t="shared" si="160"/>
        <v>0.41625000000000001</v>
      </c>
      <c r="H162" s="118">
        <f t="shared" si="160"/>
        <v>0.41625000000000001</v>
      </c>
      <c r="I162" s="118">
        <f t="shared" si="160"/>
        <v>0.41625000000000001</v>
      </c>
      <c r="J162" s="118">
        <f t="shared" si="160"/>
        <v>0.41625000000000001</v>
      </c>
      <c r="K162" s="118">
        <f t="shared" si="160"/>
        <v>0.41625000000000001</v>
      </c>
      <c r="L162" s="118">
        <f t="shared" si="160"/>
        <v>0.41625000000000001</v>
      </c>
      <c r="M162" s="118">
        <f t="shared" si="160"/>
        <v>0.41625000000000001</v>
      </c>
      <c r="N162" s="118">
        <f t="shared" si="160"/>
        <v>0.41625000000000001</v>
      </c>
      <c r="O162" s="118">
        <f t="shared" si="160"/>
        <v>0.41625000000000001</v>
      </c>
      <c r="P162" s="118">
        <f t="shared" si="160"/>
        <v>0.41625000000000001</v>
      </c>
      <c r="Q162" s="118">
        <f t="shared" si="160"/>
        <v>0.41625000000000001</v>
      </c>
      <c r="R162" s="118">
        <f t="shared" si="160"/>
        <v>0.41625000000000001</v>
      </c>
      <c r="S162" s="118">
        <f t="shared" si="160"/>
        <v>0.41625000000000001</v>
      </c>
      <c r="T162" s="118">
        <f t="shared" si="160"/>
        <v>0.41625000000000001</v>
      </c>
      <c r="U162" s="118">
        <f t="shared" si="160"/>
        <v>0.31218750000000001</v>
      </c>
      <c r="V162" s="118">
        <f t="shared" si="160"/>
        <v>0.208125</v>
      </c>
      <c r="W162" s="103">
        <f t="shared" si="160"/>
        <v>0</v>
      </c>
      <c r="X162" s="103">
        <f t="shared" si="160"/>
        <v>0</v>
      </c>
      <c r="Y162" s="103">
        <f t="shared" si="160"/>
        <v>0</v>
      </c>
      <c r="Z162" s="103">
        <f t="shared" si="160"/>
        <v>0</v>
      </c>
      <c r="AA162" s="103">
        <f t="shared" si="160"/>
        <v>0</v>
      </c>
      <c r="AB162" s="103">
        <f t="shared" si="160"/>
        <v>0</v>
      </c>
      <c r="AC162" s="103">
        <f t="shared" si="160"/>
        <v>0</v>
      </c>
      <c r="AD162" s="103"/>
      <c r="AE162" s="103"/>
      <c r="AF162" s="77"/>
      <c r="AG162" s="77"/>
      <c r="AH162" s="77"/>
      <c r="AI162" s="77"/>
      <c r="AJ162" s="77"/>
    </row>
    <row r="163" spans="1:36" ht="13.5" x14ac:dyDescent="0.7">
      <c r="A163" s="103"/>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03"/>
      <c r="X163" s="103"/>
      <c r="Y163" s="103"/>
      <c r="Z163" s="103"/>
      <c r="AA163" s="103"/>
      <c r="AB163" s="103"/>
      <c r="AC163" s="103"/>
      <c r="AD163" s="103"/>
      <c r="AE163" s="103"/>
      <c r="AF163" s="77"/>
      <c r="AG163" s="77"/>
      <c r="AH163" s="77"/>
      <c r="AI163" s="77"/>
      <c r="AJ163" s="77"/>
    </row>
    <row r="164" spans="1:36" ht="13.5" x14ac:dyDescent="0.7">
      <c r="A164" s="103"/>
      <c r="B164" s="118">
        <v>2023</v>
      </c>
      <c r="C164" s="118">
        <v>2024</v>
      </c>
      <c r="D164" s="118">
        <v>2025</v>
      </c>
      <c r="E164" s="118">
        <v>2026</v>
      </c>
      <c r="F164" s="118">
        <v>2027</v>
      </c>
      <c r="G164" s="118">
        <v>2028</v>
      </c>
      <c r="H164" s="118">
        <v>2029</v>
      </c>
      <c r="I164" s="118">
        <v>2030</v>
      </c>
      <c r="J164" s="118">
        <v>2031</v>
      </c>
      <c r="K164" s="118">
        <v>2032</v>
      </c>
      <c r="L164" s="118">
        <v>2033</v>
      </c>
      <c r="M164" s="118">
        <v>2034</v>
      </c>
      <c r="N164" s="118">
        <v>2035</v>
      </c>
      <c r="O164" s="118">
        <v>2036</v>
      </c>
      <c r="P164" s="118">
        <v>2037</v>
      </c>
      <c r="Q164" s="118">
        <v>2038</v>
      </c>
      <c r="R164" s="118">
        <v>2039</v>
      </c>
      <c r="S164" s="118">
        <v>2040</v>
      </c>
      <c r="T164" s="118">
        <v>2041</v>
      </c>
      <c r="U164" s="118">
        <v>2042</v>
      </c>
      <c r="V164" s="118">
        <v>2043</v>
      </c>
      <c r="W164" s="103">
        <v>2044</v>
      </c>
      <c r="X164" s="103">
        <v>2045</v>
      </c>
      <c r="Y164" s="103">
        <v>2046</v>
      </c>
      <c r="Z164" s="103">
        <v>2047</v>
      </c>
      <c r="AA164" s="103">
        <v>2048</v>
      </c>
      <c r="AB164" s="103">
        <v>2049</v>
      </c>
      <c r="AC164" s="103">
        <v>2050</v>
      </c>
      <c r="AD164" s="103"/>
      <c r="AE164" s="103"/>
      <c r="AF164" s="77"/>
      <c r="AG164" s="77"/>
      <c r="AH164" s="77"/>
      <c r="AI164" s="77"/>
      <c r="AJ164" s="77"/>
    </row>
    <row r="165" spans="1:36" ht="13.5" x14ac:dyDescent="0.7">
      <c r="A165" s="77" t="s">
        <v>757</v>
      </c>
      <c r="B165" s="118">
        <f t="shared" ref="B165:C165" si="161">C165</f>
        <v>0.41625000000000001</v>
      </c>
      <c r="C165" s="118">
        <f t="shared" si="161"/>
        <v>0.41625000000000001</v>
      </c>
      <c r="D165" s="118">
        <f t="shared" ref="D165:AC165" si="162">(($B$146*C47+$B$145*(1-C47))+($B$148*C79+$B$147*(1-C79))+($B$150*$B$151))*(1-$B$149)*E143</f>
        <v>0.41625000000000001</v>
      </c>
      <c r="E165" s="118">
        <f t="shared" si="162"/>
        <v>0.41625000000000001</v>
      </c>
      <c r="F165" s="118">
        <f t="shared" si="162"/>
        <v>0.41625000000000001</v>
      </c>
      <c r="G165" s="118">
        <f t="shared" si="162"/>
        <v>0.41625000000000001</v>
      </c>
      <c r="H165" s="118">
        <f t="shared" si="162"/>
        <v>0.41625000000000001</v>
      </c>
      <c r="I165" s="118">
        <f t="shared" si="162"/>
        <v>0.41625000000000001</v>
      </c>
      <c r="J165" s="118">
        <f t="shared" si="162"/>
        <v>0.41625000000000001</v>
      </c>
      <c r="K165" s="118">
        <f t="shared" si="162"/>
        <v>0.41625000000000001</v>
      </c>
      <c r="L165" s="118">
        <f t="shared" si="162"/>
        <v>0.41625000000000001</v>
      </c>
      <c r="M165" s="118">
        <f t="shared" si="162"/>
        <v>0.41625000000000001</v>
      </c>
      <c r="N165" s="118">
        <f t="shared" si="162"/>
        <v>0.41625000000000001</v>
      </c>
      <c r="O165" s="118">
        <f t="shared" si="162"/>
        <v>0.41625000000000001</v>
      </c>
      <c r="P165" s="118">
        <f t="shared" si="162"/>
        <v>0.41625000000000001</v>
      </c>
      <c r="Q165" s="118">
        <f t="shared" si="162"/>
        <v>0.41625000000000001</v>
      </c>
      <c r="R165" s="118">
        <f t="shared" si="162"/>
        <v>0.41625000000000001</v>
      </c>
      <c r="S165" s="118">
        <f t="shared" si="162"/>
        <v>0.41625000000000001</v>
      </c>
      <c r="T165" s="118">
        <f t="shared" si="162"/>
        <v>0.41625000000000001</v>
      </c>
      <c r="U165" s="118">
        <f t="shared" si="162"/>
        <v>0.31218750000000001</v>
      </c>
      <c r="V165" s="118">
        <f t="shared" si="162"/>
        <v>0.208125</v>
      </c>
      <c r="W165" s="103">
        <f t="shared" si="162"/>
        <v>0</v>
      </c>
      <c r="X165" s="103">
        <f t="shared" si="162"/>
        <v>0</v>
      </c>
      <c r="Y165" s="103">
        <f t="shared" si="162"/>
        <v>0</v>
      </c>
      <c r="Z165" s="103">
        <f t="shared" si="162"/>
        <v>0</v>
      </c>
      <c r="AA165" s="103">
        <f t="shared" si="162"/>
        <v>0</v>
      </c>
      <c r="AB165" s="103">
        <f t="shared" si="162"/>
        <v>0</v>
      </c>
      <c r="AC165" s="103">
        <f t="shared" si="162"/>
        <v>0</v>
      </c>
      <c r="AD165" s="103"/>
      <c r="AE165" s="103"/>
      <c r="AF165" s="77"/>
      <c r="AG165" s="77"/>
      <c r="AH165" s="77"/>
      <c r="AI165" s="77"/>
      <c r="AJ165" s="77"/>
    </row>
    <row r="166" spans="1:36" ht="13.5" x14ac:dyDescent="0.7">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row>
    <row r="167" spans="1:36" ht="13.5" x14ac:dyDescent="0.7">
      <c r="A167" s="81" t="s">
        <v>821</v>
      </c>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row>
    <row r="168" spans="1:36" ht="13.5" x14ac:dyDescent="0.7">
      <c r="A168" s="77" t="s">
        <v>823</v>
      </c>
      <c r="B168" s="77">
        <v>2021</v>
      </c>
      <c r="C168" s="77">
        <v>2022</v>
      </c>
      <c r="D168" s="77">
        <v>2023</v>
      </c>
      <c r="E168" s="77">
        <v>2024</v>
      </c>
      <c r="F168" s="77">
        <v>2025</v>
      </c>
      <c r="G168" s="77">
        <v>2026</v>
      </c>
      <c r="H168" s="77">
        <v>2027</v>
      </c>
      <c r="I168" s="77">
        <v>2028</v>
      </c>
      <c r="J168" s="77">
        <v>2029</v>
      </c>
      <c r="K168" s="77">
        <v>2030</v>
      </c>
      <c r="L168" s="77">
        <v>2031</v>
      </c>
      <c r="M168" s="77">
        <v>2032</v>
      </c>
      <c r="N168" s="77">
        <v>2033</v>
      </c>
      <c r="O168" s="77">
        <v>2034</v>
      </c>
      <c r="P168" s="77">
        <v>2035</v>
      </c>
      <c r="Q168" s="77">
        <v>2036</v>
      </c>
      <c r="R168" s="77">
        <v>2037</v>
      </c>
      <c r="S168" s="77">
        <v>2038</v>
      </c>
      <c r="T168" s="77">
        <v>2039</v>
      </c>
      <c r="U168" s="77">
        <v>2040</v>
      </c>
      <c r="V168" s="77">
        <v>2041</v>
      </c>
      <c r="W168" s="77">
        <v>2042</v>
      </c>
      <c r="X168" s="77">
        <v>2043</v>
      </c>
      <c r="Y168" s="77">
        <v>2044</v>
      </c>
      <c r="Z168" s="77">
        <v>2045</v>
      </c>
      <c r="AA168" s="77">
        <v>2046</v>
      </c>
      <c r="AB168" s="77">
        <v>2047</v>
      </c>
      <c r="AC168" s="77">
        <v>2048</v>
      </c>
      <c r="AD168" s="77">
        <v>2049</v>
      </c>
      <c r="AE168" s="77">
        <v>2050</v>
      </c>
      <c r="AF168" s="77">
        <v>2050</v>
      </c>
      <c r="AG168" s="77">
        <v>2050</v>
      </c>
      <c r="AH168" s="77"/>
      <c r="AI168" s="77"/>
      <c r="AJ168" s="77"/>
    </row>
    <row r="169" spans="1:36" ht="13.5" x14ac:dyDescent="0.7">
      <c r="A169" s="77" t="s">
        <v>824</v>
      </c>
      <c r="B169" s="77">
        <v>20</v>
      </c>
      <c r="C169" s="77">
        <v>20</v>
      </c>
      <c r="D169" s="77">
        <v>20</v>
      </c>
      <c r="E169" s="77">
        <v>20</v>
      </c>
      <c r="F169" s="77">
        <v>20</v>
      </c>
      <c r="G169" s="77">
        <v>20</v>
      </c>
      <c r="H169" s="77">
        <v>20</v>
      </c>
      <c r="I169" s="77">
        <v>20</v>
      </c>
      <c r="J169" s="77">
        <v>20</v>
      </c>
      <c r="K169" s="77">
        <v>20</v>
      </c>
      <c r="L169" s="77">
        <v>20</v>
      </c>
      <c r="M169" s="77">
        <v>20</v>
      </c>
      <c r="N169" s="77">
        <v>20</v>
      </c>
      <c r="O169" s="77">
        <v>20</v>
      </c>
      <c r="P169" s="77">
        <v>20</v>
      </c>
      <c r="Q169" s="77">
        <v>20</v>
      </c>
      <c r="R169" s="77">
        <v>20</v>
      </c>
      <c r="S169" s="77">
        <v>20</v>
      </c>
      <c r="T169" s="77">
        <v>20</v>
      </c>
      <c r="U169" s="77">
        <v>20</v>
      </c>
      <c r="V169" s="77">
        <v>20</v>
      </c>
      <c r="W169" s="77">
        <v>20</v>
      </c>
      <c r="X169" s="77">
        <v>20</v>
      </c>
      <c r="Y169" s="77">
        <v>20</v>
      </c>
      <c r="Z169" s="77">
        <v>20</v>
      </c>
      <c r="AA169" s="77">
        <v>20</v>
      </c>
      <c r="AB169" s="77">
        <v>20</v>
      </c>
      <c r="AC169" s="77">
        <v>20</v>
      </c>
      <c r="AD169" s="77">
        <v>20</v>
      </c>
      <c r="AE169" s="77">
        <v>20</v>
      </c>
      <c r="AF169" s="77">
        <v>20</v>
      </c>
      <c r="AG169" s="77">
        <v>20</v>
      </c>
      <c r="AH169" s="77"/>
      <c r="AI169" s="77"/>
      <c r="AJ169" s="77"/>
    </row>
    <row r="170" spans="1:36" ht="13.5" x14ac:dyDescent="0.7">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row>
    <row r="171" spans="1:36" ht="13.5" x14ac:dyDescent="0.7">
      <c r="A171" s="77" t="s">
        <v>758</v>
      </c>
      <c r="B171" s="77">
        <v>2020</v>
      </c>
      <c r="C171" s="77">
        <v>2021</v>
      </c>
      <c r="D171" s="77">
        <v>2022</v>
      </c>
      <c r="E171" s="77">
        <v>2023</v>
      </c>
      <c r="F171" s="77">
        <v>2024</v>
      </c>
      <c r="G171" s="77">
        <v>2025</v>
      </c>
      <c r="H171" s="77">
        <v>2026</v>
      </c>
      <c r="I171" s="77">
        <v>2027</v>
      </c>
      <c r="J171" s="77">
        <v>2028</v>
      </c>
      <c r="K171" s="77">
        <v>2029</v>
      </c>
      <c r="L171" s="77">
        <v>2030</v>
      </c>
      <c r="M171" s="77">
        <v>2031</v>
      </c>
      <c r="N171" s="77">
        <v>2032</v>
      </c>
      <c r="O171" s="77">
        <v>2033</v>
      </c>
      <c r="P171" s="77">
        <v>2034</v>
      </c>
      <c r="Q171" s="77">
        <v>2035</v>
      </c>
      <c r="R171" s="77">
        <v>2036</v>
      </c>
      <c r="S171" s="77">
        <v>2037</v>
      </c>
      <c r="T171" s="77">
        <v>2038</v>
      </c>
      <c r="U171" s="77">
        <v>2039</v>
      </c>
      <c r="V171" s="77">
        <v>2040</v>
      </c>
      <c r="W171" s="77">
        <v>2041</v>
      </c>
      <c r="X171" s="77">
        <v>2042</v>
      </c>
      <c r="Y171" s="77">
        <v>2043</v>
      </c>
      <c r="Z171" s="77">
        <v>2044</v>
      </c>
      <c r="AA171" s="77">
        <v>2045</v>
      </c>
      <c r="AB171" s="77">
        <v>2046</v>
      </c>
      <c r="AC171" s="77">
        <v>2047</v>
      </c>
      <c r="AD171" s="77">
        <v>2048</v>
      </c>
      <c r="AE171" s="77">
        <v>2049</v>
      </c>
      <c r="AF171" s="77">
        <v>2050</v>
      </c>
      <c r="AG171" s="77"/>
      <c r="AH171" s="77"/>
      <c r="AI171" s="77"/>
      <c r="AJ171" s="77"/>
    </row>
    <row r="172" spans="1:36" ht="13.5" x14ac:dyDescent="0.7">
      <c r="A172" s="77" t="s">
        <v>759</v>
      </c>
      <c r="B172" s="77">
        <v>0.44</v>
      </c>
      <c r="C172" s="77">
        <v>0.44</v>
      </c>
      <c r="D172" s="77">
        <v>0.44</v>
      </c>
      <c r="E172" s="77">
        <v>0.44</v>
      </c>
      <c r="F172" s="77">
        <v>0.44</v>
      </c>
      <c r="G172" s="77">
        <v>0.44</v>
      </c>
      <c r="H172" s="77">
        <v>0.44</v>
      </c>
      <c r="I172" s="77">
        <v>0.44</v>
      </c>
      <c r="J172" s="77">
        <v>0.44</v>
      </c>
      <c r="K172" s="77">
        <v>0.44</v>
      </c>
      <c r="L172" s="77">
        <v>0.44</v>
      </c>
      <c r="M172" s="77">
        <v>0.44</v>
      </c>
      <c r="N172" s="77">
        <v>0.44</v>
      </c>
      <c r="O172" s="77">
        <v>0.44</v>
      </c>
      <c r="P172" s="77">
        <v>0.44</v>
      </c>
      <c r="Q172" s="77">
        <v>0.44</v>
      </c>
      <c r="R172" s="77">
        <v>0.44</v>
      </c>
      <c r="S172" s="77">
        <v>0.44</v>
      </c>
      <c r="T172" s="77">
        <v>0.44</v>
      </c>
      <c r="U172" s="77">
        <v>0.44</v>
      </c>
      <c r="V172" s="77">
        <v>0.44</v>
      </c>
      <c r="W172" s="77">
        <v>0.44</v>
      </c>
      <c r="X172" s="77">
        <v>0.44</v>
      </c>
      <c r="Y172" s="77">
        <v>0.44</v>
      </c>
      <c r="Z172" s="77">
        <v>0.44</v>
      </c>
      <c r="AA172" s="77">
        <v>0.44</v>
      </c>
      <c r="AB172" s="77">
        <v>0.44</v>
      </c>
      <c r="AC172" s="77">
        <v>0.44</v>
      </c>
      <c r="AD172" s="77">
        <v>0.44</v>
      </c>
      <c r="AE172" s="77">
        <v>0.44</v>
      </c>
      <c r="AF172" s="77">
        <v>0.44</v>
      </c>
      <c r="AG172" s="77"/>
      <c r="AH172" s="77"/>
      <c r="AI172" s="77"/>
      <c r="AJ172" s="77"/>
    </row>
    <row r="173" spans="1:36" ht="13.5" x14ac:dyDescent="0.7">
      <c r="A173" s="77" t="s">
        <v>760</v>
      </c>
      <c r="B173" s="77">
        <v>0</v>
      </c>
      <c r="C173" s="77">
        <v>0</v>
      </c>
      <c r="D173" s="77">
        <v>0</v>
      </c>
      <c r="E173" s="77">
        <v>0</v>
      </c>
      <c r="F173" s="77">
        <v>0</v>
      </c>
      <c r="G173" s="77">
        <v>0</v>
      </c>
      <c r="H173" s="77">
        <v>0</v>
      </c>
      <c r="I173" s="77">
        <v>0</v>
      </c>
      <c r="J173" s="77">
        <v>0</v>
      </c>
      <c r="K173" s="77">
        <v>0</v>
      </c>
      <c r="L173" s="77">
        <v>0</v>
      </c>
      <c r="M173" s="77">
        <v>0</v>
      </c>
      <c r="N173" s="77">
        <v>0</v>
      </c>
      <c r="O173" s="77">
        <v>0</v>
      </c>
      <c r="P173" s="77">
        <v>0</v>
      </c>
      <c r="Q173" s="77">
        <v>0</v>
      </c>
      <c r="R173" s="77">
        <v>0</v>
      </c>
      <c r="S173" s="77">
        <v>0</v>
      </c>
      <c r="T173" s="77">
        <v>0</v>
      </c>
      <c r="U173" s="77">
        <v>0</v>
      </c>
      <c r="V173" s="77">
        <v>0</v>
      </c>
      <c r="W173" s="77">
        <v>0</v>
      </c>
      <c r="X173" s="77">
        <v>0</v>
      </c>
      <c r="Y173" s="77">
        <v>0</v>
      </c>
      <c r="Z173" s="77">
        <v>0</v>
      </c>
      <c r="AA173" s="77">
        <v>0</v>
      </c>
      <c r="AB173" s="77">
        <v>0</v>
      </c>
      <c r="AC173" s="77">
        <v>0</v>
      </c>
      <c r="AD173" s="77">
        <v>0</v>
      </c>
      <c r="AE173" s="77">
        <v>0</v>
      </c>
      <c r="AF173" s="77">
        <v>0</v>
      </c>
      <c r="AG173" s="77"/>
      <c r="AH173" s="77"/>
      <c r="AI173" s="77"/>
      <c r="AJ173" s="77"/>
    </row>
    <row r="174" spans="1:36" ht="13.5" x14ac:dyDescent="0.7">
      <c r="A174" s="77" t="s">
        <v>761</v>
      </c>
      <c r="B174" s="77">
        <v>0.48399999999999999</v>
      </c>
      <c r="C174" s="77">
        <v>0.48399999999999999</v>
      </c>
      <c r="D174" s="77">
        <v>0.48399999999999999</v>
      </c>
      <c r="E174" s="77">
        <v>0.48399999999999999</v>
      </c>
      <c r="F174" s="77">
        <v>0.48399999999999999</v>
      </c>
      <c r="G174" s="77">
        <v>0.48399999999999999</v>
      </c>
      <c r="H174" s="77">
        <v>0.48399999999999999</v>
      </c>
      <c r="I174" s="77">
        <v>0.48399999999999999</v>
      </c>
      <c r="J174" s="77">
        <v>0.48399999999999999</v>
      </c>
      <c r="K174" s="77">
        <v>0.48399999999999999</v>
      </c>
      <c r="L174" s="77">
        <v>0.48399999999999999</v>
      </c>
      <c r="M174" s="77">
        <v>0.48399999999999999</v>
      </c>
      <c r="N174" s="77">
        <v>0.48399999999999999</v>
      </c>
      <c r="O174" s="77">
        <v>0.48399999999999999</v>
      </c>
      <c r="P174" s="77">
        <v>0.48399999999999999</v>
      </c>
      <c r="Q174" s="77">
        <v>0.48399999999999999</v>
      </c>
      <c r="R174" s="77">
        <v>0.48399999999999999</v>
      </c>
      <c r="S174" s="77">
        <v>0.48399999999999999</v>
      </c>
      <c r="T174" s="77">
        <v>0.48399999999999999</v>
      </c>
      <c r="U174" s="77">
        <v>0.48399999999999999</v>
      </c>
      <c r="V174" s="77">
        <v>0.48399999999999999</v>
      </c>
      <c r="W174" s="77">
        <v>0.48399999999999999</v>
      </c>
      <c r="X174" s="77">
        <v>0.48399999999999999</v>
      </c>
      <c r="Y174" s="77">
        <v>0.48399999999999999</v>
      </c>
      <c r="Z174" s="77">
        <v>0.48399999999999999</v>
      </c>
      <c r="AA174" s="77">
        <v>0.48399999999999999</v>
      </c>
      <c r="AB174" s="77">
        <v>0.48399999999999999</v>
      </c>
      <c r="AC174" s="77">
        <v>0.48399999999999999</v>
      </c>
      <c r="AD174" s="77">
        <v>0.48399999999999999</v>
      </c>
      <c r="AE174" s="77">
        <v>0.48399999999999999</v>
      </c>
      <c r="AF174" s="77">
        <v>0.48399999999999999</v>
      </c>
      <c r="AG174" s="77"/>
      <c r="AH174" s="77"/>
      <c r="AI174" s="77"/>
      <c r="AJ174" s="77"/>
    </row>
    <row r="175" spans="1:36" ht="13.5" x14ac:dyDescent="0.7">
      <c r="A175" s="77" t="s">
        <v>762</v>
      </c>
      <c r="B175" s="77">
        <v>0.14199999999999999</v>
      </c>
      <c r="C175" s="77">
        <v>0.14199999999999999</v>
      </c>
      <c r="D175" s="77">
        <v>0.14199999999999999</v>
      </c>
      <c r="E175" s="77">
        <v>0.14199999999999999</v>
      </c>
      <c r="F175" s="77">
        <v>0.14199999999999999</v>
      </c>
      <c r="G175" s="77">
        <v>0.14199999999999999</v>
      </c>
      <c r="H175" s="77">
        <v>0.14199999999999999</v>
      </c>
      <c r="I175" s="77">
        <v>0.14199999999999999</v>
      </c>
      <c r="J175" s="77">
        <v>0.14199999999999999</v>
      </c>
      <c r="K175" s="77">
        <v>0.14199999999999999</v>
      </c>
      <c r="L175" s="77">
        <v>0.14199999999999999</v>
      </c>
      <c r="M175" s="77">
        <v>0.14199999999999999</v>
      </c>
      <c r="N175" s="77">
        <v>0.14199999999999999</v>
      </c>
      <c r="O175" s="77">
        <v>0.14199999999999999</v>
      </c>
      <c r="P175" s="77">
        <v>0.14199999999999999</v>
      </c>
      <c r="Q175" s="77">
        <v>0.14199999999999999</v>
      </c>
      <c r="R175" s="77">
        <v>0.14199999999999999</v>
      </c>
      <c r="S175" s="77">
        <v>0.14199999999999999</v>
      </c>
      <c r="T175" s="77">
        <v>0.14199999999999999</v>
      </c>
      <c r="U175" s="77">
        <v>0.14199999999999999</v>
      </c>
      <c r="V175" s="77">
        <v>0.14199999999999999</v>
      </c>
      <c r="W175" s="77">
        <v>0.14199999999999999</v>
      </c>
      <c r="X175" s="77">
        <v>0.14199999999999999</v>
      </c>
      <c r="Y175" s="77">
        <v>0.14199999999999999</v>
      </c>
      <c r="Z175" s="77">
        <v>0.14199999999999999</v>
      </c>
      <c r="AA175" s="77">
        <v>0.14199999999999999</v>
      </c>
      <c r="AB175" s="77">
        <v>0.14199999999999999</v>
      </c>
      <c r="AC175" s="77">
        <v>0.14199999999999999</v>
      </c>
      <c r="AD175" s="77">
        <v>0.14199999999999999</v>
      </c>
      <c r="AE175" s="77">
        <v>0.14199999999999999</v>
      </c>
      <c r="AF175" s="77">
        <v>0.14199999999999999</v>
      </c>
      <c r="AG175" s="77"/>
      <c r="AH175" s="77"/>
      <c r="AI175" s="77"/>
      <c r="AJ175" s="77"/>
    </row>
    <row r="176" spans="1:36" ht="13.5" x14ac:dyDescent="0.7">
      <c r="A176" s="77" t="s">
        <v>763</v>
      </c>
      <c r="B176" s="77">
        <v>0.56999999999999995</v>
      </c>
      <c r="C176" s="77">
        <v>0.56999999999999995</v>
      </c>
      <c r="D176" s="77">
        <v>0.56999999999999995</v>
      </c>
      <c r="E176" s="77">
        <v>0.56999999999999995</v>
      </c>
      <c r="F176" s="77">
        <v>0.56999999999999995</v>
      </c>
      <c r="G176" s="77">
        <v>0.56999999999999995</v>
      </c>
      <c r="H176" s="77">
        <v>0.56999999999999995</v>
      </c>
      <c r="I176" s="77">
        <v>0.56999999999999995</v>
      </c>
      <c r="J176" s="77">
        <v>0.56999999999999995</v>
      </c>
      <c r="K176" s="77">
        <v>0.56999999999999995</v>
      </c>
      <c r="L176" s="77">
        <v>0.56999999999999995</v>
      </c>
      <c r="M176" s="77">
        <v>0.56999999999999995</v>
      </c>
      <c r="N176" s="77">
        <v>0.56999999999999995</v>
      </c>
      <c r="O176" s="77">
        <v>0.56999999999999995</v>
      </c>
      <c r="P176" s="77">
        <v>0.56999999999999995</v>
      </c>
      <c r="Q176" s="77">
        <v>0.56999999999999995</v>
      </c>
      <c r="R176" s="77">
        <v>0.56999999999999995</v>
      </c>
      <c r="S176" s="77">
        <v>0.56999999999999995</v>
      </c>
      <c r="T176" s="77">
        <v>0.56999999999999995</v>
      </c>
      <c r="U176" s="77">
        <v>0.56999999999999995</v>
      </c>
      <c r="V176" s="77">
        <v>0.56999999999999995</v>
      </c>
      <c r="W176" s="77">
        <v>0.56999999999999995</v>
      </c>
      <c r="X176" s="77">
        <v>0.56999999999999995</v>
      </c>
      <c r="Y176" s="77">
        <v>0.56999999999999995</v>
      </c>
      <c r="Z176" s="77">
        <v>0.56999999999999995</v>
      </c>
      <c r="AA176" s="77">
        <v>0.56999999999999995</v>
      </c>
      <c r="AB176" s="77">
        <v>0.56999999999999995</v>
      </c>
      <c r="AC176" s="77">
        <v>0.56999999999999995</v>
      </c>
      <c r="AD176" s="77">
        <v>0.56999999999999995</v>
      </c>
      <c r="AE176" s="77">
        <v>0.56999999999999995</v>
      </c>
      <c r="AF176" s="77">
        <v>0.56999999999999995</v>
      </c>
      <c r="AG176" s="77"/>
      <c r="AH176" s="77"/>
      <c r="AI176" s="77"/>
      <c r="AJ176" s="77"/>
    </row>
    <row r="177" spans="1:36" ht="13.5" x14ac:dyDescent="0.7">
      <c r="A177" s="77" t="s">
        <v>764</v>
      </c>
      <c r="B177" s="77">
        <v>0.627</v>
      </c>
      <c r="C177" s="77">
        <v>0.627</v>
      </c>
      <c r="D177" s="77">
        <v>0.627</v>
      </c>
      <c r="E177" s="77">
        <v>0.627</v>
      </c>
      <c r="F177" s="77">
        <v>0.627</v>
      </c>
      <c r="G177" s="77">
        <v>0.627</v>
      </c>
      <c r="H177" s="77">
        <v>0.627</v>
      </c>
      <c r="I177" s="77">
        <v>0.627</v>
      </c>
      <c r="J177" s="77">
        <v>0.627</v>
      </c>
      <c r="K177" s="77">
        <v>0.627</v>
      </c>
      <c r="L177" s="77">
        <v>0.627</v>
      </c>
      <c r="M177" s="77">
        <v>0.627</v>
      </c>
      <c r="N177" s="77">
        <v>0.627</v>
      </c>
      <c r="O177" s="77">
        <v>0.627</v>
      </c>
      <c r="P177" s="77">
        <v>0.627</v>
      </c>
      <c r="Q177" s="77">
        <v>0.627</v>
      </c>
      <c r="R177" s="77">
        <v>0.627</v>
      </c>
      <c r="S177" s="77">
        <v>0.627</v>
      </c>
      <c r="T177" s="77">
        <v>0.627</v>
      </c>
      <c r="U177" s="77">
        <v>0.627</v>
      </c>
      <c r="V177" s="77">
        <v>0.627</v>
      </c>
      <c r="W177" s="77">
        <v>0.627</v>
      </c>
      <c r="X177" s="77">
        <v>0.627</v>
      </c>
      <c r="Y177" s="77">
        <v>0.627</v>
      </c>
      <c r="Z177" s="77">
        <v>0.627</v>
      </c>
      <c r="AA177" s="77">
        <v>0.627</v>
      </c>
      <c r="AB177" s="77">
        <v>0.627</v>
      </c>
      <c r="AC177" s="77">
        <v>0.627</v>
      </c>
      <c r="AD177" s="77">
        <v>0.627</v>
      </c>
      <c r="AE177" s="77">
        <v>0.627</v>
      </c>
      <c r="AF177" s="77">
        <v>0.627</v>
      </c>
      <c r="AG177" s="77"/>
      <c r="AH177" s="77"/>
      <c r="AI177" s="77"/>
      <c r="AJ177" s="77"/>
    </row>
    <row r="178" spans="1:36" ht="13.5" x14ac:dyDescent="0.7">
      <c r="A178" s="77" t="s">
        <v>765</v>
      </c>
      <c r="B178" s="77">
        <v>0.92400000000000004</v>
      </c>
      <c r="C178" s="77">
        <v>0.92400000000000004</v>
      </c>
      <c r="D178" s="77">
        <v>0.92400000000000004</v>
      </c>
      <c r="E178" s="77">
        <v>0.92400000000000004</v>
      </c>
      <c r="F178" s="77">
        <v>0.92400000000000004</v>
      </c>
      <c r="G178" s="77">
        <v>0.92400000000000004</v>
      </c>
      <c r="H178" s="77">
        <v>0.92400000000000004</v>
      </c>
      <c r="I178" s="77">
        <v>0.92400000000000004</v>
      </c>
      <c r="J178" s="77">
        <v>0.92400000000000004</v>
      </c>
      <c r="K178" s="77">
        <v>0.92400000000000004</v>
      </c>
      <c r="L178" s="77">
        <v>0.92400000000000004</v>
      </c>
      <c r="M178" s="77">
        <v>0.92400000000000004</v>
      </c>
      <c r="N178" s="77">
        <v>0.92400000000000004</v>
      </c>
      <c r="O178" s="77">
        <v>0.92400000000000004</v>
      </c>
      <c r="P178" s="77">
        <v>0.92400000000000004</v>
      </c>
      <c r="Q178" s="77">
        <v>0.92400000000000004</v>
      </c>
      <c r="R178" s="77">
        <v>0.92400000000000004</v>
      </c>
      <c r="S178" s="77">
        <v>0.92400000000000004</v>
      </c>
      <c r="T178" s="77">
        <v>0.92400000000000004</v>
      </c>
      <c r="U178" s="77">
        <v>0.92400000000000004</v>
      </c>
      <c r="V178" s="77">
        <v>0.92400000000000004</v>
      </c>
      <c r="W178" s="77">
        <v>0.92400000000000004</v>
      </c>
      <c r="X178" s="77">
        <v>0.92400000000000004</v>
      </c>
      <c r="Y178" s="77">
        <v>0.92400000000000004</v>
      </c>
      <c r="Z178" s="77">
        <v>0.92400000000000004</v>
      </c>
      <c r="AA178" s="77">
        <v>0.92400000000000004</v>
      </c>
      <c r="AB178" s="77">
        <v>0.92400000000000004</v>
      </c>
      <c r="AC178" s="77">
        <v>0.92400000000000004</v>
      </c>
      <c r="AD178" s="77">
        <v>0.92400000000000004</v>
      </c>
      <c r="AE178" s="77">
        <v>0.92400000000000004</v>
      </c>
      <c r="AF178" s="77">
        <v>0.92400000000000004</v>
      </c>
      <c r="AG178" s="77"/>
      <c r="AH178" s="77"/>
      <c r="AI178" s="77"/>
      <c r="AJ178" s="77"/>
    </row>
    <row r="179" spans="1:36" ht="13.5" x14ac:dyDescent="0.7">
      <c r="A179" s="77" t="s">
        <v>766</v>
      </c>
      <c r="B179" s="77">
        <v>0</v>
      </c>
      <c r="C179" s="77">
        <v>0</v>
      </c>
      <c r="D179" s="77">
        <v>0</v>
      </c>
      <c r="E179" s="77">
        <v>0</v>
      </c>
      <c r="F179" s="77">
        <v>0</v>
      </c>
      <c r="G179" s="77">
        <v>0</v>
      </c>
      <c r="H179" s="77">
        <v>0</v>
      </c>
      <c r="I179" s="77">
        <v>0</v>
      </c>
      <c r="J179" s="77">
        <v>0</v>
      </c>
      <c r="K179" s="124">
        <v>0</v>
      </c>
      <c r="L179" s="124">
        <v>0</v>
      </c>
      <c r="M179" s="124">
        <v>0</v>
      </c>
      <c r="N179" s="124">
        <v>0</v>
      </c>
      <c r="O179" s="124">
        <v>0</v>
      </c>
      <c r="P179" s="124">
        <v>0</v>
      </c>
      <c r="Q179" s="124">
        <v>0</v>
      </c>
      <c r="R179" s="124">
        <v>0</v>
      </c>
      <c r="S179" s="124">
        <v>0</v>
      </c>
      <c r="T179" s="124">
        <v>0</v>
      </c>
      <c r="U179" s="124">
        <v>0</v>
      </c>
      <c r="V179" s="124">
        <v>0</v>
      </c>
      <c r="W179" s="124">
        <v>0</v>
      </c>
      <c r="X179" s="124">
        <v>0</v>
      </c>
      <c r="Y179" s="124">
        <v>0</v>
      </c>
      <c r="Z179" s="124">
        <v>0</v>
      </c>
      <c r="AA179" s="124">
        <v>0</v>
      </c>
      <c r="AB179" s="124">
        <v>0</v>
      </c>
      <c r="AC179" s="124">
        <v>0</v>
      </c>
      <c r="AD179" s="124">
        <v>0</v>
      </c>
      <c r="AE179" s="124">
        <v>0</v>
      </c>
      <c r="AF179" s="124">
        <v>0</v>
      </c>
      <c r="AG179" s="124"/>
      <c r="AH179" s="124"/>
      <c r="AI179" s="124"/>
      <c r="AJ179" s="124"/>
    </row>
    <row r="180" spans="1:36" ht="13.5" x14ac:dyDescent="0.7">
      <c r="A180" s="77" t="s">
        <v>767</v>
      </c>
      <c r="B180" s="77">
        <v>0.92400000000000004</v>
      </c>
      <c r="C180" s="77">
        <v>0.92400000000000004</v>
      </c>
      <c r="D180" s="77">
        <v>0.92400000000000004</v>
      </c>
      <c r="E180" s="77">
        <v>0.92400000000000004</v>
      </c>
      <c r="F180" s="77">
        <v>0.92400000000000004</v>
      </c>
      <c r="G180" s="77">
        <v>0.92400000000000004</v>
      </c>
      <c r="H180" s="77">
        <v>0.92400000000000004</v>
      </c>
      <c r="I180" s="77">
        <v>0.92400000000000004</v>
      </c>
      <c r="J180" s="77">
        <v>0.92400000000000004</v>
      </c>
      <c r="K180" s="77">
        <v>0.92400000000000004</v>
      </c>
      <c r="L180" s="77">
        <v>0.92400000000000004</v>
      </c>
      <c r="M180" s="77">
        <v>0.92400000000000004</v>
      </c>
      <c r="N180" s="77">
        <v>0.92400000000000004</v>
      </c>
      <c r="O180" s="77">
        <v>0.92400000000000004</v>
      </c>
      <c r="P180" s="77">
        <v>0.92400000000000004</v>
      </c>
      <c r="Q180" s="77">
        <v>0.92400000000000004</v>
      </c>
      <c r="R180" s="77">
        <v>0.92400000000000004</v>
      </c>
      <c r="S180" s="77">
        <v>0.92400000000000004</v>
      </c>
      <c r="T180" s="77">
        <v>0.92400000000000004</v>
      </c>
      <c r="U180" s="77">
        <v>0.92400000000000004</v>
      </c>
      <c r="V180" s="77">
        <v>0.92400000000000004</v>
      </c>
      <c r="W180" s="77">
        <v>0.92400000000000004</v>
      </c>
      <c r="X180" s="77">
        <v>0.92400000000000004</v>
      </c>
      <c r="Y180" s="77">
        <v>0.92400000000000004</v>
      </c>
      <c r="Z180" s="77">
        <v>0.92400000000000004</v>
      </c>
      <c r="AA180" s="77">
        <v>0.92400000000000004</v>
      </c>
      <c r="AB180" s="77">
        <v>0.92400000000000004</v>
      </c>
      <c r="AC180" s="77">
        <v>0.92400000000000004</v>
      </c>
      <c r="AD180" s="77">
        <v>0.92400000000000004</v>
      </c>
      <c r="AE180" s="77">
        <v>0.92400000000000004</v>
      </c>
      <c r="AF180" s="77">
        <v>0.92400000000000004</v>
      </c>
      <c r="AG180" s="77"/>
      <c r="AH180" s="77"/>
      <c r="AI180" s="77"/>
      <c r="AJ180" s="77"/>
    </row>
    <row r="181" spans="1:36" ht="13.5" x14ac:dyDescent="0.7">
      <c r="A181" s="77" t="s">
        <v>768</v>
      </c>
      <c r="B181" s="77">
        <v>0.40699999999999997</v>
      </c>
      <c r="C181" s="77">
        <v>0.40699999999999997</v>
      </c>
      <c r="D181" s="77">
        <v>0.40699999999999997</v>
      </c>
      <c r="E181" s="77">
        <v>0.40699999999999997</v>
      </c>
      <c r="F181" s="77">
        <v>0.40699999999999997</v>
      </c>
      <c r="G181" s="77">
        <v>0.40699999999999997</v>
      </c>
      <c r="H181" s="77">
        <v>0.40699999999999997</v>
      </c>
      <c r="I181" s="77">
        <v>0.40699999999999997</v>
      </c>
      <c r="J181" s="77">
        <v>0.40699999999999997</v>
      </c>
      <c r="K181" s="77">
        <v>0.40699999999999997</v>
      </c>
      <c r="L181" s="77">
        <v>0.40699999999999997</v>
      </c>
      <c r="M181" s="77">
        <v>0.40699999999999997</v>
      </c>
      <c r="N181" s="77">
        <v>0.40699999999999997</v>
      </c>
      <c r="O181" s="77">
        <v>0.40699999999999997</v>
      </c>
      <c r="P181" s="77">
        <v>0.40699999999999997</v>
      </c>
      <c r="Q181" s="77">
        <v>0.40699999999999997</v>
      </c>
      <c r="R181" s="77">
        <v>0.40699999999999997</v>
      </c>
      <c r="S181" s="77">
        <v>0.40699999999999997</v>
      </c>
      <c r="T181" s="77">
        <v>0.40699999999999997</v>
      </c>
      <c r="U181" s="77">
        <v>0.40699999999999997</v>
      </c>
      <c r="V181" s="77">
        <v>0.40699999999999997</v>
      </c>
      <c r="W181" s="77">
        <v>0.40699999999999997</v>
      </c>
      <c r="X181" s="77">
        <v>0.40699999999999997</v>
      </c>
      <c r="Y181" s="77">
        <v>0.40699999999999997</v>
      </c>
      <c r="Z181" s="77">
        <v>0.40699999999999997</v>
      </c>
      <c r="AA181" s="77">
        <v>0.40699999999999997</v>
      </c>
      <c r="AB181" s="77">
        <v>0.40699999999999997</v>
      </c>
      <c r="AC181" s="77">
        <v>0.40699999999999997</v>
      </c>
      <c r="AD181" s="77">
        <v>0.40699999999999997</v>
      </c>
      <c r="AE181" s="77">
        <v>0.40699999999999997</v>
      </c>
      <c r="AF181" s="77">
        <v>0.40699999999999997</v>
      </c>
      <c r="AG181" s="77"/>
      <c r="AH181" s="77"/>
      <c r="AI181" s="77"/>
      <c r="AJ181" s="77"/>
    </row>
    <row r="182" spans="1:36" ht="13.5" x14ac:dyDescent="0.7">
      <c r="A182" s="77" t="s">
        <v>769</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3.5" x14ac:dyDescent="0.7">
      <c r="A183" s="77" t="s">
        <v>770</v>
      </c>
      <c r="B183" s="77">
        <v>0.44800000000000001</v>
      </c>
      <c r="C183" s="77">
        <v>0.44800000000000001</v>
      </c>
      <c r="D183" s="77">
        <v>0.44800000000000001</v>
      </c>
      <c r="E183" s="77">
        <v>0.44800000000000001</v>
      </c>
      <c r="F183" s="77">
        <v>0.44800000000000001</v>
      </c>
      <c r="G183" s="77">
        <v>0.44800000000000001</v>
      </c>
      <c r="H183" s="77">
        <v>0.44800000000000001</v>
      </c>
      <c r="I183" s="77">
        <v>0.44800000000000001</v>
      </c>
      <c r="J183" s="77">
        <v>0.44800000000000001</v>
      </c>
      <c r="K183" s="77">
        <v>0.44800000000000001</v>
      </c>
      <c r="L183" s="77">
        <v>0.44800000000000001</v>
      </c>
      <c r="M183" s="77">
        <v>0.44800000000000001</v>
      </c>
      <c r="N183" s="77">
        <v>0.44800000000000001</v>
      </c>
      <c r="O183" s="77">
        <v>0.44800000000000001</v>
      </c>
      <c r="P183" s="77">
        <v>0.44800000000000001</v>
      </c>
      <c r="Q183" s="77">
        <v>0.44800000000000001</v>
      </c>
      <c r="R183" s="77">
        <v>0.44800000000000001</v>
      </c>
      <c r="S183" s="77">
        <v>0.44800000000000001</v>
      </c>
      <c r="T183" s="77">
        <v>0.44800000000000001</v>
      </c>
      <c r="U183" s="77">
        <v>0.44800000000000001</v>
      </c>
      <c r="V183" s="77">
        <v>0.44800000000000001</v>
      </c>
      <c r="W183" s="77">
        <v>0.44800000000000001</v>
      </c>
      <c r="X183" s="77">
        <v>0.44800000000000001</v>
      </c>
      <c r="Y183" s="77">
        <v>0.44800000000000001</v>
      </c>
      <c r="Z183" s="77">
        <v>0.44800000000000001</v>
      </c>
      <c r="AA183" s="77">
        <v>0.44800000000000001</v>
      </c>
      <c r="AB183" s="77">
        <v>0.44800000000000001</v>
      </c>
      <c r="AC183" s="77">
        <v>0.44800000000000001</v>
      </c>
      <c r="AD183" s="77">
        <v>0.44800000000000001</v>
      </c>
      <c r="AE183" s="77">
        <v>0.44800000000000001</v>
      </c>
      <c r="AF183" s="77">
        <v>0.44800000000000001</v>
      </c>
      <c r="AG183" s="77"/>
      <c r="AH183" s="77"/>
      <c r="AI183" s="77"/>
      <c r="AJ183" s="77"/>
    </row>
    <row r="184" spans="1:36" ht="13.5" x14ac:dyDescent="0.7">
      <c r="A184" s="77" t="s">
        <v>771</v>
      </c>
      <c r="B184" s="77">
        <v>0.35299999999999998</v>
      </c>
      <c r="C184" s="77">
        <v>0.35299999999999998</v>
      </c>
      <c r="D184" s="77">
        <v>0.35299999999999998</v>
      </c>
      <c r="E184" s="77">
        <v>0.35299999999999998</v>
      </c>
      <c r="F184" s="77">
        <v>0.35299999999999998</v>
      </c>
      <c r="G184" s="77">
        <v>0.35299999999999998</v>
      </c>
      <c r="H184" s="77">
        <v>0.35299999999999998</v>
      </c>
      <c r="I184" s="77">
        <v>0.35299999999999998</v>
      </c>
      <c r="J184" s="77">
        <v>0.35299999999999998</v>
      </c>
      <c r="K184" s="77">
        <v>0.35299999999999998</v>
      </c>
      <c r="L184" s="77">
        <v>0.35299999999999998</v>
      </c>
      <c r="M184" s="77">
        <v>0.35299999999999998</v>
      </c>
      <c r="N184" s="77">
        <v>0.35299999999999998</v>
      </c>
      <c r="O184" s="77">
        <v>0.35299999999999998</v>
      </c>
      <c r="P184" s="77">
        <v>0.35299999999999998</v>
      </c>
      <c r="Q184" s="77">
        <v>0.35299999999999998</v>
      </c>
      <c r="R184" s="77">
        <v>0.35299999999999998</v>
      </c>
      <c r="S184" s="77">
        <v>0.35299999999999998</v>
      </c>
      <c r="T184" s="77">
        <v>0.35299999999999998</v>
      </c>
      <c r="U184" s="77">
        <v>0.35299999999999998</v>
      </c>
      <c r="V184" s="77">
        <v>0.35299999999999998</v>
      </c>
      <c r="W184" s="77">
        <v>0.35299999999999998</v>
      </c>
      <c r="X184" s="77">
        <v>0.35299999999999998</v>
      </c>
      <c r="Y184" s="77">
        <v>0.35299999999999998</v>
      </c>
      <c r="Z184" s="77">
        <v>0.35299999999999998</v>
      </c>
      <c r="AA184" s="77">
        <v>0.35299999999999998</v>
      </c>
      <c r="AB184" s="77">
        <v>0.35299999999999998</v>
      </c>
      <c r="AC184" s="77">
        <v>0.35299999999999998</v>
      </c>
      <c r="AD184" s="77">
        <v>0.35299999999999998</v>
      </c>
      <c r="AE184" s="77">
        <v>0.35299999999999998</v>
      </c>
      <c r="AF184" s="77">
        <v>0.35299999999999998</v>
      </c>
      <c r="AG184" s="77"/>
      <c r="AH184" s="77"/>
      <c r="AI184" s="77"/>
      <c r="AJ184" s="77"/>
    </row>
    <row r="185" spans="1:36" ht="13.5" x14ac:dyDescent="0.7">
      <c r="A185" s="77" t="s">
        <v>772</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3.5" x14ac:dyDescent="0.7">
      <c r="A186" s="77" t="s">
        <v>773</v>
      </c>
      <c r="B186" s="77">
        <v>0.40100000000000002</v>
      </c>
      <c r="C186" s="77">
        <v>0.40400000000000003</v>
      </c>
      <c r="D186" s="77">
        <v>0.40699999999999997</v>
      </c>
      <c r="E186" s="77">
        <v>0.41</v>
      </c>
      <c r="F186" s="77">
        <v>0.41299999999999998</v>
      </c>
      <c r="G186" s="77">
        <v>0.41499999999999998</v>
      </c>
      <c r="H186" s="77">
        <v>0.41799999999999998</v>
      </c>
      <c r="I186" s="77">
        <v>0.42099999999999999</v>
      </c>
      <c r="J186" s="77">
        <v>0.42399999999999999</v>
      </c>
      <c r="K186" s="77">
        <v>0.42699999999999999</v>
      </c>
      <c r="L186" s="77">
        <v>0.43</v>
      </c>
      <c r="M186" s="77">
        <v>0.43099999999999999</v>
      </c>
      <c r="N186" s="77">
        <v>0.43099999999999999</v>
      </c>
      <c r="O186" s="77">
        <v>0.432</v>
      </c>
      <c r="P186" s="77">
        <v>0.433</v>
      </c>
      <c r="Q186" s="77">
        <v>0.434</v>
      </c>
      <c r="R186" s="77">
        <v>0.434</v>
      </c>
      <c r="S186" s="77">
        <v>0.435</v>
      </c>
      <c r="T186" s="77">
        <v>0.436</v>
      </c>
      <c r="U186" s="77">
        <v>0.437</v>
      </c>
      <c r="V186" s="77">
        <v>0.437</v>
      </c>
      <c r="W186" s="77">
        <v>0.438</v>
      </c>
      <c r="X186" s="77">
        <v>0.439</v>
      </c>
      <c r="Y186" s="77">
        <v>0.44</v>
      </c>
      <c r="Z186" s="77">
        <v>0.44</v>
      </c>
      <c r="AA186" s="77">
        <v>0.441</v>
      </c>
      <c r="AB186" s="77">
        <v>0.442</v>
      </c>
      <c r="AC186" s="77">
        <v>0.443</v>
      </c>
      <c r="AD186" s="77">
        <v>0.443</v>
      </c>
      <c r="AE186" s="77">
        <v>0.44400000000000001</v>
      </c>
      <c r="AF186" s="77">
        <v>0.44500000000000001</v>
      </c>
      <c r="AG186" s="77"/>
      <c r="AH186" s="77"/>
      <c r="AI186" s="77"/>
      <c r="AJ186" s="77"/>
    </row>
    <row r="187" spans="1:36" ht="13.5" x14ac:dyDescent="0.7">
      <c r="A187" s="77" t="s">
        <v>774</v>
      </c>
      <c r="B187" s="77">
        <v>0.24199999999999999</v>
      </c>
      <c r="C187" s="77">
        <v>0.24199999999999999</v>
      </c>
      <c r="D187" s="77">
        <v>0.24199999999999999</v>
      </c>
      <c r="E187" s="77">
        <v>0.24199999999999999</v>
      </c>
      <c r="F187" s="77">
        <v>0.24199999999999999</v>
      </c>
      <c r="G187" s="77">
        <v>0.24199999999999999</v>
      </c>
      <c r="H187" s="77">
        <v>0.24199999999999999</v>
      </c>
      <c r="I187" s="77">
        <v>0.24199999999999999</v>
      </c>
      <c r="J187" s="77">
        <v>0.24199999999999999</v>
      </c>
      <c r="K187" s="77">
        <v>0.24199999999999999</v>
      </c>
      <c r="L187" s="77">
        <v>0.24199999999999999</v>
      </c>
      <c r="M187" s="77">
        <v>0.24199999999999999</v>
      </c>
      <c r="N187" s="77">
        <v>0.24199999999999999</v>
      </c>
      <c r="O187" s="77">
        <v>0.24199999999999999</v>
      </c>
      <c r="P187" s="77">
        <v>0.24199999999999999</v>
      </c>
      <c r="Q187" s="77">
        <v>0.24199999999999999</v>
      </c>
      <c r="R187" s="77">
        <v>0.24199999999999999</v>
      </c>
      <c r="S187" s="77">
        <v>0.24199999999999999</v>
      </c>
      <c r="T187" s="77">
        <v>0.24199999999999999</v>
      </c>
      <c r="U187" s="77">
        <v>0.24199999999999999</v>
      </c>
      <c r="V187" s="77">
        <v>0.24199999999999999</v>
      </c>
      <c r="W187" s="77">
        <v>0.24199999999999999</v>
      </c>
      <c r="X187" s="77">
        <v>0.24199999999999999</v>
      </c>
      <c r="Y187" s="77">
        <v>0.24199999999999999</v>
      </c>
      <c r="Z187" s="77">
        <v>0.24199999999999999</v>
      </c>
      <c r="AA187" s="77">
        <v>0.24199999999999999</v>
      </c>
      <c r="AB187" s="77">
        <v>0.24199999999999999</v>
      </c>
      <c r="AC187" s="77">
        <v>0.24199999999999999</v>
      </c>
      <c r="AD187" s="77">
        <v>0.24199999999999999</v>
      </c>
      <c r="AE187" s="77">
        <v>0.24199999999999999</v>
      </c>
      <c r="AF187" s="77">
        <v>0.24199999999999999</v>
      </c>
      <c r="AG187" s="77"/>
      <c r="AH187" s="77"/>
      <c r="AI187" s="77"/>
      <c r="AJ187" s="77"/>
    </row>
    <row r="188" spans="1:36" ht="13.5" x14ac:dyDescent="0.7">
      <c r="A188" s="77" t="s">
        <v>775</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3.5" x14ac:dyDescent="0.7">
      <c r="A189" s="77" t="s">
        <v>776</v>
      </c>
      <c r="B189" s="77">
        <v>0.24299999999999999</v>
      </c>
      <c r="C189" s="77">
        <v>0.245</v>
      </c>
      <c r="D189" s="77">
        <v>0.247</v>
      </c>
      <c r="E189" s="77">
        <v>0.249</v>
      </c>
      <c r="F189" s="77">
        <v>0.252</v>
      </c>
      <c r="G189" s="77">
        <v>0.254</v>
      </c>
      <c r="H189" s="77">
        <v>0.25600000000000001</v>
      </c>
      <c r="I189" s="77">
        <v>0.25900000000000001</v>
      </c>
      <c r="J189" s="77">
        <v>0.26100000000000001</v>
      </c>
      <c r="K189" s="77">
        <v>0.26300000000000001</v>
      </c>
      <c r="L189" s="77">
        <v>0.26600000000000001</v>
      </c>
      <c r="M189" s="77">
        <v>0.26700000000000002</v>
      </c>
      <c r="N189" s="77">
        <v>0.26800000000000002</v>
      </c>
      <c r="O189" s="77">
        <v>0.26900000000000002</v>
      </c>
      <c r="P189" s="77">
        <v>0.27</v>
      </c>
      <c r="Q189" s="77">
        <v>0.27100000000000002</v>
      </c>
      <c r="R189" s="77">
        <v>0.27200000000000002</v>
      </c>
      <c r="S189" s="77">
        <v>0.27300000000000002</v>
      </c>
      <c r="T189" s="77">
        <v>0.27400000000000002</v>
      </c>
      <c r="U189" s="77">
        <v>0.27500000000000002</v>
      </c>
      <c r="V189" s="77">
        <v>0.27600000000000002</v>
      </c>
      <c r="W189" s="77">
        <v>0.27700000000000002</v>
      </c>
      <c r="X189" s="77">
        <v>0.27800000000000002</v>
      </c>
      <c r="Y189" s="77">
        <v>0.27900000000000003</v>
      </c>
      <c r="Z189" s="77">
        <v>0.28000000000000003</v>
      </c>
      <c r="AA189" s="77">
        <v>0.28100000000000003</v>
      </c>
      <c r="AB189" s="77">
        <v>0.28199999999999997</v>
      </c>
      <c r="AC189" s="77">
        <v>0.28299999999999997</v>
      </c>
      <c r="AD189" s="77">
        <v>0.28399999999999997</v>
      </c>
      <c r="AE189" s="77">
        <v>0.28499999999999998</v>
      </c>
      <c r="AF189" s="77">
        <v>0.28599999999999998</v>
      </c>
      <c r="AG189" s="77"/>
      <c r="AH189" s="77"/>
      <c r="AI189" s="77"/>
      <c r="AJ189" s="77"/>
    </row>
    <row r="190" spans="1:36" ht="13.5" x14ac:dyDescent="0.7">
      <c r="A190" s="77" t="s">
        <v>777</v>
      </c>
      <c r="B190" s="77">
        <v>0.20599999999999999</v>
      </c>
      <c r="C190" s="77">
        <v>0.20599999999999999</v>
      </c>
      <c r="D190" s="77">
        <v>0.20599999999999999</v>
      </c>
      <c r="E190" s="77">
        <v>0.20599999999999999</v>
      </c>
      <c r="F190" s="77">
        <v>0.20599999999999999</v>
      </c>
      <c r="G190" s="77">
        <v>0.20599999999999999</v>
      </c>
      <c r="H190" s="77">
        <v>0.20599999999999999</v>
      </c>
      <c r="I190" s="77">
        <v>0.20599999999999999</v>
      </c>
      <c r="J190" s="77">
        <v>0.20599999999999999</v>
      </c>
      <c r="K190" s="77">
        <v>0.20599999999999999</v>
      </c>
      <c r="L190" s="77">
        <v>0.20599999999999999</v>
      </c>
      <c r="M190" s="77">
        <v>0.20599999999999999</v>
      </c>
      <c r="N190" s="77">
        <v>0.20599999999999999</v>
      </c>
      <c r="O190" s="77">
        <v>0.20599999999999999</v>
      </c>
      <c r="P190" s="77">
        <v>0.20599999999999999</v>
      </c>
      <c r="Q190" s="77">
        <v>0.20599999999999999</v>
      </c>
      <c r="R190" s="77">
        <v>0.20599999999999999</v>
      </c>
      <c r="S190" s="77">
        <v>0.20599999999999999</v>
      </c>
      <c r="T190" s="77">
        <v>0.20599999999999999</v>
      </c>
      <c r="U190" s="77">
        <v>0.20599999999999999</v>
      </c>
      <c r="V190" s="77">
        <v>0.20599999999999999</v>
      </c>
      <c r="W190" s="77">
        <v>0.20599999999999999</v>
      </c>
      <c r="X190" s="77">
        <v>0.20599999999999999</v>
      </c>
      <c r="Y190" s="77">
        <v>0.20599999999999999</v>
      </c>
      <c r="Z190" s="77">
        <v>0.20599999999999999</v>
      </c>
      <c r="AA190" s="77">
        <v>0.20599999999999999</v>
      </c>
      <c r="AB190" s="77">
        <v>0.20599999999999999</v>
      </c>
      <c r="AC190" s="77">
        <v>0.20599999999999999</v>
      </c>
      <c r="AD190" s="77">
        <v>0.20599999999999999</v>
      </c>
      <c r="AE190" s="77">
        <v>0.20599999999999999</v>
      </c>
      <c r="AF190" s="77">
        <v>0.20599999999999999</v>
      </c>
      <c r="AG190" s="77"/>
      <c r="AH190" s="77"/>
      <c r="AI190" s="77"/>
      <c r="AJ190" s="77"/>
    </row>
    <row r="191" spans="1:36" ht="13.5" x14ac:dyDescent="0.7">
      <c r="A191" s="77" t="s">
        <v>778</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3.5" x14ac:dyDescent="0.7">
      <c r="A192" s="77" t="s">
        <v>779</v>
      </c>
      <c r="B192" s="77">
        <v>0.57599999999999996</v>
      </c>
      <c r="C192" s="77">
        <v>0.57599999999999996</v>
      </c>
      <c r="D192" s="77">
        <v>0.57599999999999996</v>
      </c>
      <c r="E192" s="77">
        <v>0.57599999999999996</v>
      </c>
      <c r="F192" s="77">
        <v>0.57599999999999996</v>
      </c>
      <c r="G192" s="77">
        <v>0.57599999999999996</v>
      </c>
      <c r="H192" s="77">
        <v>0.57599999999999996</v>
      </c>
      <c r="I192" s="77">
        <v>0.57599999999999996</v>
      </c>
      <c r="J192" s="77">
        <v>0.57599999999999996</v>
      </c>
      <c r="K192" s="77">
        <v>0.57599999999999996</v>
      </c>
      <c r="L192" s="77">
        <v>0.57599999999999996</v>
      </c>
      <c r="M192" s="77">
        <v>0.57599999999999996</v>
      </c>
      <c r="N192" s="77">
        <v>0.57599999999999996</v>
      </c>
      <c r="O192" s="77">
        <v>0.57599999999999996</v>
      </c>
      <c r="P192" s="77">
        <v>0.57599999999999996</v>
      </c>
      <c r="Q192" s="77">
        <v>0.57599999999999996</v>
      </c>
      <c r="R192" s="77">
        <v>0.57599999999999996</v>
      </c>
      <c r="S192" s="77">
        <v>0.57599999999999996</v>
      </c>
      <c r="T192" s="77">
        <v>0.57599999999999996</v>
      </c>
      <c r="U192" s="77">
        <v>0.57599999999999996</v>
      </c>
      <c r="V192" s="77">
        <v>0.57599999999999996</v>
      </c>
      <c r="W192" s="77">
        <v>0.57599999999999996</v>
      </c>
      <c r="X192" s="77">
        <v>0.57599999999999996</v>
      </c>
      <c r="Y192" s="77">
        <v>0.57599999999999996</v>
      </c>
      <c r="Z192" s="77">
        <v>0.57599999999999996</v>
      </c>
      <c r="AA192" s="77">
        <v>0.57599999999999996</v>
      </c>
      <c r="AB192" s="77">
        <v>0.57599999999999996</v>
      </c>
      <c r="AC192" s="77">
        <v>0.57599999999999996</v>
      </c>
      <c r="AD192" s="77">
        <v>0.57599999999999996</v>
      </c>
      <c r="AE192" s="77">
        <v>0.57599999999999996</v>
      </c>
      <c r="AF192" s="77">
        <v>0.57599999999999996</v>
      </c>
      <c r="AG192" s="77"/>
      <c r="AH192" s="77"/>
      <c r="AI192" s="77"/>
      <c r="AJ192" s="77"/>
    </row>
    <row r="193" spans="1:36" ht="13.5" x14ac:dyDescent="0.7">
      <c r="A193" s="77" t="s">
        <v>780</v>
      </c>
      <c r="B193" s="77">
        <v>0.625</v>
      </c>
      <c r="C193" s="77">
        <v>0.625</v>
      </c>
      <c r="D193" s="77">
        <v>0.625</v>
      </c>
      <c r="E193" s="77">
        <v>0.625</v>
      </c>
      <c r="F193" s="77">
        <v>0.625</v>
      </c>
      <c r="G193" s="77">
        <v>0.625</v>
      </c>
      <c r="H193" s="77">
        <v>0.625</v>
      </c>
      <c r="I193" s="77">
        <v>0.625</v>
      </c>
      <c r="J193" s="77">
        <v>0.625</v>
      </c>
      <c r="K193" s="77">
        <v>0.625</v>
      </c>
      <c r="L193" s="77">
        <v>0.625</v>
      </c>
      <c r="M193" s="77">
        <v>0.625</v>
      </c>
      <c r="N193" s="77">
        <v>0.625</v>
      </c>
      <c r="O193" s="77">
        <v>0.625</v>
      </c>
      <c r="P193" s="77">
        <v>0.625</v>
      </c>
      <c r="Q193" s="77">
        <v>0.625</v>
      </c>
      <c r="R193" s="77">
        <v>0.625</v>
      </c>
      <c r="S193" s="77">
        <v>0.625</v>
      </c>
      <c r="T193" s="77">
        <v>0.625</v>
      </c>
      <c r="U193" s="77">
        <v>0.625</v>
      </c>
      <c r="V193" s="77">
        <v>0.625</v>
      </c>
      <c r="W193" s="77">
        <v>0.625</v>
      </c>
      <c r="X193" s="77">
        <v>0.625</v>
      </c>
      <c r="Y193" s="77">
        <v>0.625</v>
      </c>
      <c r="Z193" s="77">
        <v>0.625</v>
      </c>
      <c r="AA193" s="77">
        <v>0.625</v>
      </c>
      <c r="AB193" s="77">
        <v>0.625</v>
      </c>
      <c r="AC193" s="77">
        <v>0.625</v>
      </c>
      <c r="AD193" s="77">
        <v>0.625</v>
      </c>
      <c r="AE193" s="77">
        <v>0.625</v>
      </c>
      <c r="AF193" s="77">
        <v>0.625</v>
      </c>
      <c r="AG193" s="77"/>
      <c r="AH193" s="77"/>
      <c r="AI193" s="77"/>
      <c r="AJ193" s="77"/>
    </row>
    <row r="194" spans="1:36" ht="13.5" x14ac:dyDescent="0.7">
      <c r="A194" s="77" t="s">
        <v>781</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3.5" x14ac:dyDescent="0.7">
      <c r="A195" s="77" t="s">
        <v>782</v>
      </c>
      <c r="B195" s="77">
        <v>0.68799999999999994</v>
      </c>
      <c r="C195" s="77">
        <v>0.68799999999999994</v>
      </c>
      <c r="D195" s="77">
        <v>0.68799999999999994</v>
      </c>
      <c r="E195" s="77">
        <v>0.68799999999999994</v>
      </c>
      <c r="F195" s="77">
        <v>0.68799999999999994</v>
      </c>
      <c r="G195" s="77">
        <v>0.68799999999999994</v>
      </c>
      <c r="H195" s="77">
        <v>0.68799999999999994</v>
      </c>
      <c r="I195" s="77">
        <v>0.68799999999999994</v>
      </c>
      <c r="J195" s="77">
        <v>0.68799999999999994</v>
      </c>
      <c r="K195" s="77">
        <v>0.68799999999999994</v>
      </c>
      <c r="L195" s="77">
        <v>0.68799999999999994</v>
      </c>
      <c r="M195" s="77">
        <v>0.68799999999999994</v>
      </c>
      <c r="N195" s="77">
        <v>0.68799999999999994</v>
      </c>
      <c r="O195" s="77">
        <v>0.68799999999999994</v>
      </c>
      <c r="P195" s="77">
        <v>0.68799999999999994</v>
      </c>
      <c r="Q195" s="77">
        <v>0.68799999999999994</v>
      </c>
      <c r="R195" s="77">
        <v>0.68799999999999994</v>
      </c>
      <c r="S195" s="77">
        <v>0.68799999999999994</v>
      </c>
      <c r="T195" s="77">
        <v>0.68799999999999994</v>
      </c>
      <c r="U195" s="77">
        <v>0.68799999999999994</v>
      </c>
      <c r="V195" s="77">
        <v>0.68799999999999994</v>
      </c>
      <c r="W195" s="77">
        <v>0.68799999999999994</v>
      </c>
      <c r="X195" s="77">
        <v>0.68799999999999994</v>
      </c>
      <c r="Y195" s="77">
        <v>0.68799999999999994</v>
      </c>
      <c r="Z195" s="77">
        <v>0.68799999999999994</v>
      </c>
      <c r="AA195" s="77">
        <v>0.68799999999999994</v>
      </c>
      <c r="AB195" s="77">
        <v>0.68799999999999994</v>
      </c>
      <c r="AC195" s="77">
        <v>0.68799999999999994</v>
      </c>
      <c r="AD195" s="77">
        <v>0.68799999999999994</v>
      </c>
      <c r="AE195" s="77">
        <v>0.68799999999999994</v>
      </c>
      <c r="AF195" s="77">
        <v>0.68799999999999994</v>
      </c>
      <c r="AG195" s="77"/>
      <c r="AH195" s="77"/>
      <c r="AI195" s="77"/>
      <c r="AJ195" s="77"/>
    </row>
    <row r="196" spans="1:36" ht="13.5" x14ac:dyDescent="0.7">
      <c r="A196" s="77" t="s">
        <v>783</v>
      </c>
      <c r="B196" s="77">
        <v>0.69099999999999995</v>
      </c>
      <c r="C196" s="77">
        <v>0.69099999999999995</v>
      </c>
      <c r="D196" s="77">
        <v>0.69099999999999995</v>
      </c>
      <c r="E196" s="77">
        <v>0.69099999999999995</v>
      </c>
      <c r="F196" s="77">
        <v>0.69099999999999995</v>
      </c>
      <c r="G196" s="77">
        <v>0.69099999999999995</v>
      </c>
      <c r="H196" s="77">
        <v>0.69099999999999995</v>
      </c>
      <c r="I196" s="77">
        <v>0.69099999999999995</v>
      </c>
      <c r="J196" s="77">
        <v>0.69099999999999995</v>
      </c>
      <c r="K196" s="77">
        <v>0.69099999999999995</v>
      </c>
      <c r="L196" s="77">
        <v>0.69099999999999995</v>
      </c>
      <c r="M196" s="77">
        <v>0.69099999999999995</v>
      </c>
      <c r="N196" s="77">
        <v>0.69099999999999995</v>
      </c>
      <c r="O196" s="77">
        <v>0.69099999999999995</v>
      </c>
      <c r="P196" s="77">
        <v>0.69099999999999995</v>
      </c>
      <c r="Q196" s="77">
        <v>0.69099999999999995</v>
      </c>
      <c r="R196" s="77">
        <v>0.69099999999999995</v>
      </c>
      <c r="S196" s="77">
        <v>0.69099999999999995</v>
      </c>
      <c r="T196" s="77">
        <v>0.69099999999999995</v>
      </c>
      <c r="U196" s="77">
        <v>0.69099999999999995</v>
      </c>
      <c r="V196" s="77">
        <v>0.69099999999999995</v>
      </c>
      <c r="W196" s="77">
        <v>0.69099999999999995</v>
      </c>
      <c r="X196" s="77">
        <v>0.69099999999999995</v>
      </c>
      <c r="Y196" s="77">
        <v>0.69099999999999995</v>
      </c>
      <c r="Z196" s="77">
        <v>0.69099999999999995</v>
      </c>
      <c r="AA196" s="77">
        <v>0.69099999999999995</v>
      </c>
      <c r="AB196" s="77">
        <v>0.69099999999999995</v>
      </c>
      <c r="AC196" s="77">
        <v>0.69099999999999995</v>
      </c>
      <c r="AD196" s="77">
        <v>0.69099999999999995</v>
      </c>
      <c r="AE196" s="77">
        <v>0.69099999999999995</v>
      </c>
      <c r="AF196" s="77">
        <v>0.69099999999999995</v>
      </c>
      <c r="AG196" s="77"/>
      <c r="AH196" s="77"/>
      <c r="AI196" s="77"/>
      <c r="AJ196" s="77"/>
    </row>
    <row r="197" spans="1:36" ht="13.5" x14ac:dyDescent="0.7">
      <c r="A197" s="77" t="s">
        <v>784</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3.5" x14ac:dyDescent="0.7">
      <c r="A198" s="77" t="s">
        <v>785</v>
      </c>
      <c r="B198" s="77">
        <v>0.76</v>
      </c>
      <c r="C198" s="77">
        <v>0.76</v>
      </c>
      <c r="D198" s="77">
        <v>0.76</v>
      </c>
      <c r="E198" s="77">
        <v>0.76</v>
      </c>
      <c r="F198" s="77">
        <v>0.76</v>
      </c>
      <c r="G198" s="77">
        <v>0.76</v>
      </c>
      <c r="H198" s="77">
        <v>0.76</v>
      </c>
      <c r="I198" s="77">
        <v>0.76</v>
      </c>
      <c r="J198" s="77">
        <v>0.76</v>
      </c>
      <c r="K198" s="77">
        <v>0.76</v>
      </c>
      <c r="L198" s="77">
        <v>0.76</v>
      </c>
      <c r="M198" s="77">
        <v>0.76</v>
      </c>
      <c r="N198" s="77">
        <v>0.76</v>
      </c>
      <c r="O198" s="77">
        <v>0.76</v>
      </c>
      <c r="P198" s="77">
        <v>0.76</v>
      </c>
      <c r="Q198" s="77">
        <v>0.76</v>
      </c>
      <c r="R198" s="77">
        <v>0.76</v>
      </c>
      <c r="S198" s="77">
        <v>0.76</v>
      </c>
      <c r="T198" s="77">
        <v>0.76</v>
      </c>
      <c r="U198" s="77">
        <v>0.76</v>
      </c>
      <c r="V198" s="77">
        <v>0.76</v>
      </c>
      <c r="W198" s="77">
        <v>0.76</v>
      </c>
      <c r="X198" s="77">
        <v>0.76</v>
      </c>
      <c r="Y198" s="77">
        <v>0.76</v>
      </c>
      <c r="Z198" s="77">
        <v>0.76</v>
      </c>
      <c r="AA198" s="77">
        <v>0.76</v>
      </c>
      <c r="AB198" s="77">
        <v>0.76</v>
      </c>
      <c r="AC198" s="77">
        <v>0.76</v>
      </c>
      <c r="AD198" s="77">
        <v>0.76</v>
      </c>
      <c r="AE198" s="77">
        <v>0.76</v>
      </c>
      <c r="AF198" s="77">
        <v>0.76</v>
      </c>
      <c r="AG198" s="77"/>
      <c r="AH198" s="77"/>
      <c r="AI198" s="77"/>
      <c r="AJ198" s="77"/>
    </row>
    <row r="199" spans="1:36" ht="13.5" x14ac:dyDescent="0.7">
      <c r="A199" s="77" t="s">
        <v>786</v>
      </c>
      <c r="B199" s="77">
        <v>5.6000000000000001E-2</v>
      </c>
      <c r="C199" s="77">
        <v>5.6000000000000001E-2</v>
      </c>
      <c r="D199" s="77">
        <v>5.6000000000000001E-2</v>
      </c>
      <c r="E199" s="77">
        <v>5.6000000000000001E-2</v>
      </c>
      <c r="F199" s="77">
        <v>5.6000000000000001E-2</v>
      </c>
      <c r="G199" s="77">
        <v>5.6000000000000001E-2</v>
      </c>
      <c r="H199" s="77">
        <v>5.6000000000000001E-2</v>
      </c>
      <c r="I199" s="77">
        <v>5.6000000000000001E-2</v>
      </c>
      <c r="J199" s="77">
        <v>5.6000000000000001E-2</v>
      </c>
      <c r="K199" s="77">
        <v>5.6000000000000001E-2</v>
      </c>
      <c r="L199" s="77">
        <v>5.6000000000000001E-2</v>
      </c>
      <c r="M199" s="77">
        <v>5.6000000000000001E-2</v>
      </c>
      <c r="N199" s="77">
        <v>5.6000000000000001E-2</v>
      </c>
      <c r="O199" s="77">
        <v>5.6000000000000001E-2</v>
      </c>
      <c r="P199" s="77">
        <v>5.6000000000000001E-2</v>
      </c>
      <c r="Q199" s="77">
        <v>5.6000000000000001E-2</v>
      </c>
      <c r="R199" s="77">
        <v>5.6000000000000001E-2</v>
      </c>
      <c r="S199" s="77">
        <v>5.6000000000000001E-2</v>
      </c>
      <c r="T199" s="77">
        <v>5.6000000000000001E-2</v>
      </c>
      <c r="U199" s="77">
        <v>5.6000000000000001E-2</v>
      </c>
      <c r="V199" s="77">
        <v>5.6000000000000001E-2</v>
      </c>
      <c r="W199" s="77">
        <v>5.6000000000000001E-2</v>
      </c>
      <c r="X199" s="77">
        <v>5.6000000000000001E-2</v>
      </c>
      <c r="Y199" s="77">
        <v>5.6000000000000001E-2</v>
      </c>
      <c r="Z199" s="77">
        <v>5.6000000000000001E-2</v>
      </c>
      <c r="AA199" s="77">
        <v>5.6000000000000001E-2</v>
      </c>
      <c r="AB199" s="77">
        <v>5.6000000000000001E-2</v>
      </c>
      <c r="AC199" s="77">
        <v>5.6000000000000001E-2</v>
      </c>
      <c r="AD199" s="77">
        <v>5.6000000000000001E-2</v>
      </c>
      <c r="AE199" s="77">
        <v>5.6000000000000001E-2</v>
      </c>
      <c r="AF199" s="77">
        <v>5.6000000000000001E-2</v>
      </c>
      <c r="AG199" s="77"/>
      <c r="AH199" s="77"/>
      <c r="AI199" s="77"/>
      <c r="AJ199" s="77"/>
    </row>
    <row r="200" spans="1:36" ht="13.5" x14ac:dyDescent="0.7">
      <c r="A200" s="77" t="s">
        <v>787</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3.5" x14ac:dyDescent="0.7">
      <c r="A201" s="77" t="s">
        <v>788</v>
      </c>
      <c r="B201" s="77">
        <v>6.2E-2</v>
      </c>
      <c r="C201" s="77">
        <v>6.2E-2</v>
      </c>
      <c r="D201" s="77">
        <v>6.2E-2</v>
      </c>
      <c r="E201" s="77">
        <v>6.2E-2</v>
      </c>
      <c r="F201" s="77">
        <v>6.2E-2</v>
      </c>
      <c r="G201" s="77">
        <v>6.2E-2</v>
      </c>
      <c r="H201" s="77">
        <v>6.2E-2</v>
      </c>
      <c r="I201" s="77">
        <v>6.2E-2</v>
      </c>
      <c r="J201" s="77">
        <v>6.2E-2</v>
      </c>
      <c r="K201" s="77">
        <v>6.2E-2</v>
      </c>
      <c r="L201" s="77">
        <v>6.2E-2</v>
      </c>
      <c r="M201" s="77">
        <v>6.2E-2</v>
      </c>
      <c r="N201" s="77">
        <v>6.2E-2</v>
      </c>
      <c r="O201" s="77">
        <v>6.2E-2</v>
      </c>
      <c r="P201" s="77">
        <v>6.2E-2</v>
      </c>
      <c r="Q201" s="77">
        <v>6.2E-2</v>
      </c>
      <c r="R201" s="77">
        <v>6.2E-2</v>
      </c>
      <c r="S201" s="77">
        <v>6.2E-2</v>
      </c>
      <c r="T201" s="77">
        <v>6.2E-2</v>
      </c>
      <c r="U201" s="77">
        <v>6.2E-2</v>
      </c>
      <c r="V201" s="77">
        <v>6.2E-2</v>
      </c>
      <c r="W201" s="77">
        <v>6.2E-2</v>
      </c>
      <c r="X201" s="77">
        <v>6.2E-2</v>
      </c>
      <c r="Y201" s="77">
        <v>6.2E-2</v>
      </c>
      <c r="Z201" s="77">
        <v>6.2E-2</v>
      </c>
      <c r="AA201" s="77">
        <v>6.2E-2</v>
      </c>
      <c r="AB201" s="77">
        <v>6.2E-2</v>
      </c>
      <c r="AC201" s="77">
        <v>6.2E-2</v>
      </c>
      <c r="AD201" s="77">
        <v>6.2E-2</v>
      </c>
      <c r="AE201" s="77">
        <v>6.2E-2</v>
      </c>
      <c r="AF201" s="77">
        <v>6.2E-2</v>
      </c>
      <c r="AG201" s="77"/>
      <c r="AH201" s="77"/>
      <c r="AI201" s="77"/>
      <c r="AJ201" s="77"/>
    </row>
    <row r="202" spans="1:36" ht="13.5" x14ac:dyDescent="0.7">
      <c r="A202" s="77" t="s">
        <v>789</v>
      </c>
      <c r="B202" s="77">
        <v>0.13300000000000001</v>
      </c>
      <c r="C202" s="77">
        <v>0.13300000000000001</v>
      </c>
      <c r="D202" s="77">
        <v>0.13300000000000001</v>
      </c>
      <c r="E202" s="77">
        <v>0.13300000000000001</v>
      </c>
      <c r="F202" s="77">
        <v>0.13300000000000001</v>
      </c>
      <c r="G202" s="77">
        <v>0.13300000000000001</v>
      </c>
      <c r="H202" s="77">
        <v>0.13300000000000001</v>
      </c>
      <c r="I202" s="77">
        <v>0.13300000000000001</v>
      </c>
      <c r="J202" s="77">
        <v>0.13300000000000001</v>
      </c>
      <c r="K202" s="77">
        <v>0.13300000000000001</v>
      </c>
      <c r="L202" s="77">
        <v>0.13300000000000001</v>
      </c>
      <c r="M202" s="77">
        <v>0.13300000000000001</v>
      </c>
      <c r="N202" s="77">
        <v>0.13300000000000001</v>
      </c>
      <c r="O202" s="77">
        <v>0.13300000000000001</v>
      </c>
      <c r="P202" s="77">
        <v>0.13300000000000001</v>
      </c>
      <c r="Q202" s="77">
        <v>0.13300000000000001</v>
      </c>
      <c r="R202" s="77">
        <v>0.13300000000000001</v>
      </c>
      <c r="S202" s="77">
        <v>0.13300000000000001</v>
      </c>
      <c r="T202" s="77">
        <v>0.13300000000000001</v>
      </c>
      <c r="U202" s="77">
        <v>0.13300000000000001</v>
      </c>
      <c r="V202" s="77">
        <v>0.13300000000000001</v>
      </c>
      <c r="W202" s="77">
        <v>0.13300000000000001</v>
      </c>
      <c r="X202" s="77">
        <v>0.13300000000000001</v>
      </c>
      <c r="Y202" s="77">
        <v>0.13300000000000001</v>
      </c>
      <c r="Z202" s="77">
        <v>0.13300000000000001</v>
      </c>
      <c r="AA202" s="77">
        <v>0.13300000000000001</v>
      </c>
      <c r="AB202" s="77">
        <v>0.13300000000000001</v>
      </c>
      <c r="AC202" s="77">
        <v>0.13300000000000001</v>
      </c>
      <c r="AD202" s="77">
        <v>0.13300000000000001</v>
      </c>
      <c r="AE202" s="77">
        <v>0.13300000000000001</v>
      </c>
      <c r="AF202" s="77">
        <v>0.13300000000000001</v>
      </c>
      <c r="AG202" s="77"/>
      <c r="AH202" s="77"/>
      <c r="AI202" s="77"/>
      <c r="AJ202" s="77"/>
    </row>
    <row r="203" spans="1:36" ht="13.5" x14ac:dyDescent="0.7">
      <c r="A203" s="77" t="s">
        <v>790</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3.5" x14ac:dyDescent="0.7">
      <c r="A204" s="77" t="s">
        <v>791</v>
      </c>
      <c r="B204" s="77">
        <v>0.14599999999999999</v>
      </c>
      <c r="C204" s="77">
        <v>0.14599999999999999</v>
      </c>
      <c r="D204" s="77">
        <v>0.14599999999999999</v>
      </c>
      <c r="E204" s="77">
        <v>0.14599999999999999</v>
      </c>
      <c r="F204" s="77">
        <v>0.14599999999999999</v>
      </c>
      <c r="G204" s="77">
        <v>0.14599999999999999</v>
      </c>
      <c r="H204" s="77">
        <v>0.14599999999999999</v>
      </c>
      <c r="I204" s="77">
        <v>0.14599999999999999</v>
      </c>
      <c r="J204" s="77">
        <v>0.14599999999999999</v>
      </c>
      <c r="K204" s="77">
        <v>0.14599999999999999</v>
      </c>
      <c r="L204" s="77">
        <v>0.14599999999999999</v>
      </c>
      <c r="M204" s="77">
        <v>0.14599999999999999</v>
      </c>
      <c r="N204" s="77">
        <v>0.14599999999999999</v>
      </c>
      <c r="O204" s="77">
        <v>0.14599999999999999</v>
      </c>
      <c r="P204" s="77">
        <v>0.14599999999999999</v>
      </c>
      <c r="Q204" s="77">
        <v>0.14599999999999999</v>
      </c>
      <c r="R204" s="77">
        <v>0.14599999999999999</v>
      </c>
      <c r="S204" s="77">
        <v>0.14599999999999999</v>
      </c>
      <c r="T204" s="77">
        <v>0.14599999999999999</v>
      </c>
      <c r="U204" s="77">
        <v>0.14599999999999999</v>
      </c>
      <c r="V204" s="77">
        <v>0.14599999999999999</v>
      </c>
      <c r="W204" s="77">
        <v>0.14599999999999999</v>
      </c>
      <c r="X204" s="77">
        <v>0.14599999999999999</v>
      </c>
      <c r="Y204" s="77">
        <v>0.14599999999999999</v>
      </c>
      <c r="Z204" s="77">
        <v>0.14599999999999999</v>
      </c>
      <c r="AA204" s="77">
        <v>0.14599999999999999</v>
      </c>
      <c r="AB204" s="77">
        <v>0.14599999999999999</v>
      </c>
      <c r="AC204" s="77">
        <v>0.14599999999999999</v>
      </c>
      <c r="AD204" s="77">
        <v>0.14599999999999999</v>
      </c>
      <c r="AE204" s="77">
        <v>0.14599999999999999</v>
      </c>
      <c r="AF204" s="77">
        <v>0.14599999999999999</v>
      </c>
      <c r="AG204" s="77"/>
      <c r="AH204" s="77"/>
      <c r="AI204" s="77"/>
      <c r="AJ204" s="77"/>
    </row>
    <row r="205" spans="1:36" ht="13.5" x14ac:dyDescent="0.7">
      <c r="A205" s="77" t="s">
        <v>792</v>
      </c>
      <c r="B205" s="77">
        <v>0.75800000000000001</v>
      </c>
      <c r="C205" s="77">
        <v>0.75800000000000001</v>
      </c>
      <c r="D205" s="77">
        <v>0.75800000000000001</v>
      </c>
      <c r="E205" s="77">
        <v>0.75800000000000001</v>
      </c>
      <c r="F205" s="77">
        <v>0.75800000000000001</v>
      </c>
      <c r="G205" s="77">
        <v>0.75800000000000001</v>
      </c>
      <c r="H205" s="77">
        <v>0.75800000000000001</v>
      </c>
      <c r="I205" s="77">
        <v>0.75800000000000001</v>
      </c>
      <c r="J205" s="77">
        <v>0.75800000000000001</v>
      </c>
      <c r="K205" s="77">
        <v>0.75800000000000001</v>
      </c>
      <c r="L205" s="77">
        <v>0.75800000000000001</v>
      </c>
      <c r="M205" s="77">
        <v>0.75800000000000001</v>
      </c>
      <c r="N205" s="77">
        <v>0.75800000000000001</v>
      </c>
      <c r="O205" s="77">
        <v>0.75800000000000001</v>
      </c>
      <c r="P205" s="77">
        <v>0.75800000000000001</v>
      </c>
      <c r="Q205" s="77">
        <v>0.75800000000000001</v>
      </c>
      <c r="R205" s="77">
        <v>0.75800000000000001</v>
      </c>
      <c r="S205" s="77">
        <v>0.75800000000000001</v>
      </c>
      <c r="T205" s="77">
        <v>0.75800000000000001</v>
      </c>
      <c r="U205" s="77">
        <v>0.75800000000000001</v>
      </c>
      <c r="V205" s="77">
        <v>0.75800000000000001</v>
      </c>
      <c r="W205" s="77">
        <v>0.75800000000000001</v>
      </c>
      <c r="X205" s="77">
        <v>0.75800000000000001</v>
      </c>
      <c r="Y205" s="77">
        <v>0.75800000000000001</v>
      </c>
      <c r="Z205" s="77">
        <v>0.75800000000000001</v>
      </c>
      <c r="AA205" s="77">
        <v>0.75800000000000001</v>
      </c>
      <c r="AB205" s="77">
        <v>0.75800000000000001</v>
      </c>
      <c r="AC205" s="77">
        <v>0.75800000000000001</v>
      </c>
      <c r="AD205" s="77">
        <v>0.75800000000000001</v>
      </c>
      <c r="AE205" s="77">
        <v>0.75800000000000001</v>
      </c>
      <c r="AF205" s="77">
        <v>0.75800000000000001</v>
      </c>
      <c r="AG205" s="77"/>
      <c r="AH205" s="77"/>
      <c r="AI205" s="77"/>
      <c r="AJ205" s="77"/>
    </row>
    <row r="206" spans="1:36" ht="13.5" x14ac:dyDescent="0.7">
      <c r="A206" s="77" t="s">
        <v>793</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3.5" x14ac:dyDescent="0.7">
      <c r="A207" s="77" t="s">
        <v>794</v>
      </c>
      <c r="B207" s="77">
        <v>0.83399999999999996</v>
      </c>
      <c r="C207" s="77">
        <v>0.83399999999999996</v>
      </c>
      <c r="D207" s="77">
        <v>0.83399999999999996</v>
      </c>
      <c r="E207" s="77">
        <v>0.83399999999999996</v>
      </c>
      <c r="F207" s="77">
        <v>0.83399999999999996</v>
      </c>
      <c r="G207" s="77">
        <v>0.83399999999999996</v>
      </c>
      <c r="H207" s="77">
        <v>0.83399999999999996</v>
      </c>
      <c r="I207" s="77">
        <v>0.83399999999999996</v>
      </c>
      <c r="J207" s="77">
        <v>0.83399999999999996</v>
      </c>
      <c r="K207" s="77">
        <v>0.83399999999999996</v>
      </c>
      <c r="L207" s="77">
        <v>0.83399999999999996</v>
      </c>
      <c r="M207" s="77">
        <v>0.83399999999999996</v>
      </c>
      <c r="N207" s="77">
        <v>0.83399999999999996</v>
      </c>
      <c r="O207" s="77">
        <v>0.83399999999999996</v>
      </c>
      <c r="P207" s="77">
        <v>0.83399999999999996</v>
      </c>
      <c r="Q207" s="77">
        <v>0.83399999999999996</v>
      </c>
      <c r="R207" s="77">
        <v>0.83399999999999996</v>
      </c>
      <c r="S207" s="77">
        <v>0.83399999999999996</v>
      </c>
      <c r="T207" s="77">
        <v>0.83399999999999996</v>
      </c>
      <c r="U207" s="77">
        <v>0.83399999999999996</v>
      </c>
      <c r="V207" s="77">
        <v>0.83399999999999996</v>
      </c>
      <c r="W207" s="77">
        <v>0.83399999999999996</v>
      </c>
      <c r="X207" s="77">
        <v>0.83399999999999996</v>
      </c>
      <c r="Y207" s="77">
        <v>0.83399999999999996</v>
      </c>
      <c r="Z207" s="77">
        <v>0.83399999999999996</v>
      </c>
      <c r="AA207" s="77">
        <v>0.83399999999999996</v>
      </c>
      <c r="AB207" s="77">
        <v>0.83399999999999996</v>
      </c>
      <c r="AC207" s="77">
        <v>0.83399999999999996</v>
      </c>
      <c r="AD207" s="77">
        <v>0.83399999999999996</v>
      </c>
      <c r="AE207" s="77">
        <v>0.83399999999999996</v>
      </c>
      <c r="AF207" s="77">
        <v>0.83399999999999996</v>
      </c>
      <c r="AG207" s="77"/>
      <c r="AH207" s="77"/>
      <c r="AI207" s="77"/>
      <c r="AJ207" s="77"/>
    </row>
    <row r="208" spans="1:36" ht="13.5" x14ac:dyDescent="0.7">
      <c r="A208" s="77" t="s">
        <v>795</v>
      </c>
      <c r="B208" s="77">
        <v>0.49199999999999999</v>
      </c>
      <c r="C208" s="77">
        <v>0.49199999999999999</v>
      </c>
      <c r="D208" s="77">
        <v>0.49199999999999999</v>
      </c>
      <c r="E208" s="77">
        <v>0.49199999999999999</v>
      </c>
      <c r="F208" s="77">
        <v>0.49199999999999999</v>
      </c>
      <c r="G208" s="77">
        <v>0.49199999999999999</v>
      </c>
      <c r="H208" s="77">
        <v>0.49199999999999999</v>
      </c>
      <c r="I208" s="77">
        <v>0.49199999999999999</v>
      </c>
      <c r="J208" s="77">
        <v>0.49199999999999999</v>
      </c>
      <c r="K208" s="77">
        <v>0.49199999999999999</v>
      </c>
      <c r="L208" s="77">
        <v>0.49199999999999999</v>
      </c>
      <c r="M208" s="77">
        <v>0.49199999999999999</v>
      </c>
      <c r="N208" s="77">
        <v>0.49199999999999999</v>
      </c>
      <c r="O208" s="77">
        <v>0.49199999999999999</v>
      </c>
      <c r="P208" s="77">
        <v>0.49199999999999999</v>
      </c>
      <c r="Q208" s="77">
        <v>0.49199999999999999</v>
      </c>
      <c r="R208" s="77">
        <v>0.49199999999999999</v>
      </c>
      <c r="S208" s="77">
        <v>0.49199999999999999</v>
      </c>
      <c r="T208" s="77">
        <v>0.49199999999999999</v>
      </c>
      <c r="U208" s="77">
        <v>0.49199999999999999</v>
      </c>
      <c r="V208" s="77">
        <v>0.49199999999999999</v>
      </c>
      <c r="W208" s="77">
        <v>0.49199999999999999</v>
      </c>
      <c r="X208" s="77">
        <v>0.49199999999999999</v>
      </c>
      <c r="Y208" s="77">
        <v>0.49199999999999999</v>
      </c>
      <c r="Z208" s="77">
        <v>0.49199999999999999</v>
      </c>
      <c r="AA208" s="77">
        <v>0.49199999999999999</v>
      </c>
      <c r="AB208" s="77">
        <v>0.49199999999999999</v>
      </c>
      <c r="AC208" s="77">
        <v>0.49199999999999999</v>
      </c>
      <c r="AD208" s="77">
        <v>0.49199999999999999</v>
      </c>
      <c r="AE208" s="77">
        <v>0.49199999999999999</v>
      </c>
      <c r="AF208" s="77">
        <v>0.49199999999999999</v>
      </c>
      <c r="AG208" s="77"/>
      <c r="AH208" s="77"/>
      <c r="AI208" s="77"/>
      <c r="AJ208" s="77"/>
    </row>
    <row r="209" spans="1:36" ht="13.5" x14ac:dyDescent="0.7">
      <c r="A209" s="77" t="s">
        <v>796</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3.5" x14ac:dyDescent="0.7">
      <c r="A210" s="77" t="s">
        <v>797</v>
      </c>
      <c r="B210" s="77">
        <v>0.49199999999999999</v>
      </c>
      <c r="C210" s="77">
        <v>0.498</v>
      </c>
      <c r="D210" s="77">
        <v>0.503</v>
      </c>
      <c r="E210" s="77">
        <v>0.50800000000000001</v>
      </c>
      <c r="F210" s="77">
        <v>0.51200000000000001</v>
      </c>
      <c r="G210" s="77">
        <v>0.51700000000000002</v>
      </c>
      <c r="H210" s="77">
        <v>0.52100000000000002</v>
      </c>
      <c r="I210" s="77">
        <v>0.52500000000000002</v>
      </c>
      <c r="J210" s="77">
        <v>0.52900000000000003</v>
      </c>
      <c r="K210" s="77">
        <v>0.53300000000000003</v>
      </c>
      <c r="L210" s="77">
        <v>0.53700000000000003</v>
      </c>
      <c r="M210" s="77">
        <v>0.53800000000000003</v>
      </c>
      <c r="N210" s="77">
        <v>0.54</v>
      </c>
      <c r="O210" s="77">
        <v>0.54200000000000004</v>
      </c>
      <c r="P210" s="77">
        <v>0.54300000000000004</v>
      </c>
      <c r="Q210" s="77">
        <v>0.54500000000000004</v>
      </c>
      <c r="R210" s="77">
        <v>0.54600000000000004</v>
      </c>
      <c r="S210" s="77">
        <v>0.54800000000000004</v>
      </c>
      <c r="T210" s="77">
        <v>0.54900000000000004</v>
      </c>
      <c r="U210" s="77">
        <v>0.55100000000000005</v>
      </c>
      <c r="V210" s="77">
        <v>0.55200000000000005</v>
      </c>
      <c r="W210" s="77">
        <v>0.55400000000000005</v>
      </c>
      <c r="X210" s="77">
        <v>0.55500000000000005</v>
      </c>
      <c r="Y210" s="77">
        <v>0.55700000000000005</v>
      </c>
      <c r="Z210" s="77">
        <v>0.55800000000000005</v>
      </c>
      <c r="AA210" s="77">
        <v>0.55900000000000005</v>
      </c>
      <c r="AB210" s="77">
        <v>0.56100000000000005</v>
      </c>
      <c r="AC210" s="77">
        <v>0.56200000000000006</v>
      </c>
      <c r="AD210" s="77">
        <v>0.56299999999999994</v>
      </c>
      <c r="AE210" s="77">
        <v>0.56499999999999995</v>
      </c>
      <c r="AF210" s="77">
        <v>0.56599999999999995</v>
      </c>
      <c r="AG210" s="77"/>
      <c r="AH210" s="77"/>
      <c r="AI210" s="77"/>
      <c r="AJ210" s="77"/>
    </row>
    <row r="211" spans="1:36" ht="13.5" x14ac:dyDescent="0.7">
      <c r="A211" s="77" t="s">
        <v>798</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3.5" x14ac:dyDescent="0.7">
      <c r="A212" s="77" t="s">
        <v>799</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3.5" x14ac:dyDescent="0.7">
      <c r="A213" s="77" t="s">
        <v>800</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3.5" x14ac:dyDescent="0.7">
      <c r="A214" s="77" t="s">
        <v>801</v>
      </c>
      <c r="B214" s="77">
        <v>5.6000000000000001E-2</v>
      </c>
      <c r="C214" s="77">
        <v>5.6000000000000001E-2</v>
      </c>
      <c r="D214" s="77">
        <v>5.6000000000000001E-2</v>
      </c>
      <c r="E214" s="77">
        <v>5.6000000000000001E-2</v>
      </c>
      <c r="F214" s="77">
        <v>5.6000000000000001E-2</v>
      </c>
      <c r="G214" s="77">
        <v>5.6000000000000001E-2</v>
      </c>
      <c r="H214" s="77">
        <v>5.6000000000000001E-2</v>
      </c>
      <c r="I214" s="77">
        <v>5.6000000000000001E-2</v>
      </c>
      <c r="J214" s="77">
        <v>5.6000000000000001E-2</v>
      </c>
      <c r="K214" s="77">
        <v>5.6000000000000001E-2</v>
      </c>
      <c r="L214" s="77">
        <v>5.6000000000000001E-2</v>
      </c>
      <c r="M214" s="77">
        <v>5.6000000000000001E-2</v>
      </c>
      <c r="N214" s="77">
        <v>5.6000000000000001E-2</v>
      </c>
      <c r="O214" s="77">
        <v>5.6000000000000001E-2</v>
      </c>
      <c r="P214" s="77">
        <v>5.6000000000000001E-2</v>
      </c>
      <c r="Q214" s="77">
        <v>5.6000000000000001E-2</v>
      </c>
      <c r="R214" s="77">
        <v>5.6000000000000001E-2</v>
      </c>
      <c r="S214" s="77">
        <v>5.6000000000000001E-2</v>
      </c>
      <c r="T214" s="77">
        <v>5.6000000000000001E-2</v>
      </c>
      <c r="U214" s="77">
        <v>5.6000000000000001E-2</v>
      </c>
      <c r="V214" s="77">
        <v>5.6000000000000001E-2</v>
      </c>
      <c r="W214" s="77">
        <v>5.6000000000000001E-2</v>
      </c>
      <c r="X214" s="77">
        <v>5.6000000000000001E-2</v>
      </c>
      <c r="Y214" s="77">
        <v>5.6000000000000001E-2</v>
      </c>
      <c r="Z214" s="77">
        <v>5.6000000000000001E-2</v>
      </c>
      <c r="AA214" s="77">
        <v>5.6000000000000001E-2</v>
      </c>
      <c r="AB214" s="77">
        <v>5.6000000000000001E-2</v>
      </c>
      <c r="AC214" s="77">
        <v>5.6000000000000001E-2</v>
      </c>
      <c r="AD214" s="77">
        <v>5.6000000000000001E-2</v>
      </c>
      <c r="AE214" s="77">
        <v>5.6000000000000001E-2</v>
      </c>
      <c r="AF214" s="77">
        <v>5.6000000000000001E-2</v>
      </c>
      <c r="AG214" s="77"/>
      <c r="AH214" s="77"/>
      <c r="AI214" s="77"/>
      <c r="AJ214" s="77"/>
    </row>
    <row r="215" spans="1:36" ht="13.5" x14ac:dyDescent="0.7">
      <c r="A215" s="77" t="s">
        <v>802</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3.5" x14ac:dyDescent="0.7">
      <c r="A216" s="77" t="s">
        <v>803</v>
      </c>
      <c r="B216" s="77">
        <v>6.2E-2</v>
      </c>
      <c r="C216" s="77">
        <v>6.2E-2</v>
      </c>
      <c r="D216" s="77">
        <v>6.2E-2</v>
      </c>
      <c r="E216" s="77">
        <v>6.2E-2</v>
      </c>
      <c r="F216" s="77">
        <v>6.2E-2</v>
      </c>
      <c r="G216" s="77">
        <v>6.2E-2</v>
      </c>
      <c r="H216" s="77">
        <v>6.2E-2</v>
      </c>
      <c r="I216" s="77">
        <v>6.2E-2</v>
      </c>
      <c r="J216" s="77">
        <v>6.2E-2</v>
      </c>
      <c r="K216" s="77">
        <v>6.2E-2</v>
      </c>
      <c r="L216" s="77">
        <v>6.2E-2</v>
      </c>
      <c r="M216" s="77">
        <v>6.2E-2</v>
      </c>
      <c r="N216" s="77">
        <v>6.2E-2</v>
      </c>
      <c r="O216" s="77">
        <v>6.2E-2</v>
      </c>
      <c r="P216" s="77">
        <v>6.2E-2</v>
      </c>
      <c r="Q216" s="77">
        <v>6.2E-2</v>
      </c>
      <c r="R216" s="77">
        <v>6.2E-2</v>
      </c>
      <c r="S216" s="77">
        <v>6.2E-2</v>
      </c>
      <c r="T216" s="77">
        <v>6.2E-2</v>
      </c>
      <c r="U216" s="77">
        <v>6.2E-2</v>
      </c>
      <c r="V216" s="77">
        <v>6.2E-2</v>
      </c>
      <c r="W216" s="77">
        <v>6.2E-2</v>
      </c>
      <c r="X216" s="77">
        <v>6.2E-2</v>
      </c>
      <c r="Y216" s="77">
        <v>6.2E-2</v>
      </c>
      <c r="Z216" s="77">
        <v>6.2E-2</v>
      </c>
      <c r="AA216" s="77">
        <v>6.2E-2</v>
      </c>
      <c r="AB216" s="77">
        <v>6.2E-2</v>
      </c>
      <c r="AC216" s="77">
        <v>6.2E-2</v>
      </c>
      <c r="AD216" s="77">
        <v>6.2E-2</v>
      </c>
      <c r="AE216" s="77">
        <v>6.2E-2</v>
      </c>
      <c r="AF216" s="77">
        <v>6.2E-2</v>
      </c>
      <c r="AG216" s="77"/>
      <c r="AH216" s="77"/>
      <c r="AI216" s="77"/>
      <c r="AJ216" s="77"/>
    </row>
    <row r="217" spans="1:36" ht="13.5" x14ac:dyDescent="0.7">
      <c r="A217" s="77" t="s">
        <v>804</v>
      </c>
      <c r="B217" s="77">
        <v>0.64600000000000002</v>
      </c>
      <c r="C217" s="77">
        <v>0.64600000000000002</v>
      </c>
      <c r="D217" s="77">
        <v>0.64600000000000002</v>
      </c>
      <c r="E217" s="77">
        <v>0.64600000000000002</v>
      </c>
      <c r="F217" s="77">
        <v>0.64600000000000002</v>
      </c>
      <c r="G217" s="77">
        <v>0.64600000000000002</v>
      </c>
      <c r="H217" s="77">
        <v>0.64600000000000002</v>
      </c>
      <c r="I217" s="77">
        <v>0.64600000000000002</v>
      </c>
      <c r="J217" s="77">
        <v>0.64600000000000002</v>
      </c>
      <c r="K217" s="77">
        <v>0.64600000000000002</v>
      </c>
      <c r="L217" s="77">
        <v>0.64600000000000002</v>
      </c>
      <c r="M217" s="77">
        <v>0.64600000000000002</v>
      </c>
      <c r="N217" s="77">
        <v>0.64600000000000002</v>
      </c>
      <c r="O217" s="77">
        <v>0.64600000000000002</v>
      </c>
      <c r="P217" s="77">
        <v>0.64600000000000002</v>
      </c>
      <c r="Q217" s="77">
        <v>0.64600000000000002</v>
      </c>
      <c r="R217" s="77">
        <v>0.64600000000000002</v>
      </c>
      <c r="S217" s="77">
        <v>0.64600000000000002</v>
      </c>
      <c r="T217" s="77">
        <v>0.64600000000000002</v>
      </c>
      <c r="U217" s="77">
        <v>0.64600000000000002</v>
      </c>
      <c r="V217" s="77">
        <v>0.64600000000000002</v>
      </c>
      <c r="W217" s="77">
        <v>0.64600000000000002</v>
      </c>
      <c r="X217" s="77">
        <v>0.64600000000000002</v>
      </c>
      <c r="Y217" s="77">
        <v>0.64600000000000002</v>
      </c>
      <c r="Z217" s="77">
        <v>0.64600000000000002</v>
      </c>
      <c r="AA217" s="77">
        <v>0.64600000000000002</v>
      </c>
      <c r="AB217" s="77">
        <v>0.64600000000000002</v>
      </c>
      <c r="AC217" s="77">
        <v>0.64600000000000002</v>
      </c>
      <c r="AD217" s="77">
        <v>0.64600000000000002</v>
      </c>
      <c r="AE217" s="77">
        <v>0.64600000000000002</v>
      </c>
      <c r="AF217" s="77">
        <v>0.64600000000000002</v>
      </c>
      <c r="AG217" s="77"/>
      <c r="AH217" s="77"/>
      <c r="AI217" s="77"/>
      <c r="AJ217" s="77"/>
    </row>
    <row r="218" spans="1:36" ht="13.5" x14ac:dyDescent="0.7">
      <c r="A218" s="77" t="s">
        <v>805</v>
      </c>
      <c r="B218" s="77">
        <v>0</v>
      </c>
      <c r="C218" s="77">
        <v>0</v>
      </c>
      <c r="D218" s="77">
        <v>0</v>
      </c>
      <c r="E218" s="77">
        <v>0</v>
      </c>
      <c r="F218" s="77">
        <v>0</v>
      </c>
      <c r="G218" s="77">
        <v>0</v>
      </c>
      <c r="H218" s="77">
        <v>0</v>
      </c>
      <c r="I218" s="77">
        <v>0</v>
      </c>
      <c r="J218" s="77">
        <v>0</v>
      </c>
      <c r="K218" s="77">
        <v>0</v>
      </c>
      <c r="L218" s="77">
        <v>0</v>
      </c>
      <c r="M218" s="77">
        <v>0</v>
      </c>
      <c r="N218" s="77">
        <v>0</v>
      </c>
      <c r="O218" s="77">
        <v>0</v>
      </c>
      <c r="P218" s="77">
        <v>0</v>
      </c>
      <c r="Q218" s="77">
        <v>0</v>
      </c>
      <c r="R218" s="77">
        <v>0</v>
      </c>
      <c r="S218" s="77">
        <v>0</v>
      </c>
      <c r="T218" s="77">
        <v>0</v>
      </c>
      <c r="U218" s="77">
        <v>0</v>
      </c>
      <c r="V218" s="77">
        <v>0</v>
      </c>
      <c r="W218" s="77">
        <v>0</v>
      </c>
      <c r="X218" s="77">
        <v>0</v>
      </c>
      <c r="Y218" s="77">
        <v>0</v>
      </c>
      <c r="Z218" s="77">
        <v>0</v>
      </c>
      <c r="AA218" s="77">
        <v>0</v>
      </c>
      <c r="AB218" s="77">
        <v>0</v>
      </c>
      <c r="AC218" s="77">
        <v>0</v>
      </c>
      <c r="AD218" s="77">
        <v>0</v>
      </c>
      <c r="AE218" s="77">
        <v>0</v>
      </c>
      <c r="AF218" s="77">
        <v>0</v>
      </c>
      <c r="AG218" s="77"/>
      <c r="AH218" s="77"/>
      <c r="AI218" s="77"/>
      <c r="AJ218" s="77"/>
    </row>
    <row r="219" spans="1:36" ht="13.5" x14ac:dyDescent="0.7">
      <c r="A219" s="77" t="s">
        <v>806</v>
      </c>
      <c r="B219" s="77">
        <v>0.71099999999999997</v>
      </c>
      <c r="C219" s="77">
        <v>0.71099999999999997</v>
      </c>
      <c r="D219" s="77">
        <v>0.71099999999999997</v>
      </c>
      <c r="E219" s="77">
        <v>0.71099999999999997</v>
      </c>
      <c r="F219" s="77">
        <v>0.71099999999999997</v>
      </c>
      <c r="G219" s="77">
        <v>0.71099999999999997</v>
      </c>
      <c r="H219" s="77">
        <v>0.71099999999999997</v>
      </c>
      <c r="I219" s="77">
        <v>0.71099999999999997</v>
      </c>
      <c r="J219" s="77">
        <v>0.71099999999999997</v>
      </c>
      <c r="K219" s="77">
        <v>0.71099999999999997</v>
      </c>
      <c r="L219" s="77">
        <v>0.71099999999999997</v>
      </c>
      <c r="M219" s="77">
        <v>0.71099999999999997</v>
      </c>
      <c r="N219" s="77">
        <v>0.71099999999999997</v>
      </c>
      <c r="O219" s="77">
        <v>0.71099999999999997</v>
      </c>
      <c r="P219" s="77">
        <v>0.71099999999999997</v>
      </c>
      <c r="Q219" s="77">
        <v>0.71099999999999997</v>
      </c>
      <c r="R219" s="77">
        <v>0.71099999999999997</v>
      </c>
      <c r="S219" s="77">
        <v>0.71099999999999997</v>
      </c>
      <c r="T219" s="77">
        <v>0.71099999999999997</v>
      </c>
      <c r="U219" s="77">
        <v>0.71099999999999997</v>
      </c>
      <c r="V219" s="77">
        <v>0.71099999999999997</v>
      </c>
      <c r="W219" s="77">
        <v>0.71099999999999997</v>
      </c>
      <c r="X219" s="77">
        <v>0.71099999999999997</v>
      </c>
      <c r="Y219" s="77">
        <v>0.71099999999999997</v>
      </c>
      <c r="Z219" s="77">
        <v>0.71099999999999997</v>
      </c>
      <c r="AA219" s="77">
        <v>0.71099999999999997</v>
      </c>
      <c r="AB219" s="77">
        <v>0.71099999999999997</v>
      </c>
      <c r="AC219" s="77">
        <v>0.71099999999999997</v>
      </c>
      <c r="AD219" s="77">
        <v>0.71099999999999997</v>
      </c>
      <c r="AE219" s="77">
        <v>0.71099999999999997</v>
      </c>
      <c r="AF219" s="77">
        <v>0.71099999999999997</v>
      </c>
      <c r="AG219" s="77"/>
      <c r="AH219" s="77"/>
      <c r="AI219" s="77"/>
      <c r="AJ219" s="77"/>
    </row>
    <row r="220" spans="1:36" ht="13.5" x14ac:dyDescent="0.7">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3.5" x14ac:dyDescent="0.7">
      <c r="A221" s="81" t="s">
        <v>834</v>
      </c>
      <c r="B221" s="81"/>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4.75" x14ac:dyDescent="0.75">
      <c r="A222" s="1" t="s">
        <v>834</v>
      </c>
      <c r="B222"/>
      <c r="C222"/>
      <c r="D222"/>
      <c r="E222"/>
      <c r="F222"/>
      <c r="G222"/>
      <c r="H222"/>
      <c r="I222"/>
      <c r="J222"/>
      <c r="K222"/>
      <c r="L222"/>
      <c r="M222"/>
      <c r="N222"/>
      <c r="O222"/>
      <c r="P222"/>
      <c r="Q222"/>
      <c r="R222"/>
      <c r="S222"/>
      <c r="T222"/>
      <c r="U222"/>
      <c r="V222"/>
      <c r="W222"/>
      <c r="X222"/>
      <c r="Y222"/>
      <c r="Z222"/>
      <c r="AA222"/>
      <c r="AB222"/>
      <c r="AC222"/>
      <c r="AD222"/>
      <c r="AE222"/>
      <c r="AF222" s="77"/>
      <c r="AG222" s="77"/>
      <c r="AH222" s="77"/>
      <c r="AI222" s="77"/>
      <c r="AJ222" s="77"/>
    </row>
    <row r="223" spans="1:36" ht="14.75" x14ac:dyDescent="0.75">
      <c r="A223" s="1"/>
      <c r="B223"/>
      <c r="C223"/>
      <c r="D223"/>
      <c r="E223"/>
      <c r="F223"/>
      <c r="G223"/>
      <c r="H223"/>
      <c r="I223"/>
      <c r="J223"/>
      <c r="K223"/>
      <c r="L223"/>
      <c r="M223"/>
      <c r="N223"/>
      <c r="O223"/>
      <c r="P223"/>
      <c r="Q223"/>
      <c r="R223"/>
      <c r="S223"/>
      <c r="T223"/>
      <c r="U223"/>
      <c r="V223"/>
      <c r="W223"/>
      <c r="X223"/>
      <c r="Y223"/>
      <c r="Z223"/>
      <c r="AA223"/>
      <c r="AB223"/>
      <c r="AC223"/>
      <c r="AD223"/>
      <c r="AE223"/>
      <c r="AF223" s="77"/>
      <c r="AG223" s="77"/>
      <c r="AH223" s="77"/>
      <c r="AI223" s="77"/>
      <c r="AJ223" s="77"/>
    </row>
    <row r="224" spans="1:36" ht="14.75" x14ac:dyDescent="0.75">
      <c r="A224" t="s">
        <v>1064</v>
      </c>
      <c r="B224">
        <v>3</v>
      </c>
      <c r="C224"/>
      <c r="D224"/>
      <c r="E224"/>
      <c r="F224"/>
      <c r="G224"/>
      <c r="H224"/>
      <c r="I224"/>
      <c r="J224"/>
      <c r="K224"/>
      <c r="L224"/>
      <c r="M224"/>
      <c r="N224"/>
      <c r="O224"/>
      <c r="P224"/>
      <c r="Q224"/>
      <c r="R224"/>
      <c r="S224"/>
      <c r="T224"/>
      <c r="U224"/>
      <c r="V224"/>
      <c r="W224"/>
      <c r="X224"/>
      <c r="Y224"/>
      <c r="Z224"/>
      <c r="AA224"/>
      <c r="AB224"/>
      <c r="AC224"/>
      <c r="AD224"/>
      <c r="AE224"/>
      <c r="AF224" s="77"/>
      <c r="AG224" s="77"/>
      <c r="AH224" s="77"/>
      <c r="AI224" s="77"/>
      <c r="AJ224" s="77"/>
    </row>
    <row r="225" spans="1:36" ht="14.75" x14ac:dyDescent="0.75">
      <c r="A225" t="s">
        <v>835</v>
      </c>
      <c r="B225">
        <v>61127.365236523648</v>
      </c>
      <c r="C225"/>
      <c r="D225"/>
      <c r="E225"/>
      <c r="F225"/>
      <c r="G225"/>
      <c r="H225"/>
      <c r="I225"/>
      <c r="J225"/>
      <c r="K225"/>
      <c r="L225"/>
      <c r="M225"/>
      <c r="N225"/>
      <c r="O225"/>
      <c r="P225"/>
      <c r="Q225"/>
      <c r="R225"/>
      <c r="S225"/>
      <c r="T225"/>
      <c r="U225"/>
      <c r="V225"/>
      <c r="W225"/>
      <c r="X225"/>
      <c r="Y225"/>
      <c r="Z225"/>
      <c r="AA225"/>
      <c r="AB225"/>
      <c r="AC225"/>
      <c r="AD225"/>
      <c r="AE225"/>
      <c r="AF225" s="77"/>
      <c r="AG225" s="77"/>
      <c r="AH225" s="77"/>
      <c r="AI225" s="77"/>
      <c r="AJ225" s="77"/>
    </row>
    <row r="226" spans="1:36" ht="14.75" x14ac:dyDescent="0.75">
      <c r="A226" t="s">
        <v>837</v>
      </c>
      <c r="B226">
        <v>2.2046199999999998</v>
      </c>
      <c r="C226"/>
      <c r="D226"/>
      <c r="E226"/>
      <c r="F226"/>
      <c r="G226"/>
      <c r="H226"/>
      <c r="I226"/>
      <c r="J226"/>
      <c r="K226"/>
      <c r="L226"/>
      <c r="M226"/>
      <c r="N226"/>
      <c r="O226"/>
      <c r="P226"/>
      <c r="Q226"/>
      <c r="R226"/>
      <c r="S226"/>
      <c r="T226"/>
      <c r="U226"/>
      <c r="V226"/>
      <c r="W226"/>
      <c r="X226"/>
      <c r="Y226"/>
      <c r="Z226"/>
      <c r="AA226"/>
      <c r="AB226"/>
      <c r="AC226"/>
      <c r="AD226"/>
      <c r="AE226"/>
      <c r="AF226" s="77"/>
      <c r="AG226" s="77"/>
      <c r="AH226" s="77"/>
      <c r="AI226" s="77"/>
      <c r="AJ226" s="77"/>
    </row>
    <row r="227" spans="1:36" ht="14.75" x14ac:dyDescent="0.75">
      <c r="A227" t="s">
        <v>838</v>
      </c>
      <c r="B227">
        <f>B225*B226</f>
        <v>134762.61194774476</v>
      </c>
      <c r="C227"/>
      <c r="D227"/>
      <c r="E227"/>
      <c r="F227"/>
      <c r="G227"/>
      <c r="H227"/>
      <c r="I227"/>
      <c r="J227"/>
      <c r="K227"/>
      <c r="L227"/>
      <c r="M227"/>
      <c r="N227"/>
      <c r="O227"/>
      <c r="P227"/>
      <c r="Q227"/>
      <c r="R227"/>
      <c r="S227"/>
      <c r="T227"/>
      <c r="U227"/>
      <c r="V227"/>
      <c r="W227"/>
      <c r="X227"/>
      <c r="Y227"/>
      <c r="Z227"/>
      <c r="AA227"/>
      <c r="AB227"/>
      <c r="AC227"/>
      <c r="AD227"/>
      <c r="AE227"/>
      <c r="AF227" s="77"/>
      <c r="AG227" s="77"/>
      <c r="AH227" s="77"/>
      <c r="AI227" s="77"/>
      <c r="AJ227" s="77"/>
    </row>
    <row r="228" spans="1:36" ht="14.75" x14ac:dyDescent="0.75">
      <c r="A228" t="s">
        <v>836</v>
      </c>
      <c r="B228">
        <v>1.7475173313746466E-5</v>
      </c>
      <c r="C228"/>
      <c r="D228"/>
      <c r="E228"/>
      <c r="F228"/>
      <c r="G228"/>
      <c r="H228"/>
      <c r="I228"/>
      <c r="J228"/>
      <c r="K228"/>
      <c r="L228"/>
      <c r="M228"/>
      <c r="N228"/>
      <c r="O228"/>
      <c r="P228"/>
      <c r="Q228"/>
      <c r="R228"/>
      <c r="S228"/>
      <c r="T228"/>
      <c r="U228"/>
      <c r="V228"/>
      <c r="W228"/>
      <c r="X228"/>
      <c r="Y228"/>
      <c r="Z228"/>
      <c r="AA228"/>
      <c r="AB228"/>
      <c r="AC228"/>
      <c r="AD228"/>
      <c r="AE228"/>
      <c r="AF228" s="77"/>
      <c r="AG228" s="77"/>
      <c r="AH228" s="77"/>
      <c r="AI228" s="77"/>
      <c r="AJ228" s="77"/>
    </row>
    <row r="229" spans="1:36" ht="14.75" x14ac:dyDescent="0.75">
      <c r="A229"/>
      <c r="B229"/>
      <c r="C229"/>
      <c r="D229"/>
      <c r="E229"/>
      <c r="F229"/>
      <c r="G229"/>
      <c r="H229"/>
      <c r="I229"/>
      <c r="J229"/>
      <c r="K229"/>
      <c r="L229"/>
      <c r="M229"/>
      <c r="N229"/>
      <c r="O229"/>
      <c r="P229"/>
      <c r="Q229"/>
      <c r="R229"/>
      <c r="S229"/>
      <c r="T229"/>
      <c r="U229"/>
      <c r="V229"/>
      <c r="W229"/>
      <c r="X229"/>
      <c r="Y229"/>
      <c r="Z229"/>
      <c r="AA229"/>
      <c r="AB229"/>
      <c r="AC229"/>
      <c r="AD229"/>
      <c r="AE229"/>
      <c r="AF229" s="77"/>
      <c r="AG229" s="77"/>
      <c r="AH229" s="77"/>
      <c r="AI229" s="77"/>
      <c r="AJ229" s="77"/>
    </row>
    <row r="230" spans="1:36" ht="14.75" x14ac:dyDescent="0.75">
      <c r="A230" t="s">
        <v>1065</v>
      </c>
      <c r="B230">
        <v>1.5</v>
      </c>
      <c r="C230"/>
      <c r="D230"/>
      <c r="E230"/>
      <c r="F230"/>
      <c r="G230"/>
      <c r="H230"/>
      <c r="I230"/>
      <c r="J230"/>
      <c r="K230"/>
      <c r="L230"/>
      <c r="M230"/>
      <c r="N230"/>
      <c r="O230"/>
      <c r="P230"/>
      <c r="Q230"/>
      <c r="R230"/>
      <c r="S230"/>
      <c r="T230"/>
      <c r="U230"/>
      <c r="V230"/>
      <c r="W230"/>
      <c r="X230"/>
      <c r="Y230"/>
      <c r="Z230"/>
      <c r="AA230"/>
      <c r="AB230"/>
      <c r="AC230"/>
      <c r="AD230"/>
      <c r="AE230"/>
      <c r="AF230" s="77"/>
      <c r="AG230" s="77"/>
      <c r="AH230" s="77"/>
      <c r="AI230" s="77"/>
      <c r="AJ230" s="77"/>
    </row>
    <row r="231" spans="1:36" ht="14.75" x14ac:dyDescent="0.75">
      <c r="A231" t="s">
        <v>835</v>
      </c>
      <c r="B231">
        <v>61127.365236523648</v>
      </c>
      <c r="C231"/>
      <c r="D231"/>
      <c r="E231"/>
      <c r="F231"/>
      <c r="G231"/>
      <c r="H231"/>
      <c r="I231"/>
      <c r="J231"/>
      <c r="K231"/>
      <c r="L231"/>
      <c r="M231"/>
      <c r="N231"/>
      <c r="O231"/>
      <c r="P231"/>
      <c r="Q231"/>
      <c r="R231"/>
      <c r="S231"/>
      <c r="T231"/>
      <c r="U231"/>
      <c r="V231"/>
      <c r="W231"/>
      <c r="X231"/>
      <c r="Y231"/>
      <c r="Z231"/>
      <c r="AA231"/>
      <c r="AB231"/>
      <c r="AC231"/>
      <c r="AD231"/>
      <c r="AE231"/>
      <c r="AF231" s="77"/>
      <c r="AG231" s="77"/>
      <c r="AH231" s="77"/>
      <c r="AI231" s="77"/>
      <c r="AJ231" s="77"/>
    </row>
    <row r="232" spans="1:36" ht="14.75" x14ac:dyDescent="0.75">
      <c r="A232" t="s">
        <v>837</v>
      </c>
      <c r="B232">
        <v>2.2046199999999998</v>
      </c>
      <c r="C232"/>
      <c r="D232"/>
      <c r="E232"/>
      <c r="F232"/>
      <c r="G232"/>
      <c r="H232"/>
      <c r="I232"/>
      <c r="J232"/>
      <c r="K232"/>
      <c r="L232"/>
      <c r="M232"/>
      <c r="N232"/>
      <c r="O232"/>
      <c r="P232"/>
      <c r="Q232"/>
      <c r="R232"/>
      <c r="S232"/>
      <c r="T232"/>
      <c r="U232"/>
      <c r="V232"/>
      <c r="W232"/>
      <c r="X232"/>
      <c r="Y232"/>
      <c r="Z232"/>
      <c r="AA232"/>
      <c r="AB232"/>
      <c r="AC232"/>
      <c r="AD232"/>
      <c r="AE232"/>
      <c r="AF232" s="77"/>
      <c r="AG232" s="77"/>
      <c r="AH232" s="77"/>
      <c r="AI232" s="77"/>
      <c r="AJ232" s="77"/>
    </row>
    <row r="233" spans="1:36" ht="14.75" x14ac:dyDescent="0.75">
      <c r="A233" t="s">
        <v>838</v>
      </c>
      <c r="B233">
        <f>B231*B232</f>
        <v>134762.61194774476</v>
      </c>
      <c r="C233"/>
      <c r="D233"/>
      <c r="E233"/>
      <c r="F233"/>
      <c r="G233"/>
      <c r="H233"/>
      <c r="I233"/>
      <c r="J233"/>
      <c r="K233"/>
      <c r="L233"/>
      <c r="M233"/>
      <c r="N233"/>
      <c r="O233"/>
      <c r="P233"/>
      <c r="Q233"/>
      <c r="R233"/>
      <c r="S233"/>
      <c r="T233"/>
      <c r="U233"/>
      <c r="V233"/>
      <c r="W233"/>
      <c r="X233"/>
      <c r="Y233"/>
      <c r="Z233"/>
      <c r="AA233"/>
      <c r="AB233"/>
      <c r="AC233"/>
      <c r="AD233"/>
      <c r="AE233"/>
      <c r="AF233" s="77"/>
      <c r="AG233" s="77"/>
      <c r="AH233" s="77"/>
      <c r="AI233" s="77"/>
      <c r="AJ233" s="77"/>
    </row>
    <row r="234" spans="1:36" ht="14.75" x14ac:dyDescent="0.75">
      <c r="A234" t="s">
        <v>836</v>
      </c>
      <c r="B234">
        <v>8.7375866568732332E-6</v>
      </c>
      <c r="C234"/>
      <c r="D234"/>
      <c r="E234"/>
      <c r="F234"/>
      <c r="G234"/>
      <c r="H234"/>
      <c r="I234"/>
      <c r="J234"/>
      <c r="K234"/>
      <c r="L234"/>
      <c r="M234"/>
      <c r="N234"/>
      <c r="O234"/>
      <c r="P234"/>
      <c r="Q234"/>
      <c r="R234"/>
      <c r="S234"/>
      <c r="T234"/>
      <c r="U234"/>
      <c r="V234"/>
      <c r="W234"/>
      <c r="X234"/>
      <c r="Y234"/>
      <c r="Z234"/>
      <c r="AA234"/>
      <c r="AB234"/>
      <c r="AC234"/>
      <c r="AD234"/>
      <c r="AE234"/>
      <c r="AF234" s="77"/>
      <c r="AG234" s="77"/>
      <c r="AH234" s="77"/>
      <c r="AI234" s="77"/>
      <c r="AJ234" s="77"/>
    </row>
    <row r="235" spans="1:36" ht="14.75" x14ac:dyDescent="0.75">
      <c r="A235"/>
      <c r="B235"/>
      <c r="C235"/>
      <c r="D235"/>
      <c r="E235"/>
      <c r="F235"/>
      <c r="G235"/>
      <c r="H235"/>
      <c r="I235"/>
      <c r="J235"/>
      <c r="K235"/>
      <c r="L235"/>
      <c r="M235"/>
      <c r="N235"/>
      <c r="O235"/>
      <c r="P235"/>
      <c r="Q235"/>
      <c r="R235"/>
      <c r="S235"/>
      <c r="T235"/>
      <c r="U235"/>
      <c r="V235"/>
      <c r="W235"/>
      <c r="X235"/>
      <c r="Y235"/>
      <c r="Z235"/>
      <c r="AA235"/>
      <c r="AB235"/>
      <c r="AC235"/>
      <c r="AD235"/>
      <c r="AE235"/>
      <c r="AF235" s="77"/>
      <c r="AG235" s="77"/>
      <c r="AH235" s="77"/>
      <c r="AI235" s="77"/>
      <c r="AJ235" s="77"/>
    </row>
    <row r="236" spans="1:36" ht="14.75" x14ac:dyDescent="0.75">
      <c r="A236" s="1" t="s">
        <v>1066</v>
      </c>
      <c r="B236"/>
      <c r="C236"/>
      <c r="D236"/>
      <c r="E236"/>
      <c r="F236"/>
      <c r="G236"/>
      <c r="H236"/>
      <c r="I236"/>
      <c r="J236"/>
      <c r="K236"/>
      <c r="L236"/>
      <c r="M236"/>
      <c r="N236"/>
      <c r="O236"/>
      <c r="P236"/>
      <c r="Q236"/>
      <c r="R236"/>
      <c r="S236"/>
      <c r="T236"/>
      <c r="U236"/>
      <c r="V236"/>
      <c r="W236"/>
      <c r="X236"/>
      <c r="Y236"/>
      <c r="Z236"/>
      <c r="AA236"/>
      <c r="AB236"/>
      <c r="AC236"/>
      <c r="AD236"/>
      <c r="AE236"/>
      <c r="AF236" s="77"/>
      <c r="AG236" s="77"/>
      <c r="AH236" s="77"/>
      <c r="AI236" s="77"/>
      <c r="AJ236" s="77"/>
    </row>
    <row r="237" spans="1:36" ht="14.75" x14ac:dyDescent="0.75">
      <c r="A237" t="s">
        <v>1067</v>
      </c>
      <c r="B237" s="349">
        <v>2021</v>
      </c>
      <c r="C237">
        <v>2022</v>
      </c>
      <c r="D237" s="349">
        <v>2023</v>
      </c>
      <c r="E237">
        <v>2024</v>
      </c>
      <c r="F237" s="349">
        <v>2025</v>
      </c>
      <c r="G237">
        <v>2026</v>
      </c>
      <c r="H237" s="349">
        <v>2027</v>
      </c>
      <c r="I237">
        <v>2028</v>
      </c>
      <c r="J237" s="349">
        <v>2029</v>
      </c>
      <c r="K237">
        <v>2030</v>
      </c>
      <c r="L237" s="349">
        <v>2031</v>
      </c>
      <c r="M237">
        <v>2032</v>
      </c>
      <c r="N237" s="349">
        <v>2033</v>
      </c>
      <c r="O237">
        <v>2034</v>
      </c>
      <c r="P237" s="349">
        <v>2035</v>
      </c>
      <c r="Q237">
        <v>2036</v>
      </c>
      <c r="R237" s="349">
        <v>2037</v>
      </c>
      <c r="S237">
        <v>2038</v>
      </c>
      <c r="T237" s="349">
        <v>2039</v>
      </c>
      <c r="U237">
        <v>2040</v>
      </c>
      <c r="V237" s="349">
        <v>2041</v>
      </c>
      <c r="W237">
        <v>2042</v>
      </c>
      <c r="X237" s="349">
        <v>2043</v>
      </c>
      <c r="Y237">
        <v>2044</v>
      </c>
      <c r="Z237" s="349">
        <v>2045</v>
      </c>
      <c r="AA237">
        <v>2046</v>
      </c>
      <c r="AB237" s="349">
        <v>2047</v>
      </c>
      <c r="AC237">
        <v>2048</v>
      </c>
      <c r="AD237" s="349">
        <v>2049</v>
      </c>
      <c r="AE237">
        <v>2050</v>
      </c>
      <c r="AF237" s="77"/>
      <c r="AG237" s="77"/>
      <c r="AH237" s="77"/>
      <c r="AI237" s="77"/>
      <c r="AJ237" s="77"/>
    </row>
    <row r="238" spans="1:36" ht="14.75" x14ac:dyDescent="0.75">
      <c r="A238" t="s">
        <v>1068</v>
      </c>
      <c r="B238" s="19">
        <v>0.05</v>
      </c>
      <c r="C238" s="19">
        <v>0.05</v>
      </c>
      <c r="D238" s="19">
        <v>0.05</v>
      </c>
      <c r="E238" s="19">
        <v>0.05</v>
      </c>
      <c r="F238" s="19">
        <v>0.05</v>
      </c>
      <c r="G238" s="19">
        <v>0.05</v>
      </c>
      <c r="H238" s="19">
        <v>0.05</v>
      </c>
      <c r="I238" s="19">
        <v>0.05</v>
      </c>
      <c r="J238" s="19">
        <v>0.05</v>
      </c>
      <c r="K238" s="19">
        <v>0.05</v>
      </c>
      <c r="L238" s="19">
        <v>0.05</v>
      </c>
      <c r="M238" s="19">
        <v>0.05</v>
      </c>
      <c r="N238" s="19">
        <v>0.05</v>
      </c>
      <c r="O238" s="19">
        <v>0.05</v>
      </c>
      <c r="P238" s="19">
        <v>0.05</v>
      </c>
      <c r="Q238" s="19">
        <v>0.05</v>
      </c>
      <c r="R238" s="19">
        <v>0.05</v>
      </c>
      <c r="S238" s="19">
        <v>0.05</v>
      </c>
      <c r="T238" s="19">
        <v>0.05</v>
      </c>
      <c r="U238" s="19">
        <v>0.05</v>
      </c>
      <c r="V238" s="19">
        <v>0.05</v>
      </c>
      <c r="W238" s="19">
        <v>0.05</v>
      </c>
      <c r="X238" s="19">
        <v>0.05</v>
      </c>
      <c r="Y238" s="19">
        <v>0.05</v>
      </c>
      <c r="Z238" s="19">
        <v>0.05</v>
      </c>
      <c r="AA238" s="19">
        <v>0.05</v>
      </c>
      <c r="AB238" s="19">
        <v>0.05</v>
      </c>
      <c r="AC238" s="19">
        <v>0.05</v>
      </c>
      <c r="AD238" s="19">
        <v>0.05</v>
      </c>
      <c r="AE238" s="19">
        <v>0.05</v>
      </c>
      <c r="AF238" s="77"/>
      <c r="AG238" s="77"/>
      <c r="AH238" s="77"/>
      <c r="AI238" s="77"/>
      <c r="AJ238" s="77"/>
    </row>
    <row r="239" spans="1:36" ht="14.75" x14ac:dyDescent="0.75">
      <c r="A239" t="s">
        <v>1069</v>
      </c>
      <c r="B239" s="19">
        <v>0.95</v>
      </c>
      <c r="C239" s="19">
        <v>0.86309999999999998</v>
      </c>
      <c r="D239" s="19">
        <v>0.77789999999999992</v>
      </c>
      <c r="E239" s="19">
        <v>0.69279999999999997</v>
      </c>
      <c r="F239" s="19">
        <v>0.60829999999999995</v>
      </c>
      <c r="G239" s="19">
        <v>0.52400000000000002</v>
      </c>
      <c r="H239" s="19">
        <v>0.43959999999999999</v>
      </c>
      <c r="I239" s="19">
        <v>0.35619999999999996</v>
      </c>
      <c r="J239" s="19">
        <v>0.27269999999999994</v>
      </c>
      <c r="K239" s="19">
        <v>0.18999999999999995</v>
      </c>
      <c r="L239" s="19">
        <v>0.19289999999999996</v>
      </c>
      <c r="M239" s="19">
        <v>0.19439999999999991</v>
      </c>
      <c r="N239" s="19">
        <v>0.19579999999999997</v>
      </c>
      <c r="O239" s="19">
        <v>0.19739999999999991</v>
      </c>
      <c r="P239" s="19">
        <v>0.19989999999999997</v>
      </c>
      <c r="Q239" s="19">
        <v>0.2014999999999999</v>
      </c>
      <c r="R239" s="19">
        <v>0.20289999999999997</v>
      </c>
      <c r="S239" s="19">
        <v>0.2044999999999999</v>
      </c>
      <c r="T239" s="19">
        <v>0.2056</v>
      </c>
      <c r="U239" s="19">
        <v>0.20649999999999991</v>
      </c>
      <c r="V239" s="19">
        <v>0.20699999999999996</v>
      </c>
      <c r="W239" s="19">
        <v>0.20799999999999996</v>
      </c>
      <c r="X239" s="19">
        <v>0.2107</v>
      </c>
      <c r="Y239" s="19">
        <v>0.21189999999999998</v>
      </c>
      <c r="Z239" s="19">
        <v>0.21429999999999993</v>
      </c>
      <c r="AA239" s="19">
        <v>0.2155999999999999</v>
      </c>
      <c r="AB239" s="19">
        <v>0.21589999999999998</v>
      </c>
      <c r="AC239" s="19">
        <v>0.21739999999999993</v>
      </c>
      <c r="AD239" s="19">
        <v>0.21899999999999997</v>
      </c>
      <c r="AE239" s="19">
        <v>0.22039999999999993</v>
      </c>
      <c r="AF239" s="77"/>
      <c r="AG239" s="77"/>
      <c r="AH239" s="77"/>
      <c r="AI239" s="77"/>
      <c r="AJ239" s="77"/>
    </row>
    <row r="240" spans="1:36" ht="14.75" x14ac:dyDescent="0.75">
      <c r="A240" t="s">
        <v>1070</v>
      </c>
      <c r="B240" s="19">
        <v>0</v>
      </c>
      <c r="C240" s="19">
        <v>0</v>
      </c>
      <c r="D240" s="19">
        <v>0</v>
      </c>
      <c r="E240" s="19">
        <v>0</v>
      </c>
      <c r="F240" s="19">
        <v>0</v>
      </c>
      <c r="G240" s="19">
        <v>0</v>
      </c>
      <c r="H240" s="19">
        <v>0</v>
      </c>
      <c r="I240" s="19">
        <v>0</v>
      </c>
      <c r="J240" s="19">
        <v>0</v>
      </c>
      <c r="K240" s="19">
        <v>0</v>
      </c>
      <c r="L240" s="19">
        <v>0</v>
      </c>
      <c r="M240" s="19">
        <v>0</v>
      </c>
      <c r="N240" s="19">
        <v>0</v>
      </c>
      <c r="O240" s="19">
        <v>0</v>
      </c>
      <c r="P240" s="19">
        <v>0</v>
      </c>
      <c r="Q240" s="19">
        <v>0</v>
      </c>
      <c r="R240" s="19">
        <v>0</v>
      </c>
      <c r="S240" s="19">
        <v>0</v>
      </c>
      <c r="T240" s="19">
        <v>0</v>
      </c>
      <c r="U240" s="19">
        <v>0</v>
      </c>
      <c r="V240" s="19">
        <v>0</v>
      </c>
      <c r="W240" s="19">
        <v>0</v>
      </c>
      <c r="X240" s="19">
        <v>0</v>
      </c>
      <c r="Y240" s="19">
        <v>0</v>
      </c>
      <c r="Z240" s="19">
        <v>0</v>
      </c>
      <c r="AA240" s="19">
        <v>0</v>
      </c>
      <c r="AB240" s="19">
        <v>0</v>
      </c>
      <c r="AC240" s="19">
        <v>0</v>
      </c>
      <c r="AD240" s="19">
        <v>0</v>
      </c>
      <c r="AE240" s="19">
        <v>0</v>
      </c>
      <c r="AF240" s="77"/>
      <c r="AG240" s="77"/>
      <c r="AH240" s="77"/>
      <c r="AI240" s="77"/>
      <c r="AJ240" s="77"/>
    </row>
    <row r="241" spans="1:74" ht="14.75" x14ac:dyDescent="0.75">
      <c r="A241" t="s">
        <v>1071</v>
      </c>
      <c r="B241" s="19">
        <v>0</v>
      </c>
      <c r="C241" s="19">
        <v>0</v>
      </c>
      <c r="D241" s="19">
        <v>0</v>
      </c>
      <c r="E241" s="19">
        <v>0</v>
      </c>
      <c r="F241" s="19">
        <v>0</v>
      </c>
      <c r="G241" s="19">
        <v>0</v>
      </c>
      <c r="H241" s="19">
        <v>0</v>
      </c>
      <c r="I241" s="19">
        <v>0</v>
      </c>
      <c r="J241" s="19">
        <v>0</v>
      </c>
      <c r="K241" s="19">
        <v>0</v>
      </c>
      <c r="L241" s="19">
        <v>0</v>
      </c>
      <c r="M241" s="19">
        <v>0</v>
      </c>
      <c r="N241" s="19">
        <v>0</v>
      </c>
      <c r="O241" s="19">
        <v>0</v>
      </c>
      <c r="P241" s="19">
        <v>0</v>
      </c>
      <c r="Q241" s="19">
        <v>0</v>
      </c>
      <c r="R241" s="19">
        <v>0</v>
      </c>
      <c r="S241" s="19">
        <v>0</v>
      </c>
      <c r="T241" s="19">
        <v>0</v>
      </c>
      <c r="U241" s="19">
        <v>0</v>
      </c>
      <c r="V241" s="19">
        <v>0</v>
      </c>
      <c r="W241" s="19">
        <v>0</v>
      </c>
      <c r="X241" s="19">
        <v>0</v>
      </c>
      <c r="Y241" s="19">
        <v>0</v>
      </c>
      <c r="Z241" s="19">
        <v>0</v>
      </c>
      <c r="AA241" s="19">
        <v>0</v>
      </c>
      <c r="AB241" s="19">
        <v>0</v>
      </c>
      <c r="AC241" s="19">
        <v>0</v>
      </c>
      <c r="AD241" s="19">
        <v>0</v>
      </c>
      <c r="AE241" s="19">
        <v>0</v>
      </c>
      <c r="AF241" s="77"/>
      <c r="AG241" s="77"/>
      <c r="AH241" s="77"/>
      <c r="AI241" s="77"/>
      <c r="AJ241" s="77"/>
    </row>
    <row r="242" spans="1:74" ht="14.75" x14ac:dyDescent="0.75">
      <c r="A242" t="s">
        <v>1072</v>
      </c>
      <c r="B242" s="19">
        <v>0</v>
      </c>
      <c r="C242" s="19">
        <v>0</v>
      </c>
      <c r="D242" s="19">
        <v>0</v>
      </c>
      <c r="E242" s="19">
        <v>0</v>
      </c>
      <c r="F242" s="19">
        <v>0</v>
      </c>
      <c r="G242" s="19">
        <v>0</v>
      </c>
      <c r="H242" s="19">
        <v>0</v>
      </c>
      <c r="I242" s="19">
        <v>0</v>
      </c>
      <c r="J242" s="19">
        <v>0</v>
      </c>
      <c r="K242" s="19">
        <v>0</v>
      </c>
      <c r="L242" s="19">
        <v>0</v>
      </c>
      <c r="M242" s="19">
        <v>0</v>
      </c>
      <c r="N242" s="19">
        <v>0</v>
      </c>
      <c r="O242" s="19">
        <v>0</v>
      </c>
      <c r="P242" s="19">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77"/>
      <c r="AG242" s="77"/>
      <c r="AH242" s="77"/>
      <c r="AI242" s="77"/>
      <c r="AJ242" s="77"/>
    </row>
    <row r="243" spans="1:74" ht="14.75" x14ac:dyDescent="0.75">
      <c r="A243" t="s">
        <v>1073</v>
      </c>
      <c r="B243" s="19">
        <v>0</v>
      </c>
      <c r="C243" s="19">
        <v>8.6900000000000005E-2</v>
      </c>
      <c r="D243" s="19">
        <v>0.1721</v>
      </c>
      <c r="E243" s="19">
        <v>0.25719999999999998</v>
      </c>
      <c r="F243" s="19">
        <v>0.3417</v>
      </c>
      <c r="G243" s="19">
        <v>0.42599999999999999</v>
      </c>
      <c r="H243" s="19">
        <v>0.51039999999999996</v>
      </c>
      <c r="I243" s="19">
        <v>0.59379999999999999</v>
      </c>
      <c r="J243" s="19">
        <v>0.67730000000000001</v>
      </c>
      <c r="K243" s="19">
        <v>0.76</v>
      </c>
      <c r="L243" s="19">
        <v>0.7571</v>
      </c>
      <c r="M243" s="19">
        <v>0.75560000000000005</v>
      </c>
      <c r="N243" s="19">
        <v>0.75419999999999998</v>
      </c>
      <c r="O243" s="19">
        <v>0.75260000000000005</v>
      </c>
      <c r="P243" s="19">
        <v>0.75009999999999999</v>
      </c>
      <c r="Q243" s="19">
        <v>0.74850000000000005</v>
      </c>
      <c r="R243" s="19">
        <v>0.74709999999999999</v>
      </c>
      <c r="S243" s="19">
        <v>0.74550000000000005</v>
      </c>
      <c r="T243" s="19">
        <v>0.74439999999999995</v>
      </c>
      <c r="U243" s="19">
        <v>0.74350000000000005</v>
      </c>
      <c r="V243" s="19">
        <v>0.74299999999999999</v>
      </c>
      <c r="W243" s="19">
        <v>0.74199999999999999</v>
      </c>
      <c r="X243" s="19">
        <v>0.73929999999999996</v>
      </c>
      <c r="Y243" s="19">
        <v>0.73809999999999998</v>
      </c>
      <c r="Z243" s="19">
        <v>0.73570000000000002</v>
      </c>
      <c r="AA243" s="19">
        <v>0.73440000000000005</v>
      </c>
      <c r="AB243" s="19">
        <v>0.73409999999999997</v>
      </c>
      <c r="AC243" s="19">
        <v>0.73260000000000003</v>
      </c>
      <c r="AD243" s="19">
        <v>0.73099999999999998</v>
      </c>
      <c r="AE243" s="19">
        <v>0.72960000000000003</v>
      </c>
      <c r="AF243" s="77"/>
      <c r="AG243" s="77"/>
      <c r="AH243" s="77"/>
      <c r="AI243" s="77"/>
      <c r="AJ243" s="77"/>
    </row>
    <row r="244" spans="1:74" ht="14.75" x14ac:dyDescent="0.75">
      <c r="A244" t="s">
        <v>1074</v>
      </c>
      <c r="B244" s="19">
        <v>0</v>
      </c>
      <c r="C244" s="19">
        <v>0</v>
      </c>
      <c r="D244" s="19">
        <v>0</v>
      </c>
      <c r="E244" s="19">
        <v>0</v>
      </c>
      <c r="F244" s="19">
        <v>0</v>
      </c>
      <c r="G244" s="19">
        <v>0</v>
      </c>
      <c r="H244" s="19">
        <v>0</v>
      </c>
      <c r="I244" s="19">
        <v>0</v>
      </c>
      <c r="J244" s="19">
        <v>0</v>
      </c>
      <c r="K244" s="19">
        <v>0</v>
      </c>
      <c r="L244" s="19">
        <v>0</v>
      </c>
      <c r="M244" s="19">
        <v>0</v>
      </c>
      <c r="N244" s="19">
        <v>0</v>
      </c>
      <c r="O244" s="19">
        <v>0</v>
      </c>
      <c r="P244" s="19">
        <v>0</v>
      </c>
      <c r="Q244" s="19">
        <v>0</v>
      </c>
      <c r="R244" s="19">
        <v>0</v>
      </c>
      <c r="S244" s="19">
        <v>0</v>
      </c>
      <c r="T244" s="19">
        <v>0</v>
      </c>
      <c r="U244" s="19">
        <v>0</v>
      </c>
      <c r="V244" s="19">
        <v>0</v>
      </c>
      <c r="W244" s="19">
        <v>0</v>
      </c>
      <c r="X244" s="19">
        <v>0</v>
      </c>
      <c r="Y244" s="19">
        <v>0</v>
      </c>
      <c r="Z244" s="19">
        <v>0</v>
      </c>
      <c r="AA244" s="19">
        <v>0</v>
      </c>
      <c r="AB244" s="19">
        <v>0</v>
      </c>
      <c r="AC244" s="19">
        <v>0</v>
      </c>
      <c r="AD244" s="19">
        <v>0</v>
      </c>
      <c r="AE244" s="19">
        <v>0</v>
      </c>
      <c r="AF244" s="77"/>
      <c r="AG244" s="77"/>
      <c r="AH244" s="77"/>
      <c r="AI244" s="77"/>
      <c r="AJ244" s="77"/>
    </row>
    <row r="245" spans="1:74" ht="14.75" x14ac:dyDescent="0.75">
      <c r="A245"/>
      <c r="B245"/>
      <c r="C245"/>
      <c r="D245"/>
      <c r="E245"/>
      <c r="F245"/>
      <c r="G245"/>
      <c r="H245"/>
      <c r="I245"/>
      <c r="J245"/>
      <c r="K245"/>
      <c r="L245"/>
      <c r="M245"/>
      <c r="N245"/>
      <c r="O245"/>
      <c r="P245"/>
      <c r="Q245"/>
      <c r="R245"/>
      <c r="S245"/>
      <c r="T245"/>
      <c r="U245"/>
      <c r="V245"/>
      <c r="W245"/>
      <c r="X245"/>
      <c r="Y245"/>
      <c r="Z245"/>
      <c r="AA245"/>
      <c r="AB245"/>
      <c r="AC245"/>
      <c r="AD245"/>
      <c r="AE245"/>
      <c r="AF245" s="77"/>
      <c r="AG245" s="77"/>
      <c r="AH245" s="77"/>
      <c r="AI245" s="77"/>
      <c r="AJ245" s="77"/>
    </row>
    <row r="246" spans="1:74" ht="14.75" x14ac:dyDescent="0.75">
      <c r="A246" s="1" t="s">
        <v>1075</v>
      </c>
      <c r="B246" s="19">
        <v>0</v>
      </c>
      <c r="C246" s="19">
        <v>0</v>
      </c>
      <c r="D246" s="5">
        <f>SUM(D238,D243)/SUM(D238:D244)*$B$228+D239/SUM(D238:D244)*$B$234</f>
        <v>1.0678204653364778E-5</v>
      </c>
      <c r="E246" s="5">
        <f t="shared" ref="E246:M246" si="163">SUM(E238,E243)/SUM(E238:E244)*$B$228+E239/SUM(E238:E244)*$B$234</f>
        <v>1.1421773277864689E-5</v>
      </c>
      <c r="F246" s="5">
        <f t="shared" si="163"/>
        <v>1.2160099350370479E-5</v>
      </c>
      <c r="G246" s="5">
        <f t="shared" si="163"/>
        <v>1.2896677905544892E-5</v>
      </c>
      <c r="H246" s="5">
        <f t="shared" si="163"/>
        <v>1.3634130219384993E-5</v>
      </c>
      <c r="I246" s="5">
        <f t="shared" si="163"/>
        <v>1.436284494656822E-5</v>
      </c>
      <c r="J246" s="5">
        <f t="shared" si="163"/>
        <v>1.5092433432417136E-5</v>
      </c>
      <c r="K246" s="5">
        <f t="shared" si="163"/>
        <v>1.5815031848940552E-5</v>
      </c>
      <c r="L246" s="5">
        <f t="shared" si="163"/>
        <v>1.5789692847635622E-5</v>
      </c>
      <c r="M246" s="5">
        <f t="shared" si="163"/>
        <v>1.5776586467650311E-5</v>
      </c>
      <c r="N246" s="19">
        <v>0</v>
      </c>
      <c r="O246" s="19">
        <v>0</v>
      </c>
      <c r="P246" s="19">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77"/>
      <c r="AG246" s="77"/>
      <c r="AH246" s="77"/>
      <c r="AI246" s="77"/>
      <c r="AJ246" s="77"/>
    </row>
    <row r="247" spans="1:74" ht="13.5" x14ac:dyDescent="0.7">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row>
    <row r="248" spans="1:74" ht="13.5" x14ac:dyDescent="0.7">
      <c r="A248" s="127" t="s">
        <v>851</v>
      </c>
      <c r="B248" s="127"/>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c r="AA248" s="128"/>
      <c r="AB248" s="128"/>
      <c r="AC248" s="128"/>
      <c r="AD248" s="128"/>
      <c r="AE248" s="128"/>
      <c r="AF248" s="128"/>
      <c r="AG248" s="77"/>
      <c r="AH248" s="77"/>
      <c r="AI248" s="77"/>
      <c r="AJ248" s="77"/>
    </row>
    <row r="249" spans="1:74" ht="13.5" x14ac:dyDescent="0.7">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3.5" x14ac:dyDescent="0.7">
      <c r="A250" s="77" t="s">
        <v>855</v>
      </c>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3.5" x14ac:dyDescent="0.7">
      <c r="A251" s="77" t="s">
        <v>758</v>
      </c>
      <c r="B251" s="77">
        <v>2021</v>
      </c>
      <c r="C251" s="77">
        <v>2022</v>
      </c>
      <c r="D251" s="77">
        <v>2023</v>
      </c>
      <c r="E251" s="77">
        <v>2024</v>
      </c>
      <c r="F251" s="77">
        <v>2025</v>
      </c>
      <c r="G251" s="77">
        <v>2026</v>
      </c>
      <c r="H251" s="77">
        <v>2027</v>
      </c>
      <c r="I251" s="77">
        <v>2028</v>
      </c>
      <c r="J251" s="77">
        <v>2029</v>
      </c>
      <c r="K251" s="77">
        <v>2030</v>
      </c>
      <c r="L251" s="77">
        <v>2031</v>
      </c>
      <c r="M251" s="77">
        <v>2032</v>
      </c>
      <c r="N251" s="77">
        <v>2033</v>
      </c>
      <c r="O251" s="77">
        <v>2034</v>
      </c>
      <c r="P251" s="77">
        <v>2035</v>
      </c>
      <c r="Q251" s="77">
        <v>2036</v>
      </c>
      <c r="R251" s="77">
        <v>2037</v>
      </c>
      <c r="S251" s="77">
        <v>2038</v>
      </c>
      <c r="T251" s="77">
        <v>2039</v>
      </c>
      <c r="U251" s="77">
        <v>2040</v>
      </c>
      <c r="V251" s="77">
        <v>2041</v>
      </c>
      <c r="W251" s="77">
        <v>2042</v>
      </c>
      <c r="X251" s="77">
        <v>2043</v>
      </c>
      <c r="Y251" s="77">
        <v>2044</v>
      </c>
      <c r="Z251" s="77">
        <v>2045</v>
      </c>
      <c r="AA251" s="77">
        <v>2046</v>
      </c>
      <c r="AB251" s="77">
        <v>2047</v>
      </c>
      <c r="AC251" s="77">
        <v>2048</v>
      </c>
      <c r="AD251" s="77">
        <v>2049</v>
      </c>
      <c r="AE251" s="77">
        <v>2050</v>
      </c>
      <c r="AF251" s="77">
        <v>2050</v>
      </c>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3.5" x14ac:dyDescent="0.7">
      <c r="A252" s="77" t="s">
        <v>854</v>
      </c>
      <c r="B252" s="77">
        <v>55.752400000000002</v>
      </c>
      <c r="C252" s="77">
        <v>53.080800000000004</v>
      </c>
      <c r="D252" s="77">
        <v>35.336100000000002</v>
      </c>
      <c r="E252" s="77">
        <v>32.708399999999997</v>
      </c>
      <c r="F252" s="77">
        <v>29.970099999999999</v>
      </c>
      <c r="G252" s="77">
        <v>27.5809</v>
      </c>
      <c r="H252" s="77">
        <v>25.226600000000001</v>
      </c>
      <c r="I252" s="77">
        <v>23.170400000000001</v>
      </c>
      <c r="J252" s="77">
        <v>21.188199999999998</v>
      </c>
      <c r="K252" s="77">
        <v>19.2439</v>
      </c>
      <c r="L252" s="77">
        <v>18.0886</v>
      </c>
      <c r="M252" s="77">
        <v>17.2057</v>
      </c>
      <c r="N252" s="77">
        <v>16.649100000000001</v>
      </c>
      <c r="O252" s="77">
        <v>16.277100000000001</v>
      </c>
      <c r="P252" s="77">
        <v>15.7676</v>
      </c>
      <c r="Q252" s="77">
        <v>15.270300000000001</v>
      </c>
      <c r="R252" s="77">
        <v>14.748900000000001</v>
      </c>
      <c r="S252" s="77">
        <v>14.2789</v>
      </c>
      <c r="T252" s="77">
        <v>13.9671</v>
      </c>
      <c r="U252" s="77">
        <v>13.742699999999999</v>
      </c>
      <c r="V252" s="77">
        <v>13.6432</v>
      </c>
      <c r="W252" s="77">
        <v>13.4938</v>
      </c>
      <c r="X252" s="77">
        <v>13.180400000000001</v>
      </c>
      <c r="Y252" s="77">
        <v>12.9552</v>
      </c>
      <c r="Z252" s="77">
        <v>12.834899999999999</v>
      </c>
      <c r="AA252" s="77">
        <v>12.4894</v>
      </c>
      <c r="AB252" s="77">
        <v>12.160399999999999</v>
      </c>
      <c r="AC252" s="77">
        <v>11.8597</v>
      </c>
      <c r="AD252" s="77">
        <v>11.572100000000001</v>
      </c>
      <c r="AE252" s="77">
        <v>11.3109</v>
      </c>
      <c r="AF252" s="77">
        <v>16.479299999999999</v>
      </c>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3.5" x14ac:dyDescent="0.7">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3.5" x14ac:dyDescent="0.7">
      <c r="A254" s="77" t="s">
        <v>852</v>
      </c>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3.5" x14ac:dyDescent="0.7">
      <c r="A255" s="77" t="s">
        <v>758</v>
      </c>
      <c r="B255" s="77">
        <v>2021</v>
      </c>
      <c r="C255" s="77">
        <v>2022</v>
      </c>
      <c r="D255" s="77">
        <v>2023</v>
      </c>
      <c r="E255" s="77">
        <v>2024</v>
      </c>
      <c r="F255" s="77">
        <v>2025</v>
      </c>
      <c r="G255" s="77">
        <v>2026</v>
      </c>
      <c r="H255" s="77">
        <v>2027</v>
      </c>
      <c r="I255" s="77">
        <v>2028</v>
      </c>
      <c r="J255" s="77">
        <v>2029</v>
      </c>
      <c r="K255" s="77">
        <v>2030</v>
      </c>
      <c r="L255" s="77">
        <v>2031</v>
      </c>
      <c r="M255" s="77">
        <v>2032</v>
      </c>
      <c r="N255" s="77">
        <v>2033</v>
      </c>
      <c r="O255" s="77">
        <v>2034</v>
      </c>
      <c r="P255" s="77">
        <v>2035</v>
      </c>
      <c r="Q255" s="77">
        <v>2036</v>
      </c>
      <c r="R255" s="77">
        <v>2037</v>
      </c>
      <c r="S255" s="77">
        <v>2038</v>
      </c>
      <c r="T255" s="77">
        <v>2039</v>
      </c>
      <c r="U255" s="77">
        <v>2040</v>
      </c>
      <c r="V255" s="77">
        <v>2041</v>
      </c>
      <c r="W255" s="77">
        <v>2042</v>
      </c>
      <c r="X255" s="77">
        <v>2043</v>
      </c>
      <c r="Y255" s="77">
        <v>2044</v>
      </c>
      <c r="Z255" s="77">
        <v>2045</v>
      </c>
      <c r="AA255" s="77">
        <v>2046</v>
      </c>
      <c r="AB255" s="77">
        <v>2047</v>
      </c>
      <c r="AC255" s="77">
        <v>2048</v>
      </c>
      <c r="AD255" s="77">
        <v>2049</v>
      </c>
      <c r="AE255" s="77">
        <v>2050</v>
      </c>
      <c r="AF255" s="77">
        <v>2050</v>
      </c>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3.5" x14ac:dyDescent="0.7">
      <c r="A256" s="77" t="s">
        <v>854</v>
      </c>
      <c r="B256" s="77">
        <v>46.671500000000002</v>
      </c>
      <c r="C256" s="77">
        <v>45.652999999999999</v>
      </c>
      <c r="D256" s="77">
        <v>35.264800000000001</v>
      </c>
      <c r="E256" s="77">
        <v>33.564799999999998</v>
      </c>
      <c r="F256" s="77">
        <v>31.793299999999999</v>
      </c>
      <c r="G256" s="77">
        <v>30.118400000000001</v>
      </c>
      <c r="H256" s="77">
        <v>28.4361</v>
      </c>
      <c r="I256" s="77">
        <v>27.102</v>
      </c>
      <c r="J256" s="77">
        <v>25.794699999999999</v>
      </c>
      <c r="K256" s="77">
        <v>24.5245</v>
      </c>
      <c r="L256" s="77">
        <v>23.755600000000001</v>
      </c>
      <c r="M256" s="77">
        <v>23.119700000000002</v>
      </c>
      <c r="N256" s="77">
        <v>22.690300000000001</v>
      </c>
      <c r="O256" s="77">
        <v>22.3383</v>
      </c>
      <c r="P256" s="77">
        <v>22.022300000000001</v>
      </c>
      <c r="Q256" s="77">
        <v>21.8232</v>
      </c>
      <c r="R256" s="77">
        <v>21.582899999999999</v>
      </c>
      <c r="S256" s="77">
        <v>21.334499999999998</v>
      </c>
      <c r="T256" s="77">
        <v>21.081600000000002</v>
      </c>
      <c r="U256" s="77">
        <v>20.8202</v>
      </c>
      <c r="V256" s="77">
        <v>20.532900000000001</v>
      </c>
      <c r="W256" s="77">
        <v>20.2607</v>
      </c>
      <c r="X256" s="77">
        <v>19.997599999999998</v>
      </c>
      <c r="Y256" s="77">
        <v>19.743200000000002</v>
      </c>
      <c r="Z256" s="77">
        <v>19.502700000000001</v>
      </c>
      <c r="AA256" s="77">
        <v>19.268799999999999</v>
      </c>
      <c r="AB256" s="77">
        <v>19.0518</v>
      </c>
      <c r="AC256" s="77">
        <v>18.849499999999999</v>
      </c>
      <c r="AD256" s="77">
        <v>18.651599999999998</v>
      </c>
      <c r="AE256" s="77">
        <v>18.467600000000001</v>
      </c>
      <c r="AF256" s="77">
        <v>16.521100000000001</v>
      </c>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3.5" x14ac:dyDescent="0.7">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3.5" x14ac:dyDescent="0.7">
      <c r="A258" s="77" t="s">
        <v>853</v>
      </c>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3.5" x14ac:dyDescent="0.7">
      <c r="A259" s="77" t="s">
        <v>758</v>
      </c>
      <c r="B259" s="77"/>
      <c r="C259" s="77"/>
      <c r="D259" s="77"/>
      <c r="E259" s="77">
        <v>2023</v>
      </c>
      <c r="F259" s="77">
        <v>2024</v>
      </c>
      <c r="G259" s="77">
        <v>2025</v>
      </c>
      <c r="H259" s="77">
        <v>2026</v>
      </c>
      <c r="I259" s="77">
        <v>2027</v>
      </c>
      <c r="J259" s="77">
        <v>2028</v>
      </c>
      <c r="K259" s="77">
        <v>2029</v>
      </c>
      <c r="L259" s="77">
        <v>2030</v>
      </c>
      <c r="M259" s="77">
        <v>2031</v>
      </c>
      <c r="N259" s="77">
        <v>2032</v>
      </c>
      <c r="O259" s="77">
        <v>2033</v>
      </c>
      <c r="P259" s="77">
        <v>2034</v>
      </c>
      <c r="Q259" s="77">
        <v>2035</v>
      </c>
      <c r="R259" s="77">
        <v>2036</v>
      </c>
      <c r="S259" s="77">
        <v>2037</v>
      </c>
      <c r="T259" s="77">
        <v>2038</v>
      </c>
      <c r="U259" s="77">
        <v>2039</v>
      </c>
      <c r="V259" s="77">
        <v>2040</v>
      </c>
      <c r="W259" s="77">
        <v>2041</v>
      </c>
      <c r="X259" s="77">
        <v>2042</v>
      </c>
      <c r="Y259" s="77">
        <v>2043</v>
      </c>
      <c r="Z259" s="77">
        <v>2044</v>
      </c>
      <c r="AA259" s="77">
        <v>2045</v>
      </c>
      <c r="AB259" s="77">
        <v>2046</v>
      </c>
      <c r="AC259" s="77">
        <v>2047</v>
      </c>
      <c r="AD259" s="77">
        <v>2048</v>
      </c>
      <c r="AE259" s="77">
        <v>2049</v>
      </c>
      <c r="AF259" s="77">
        <v>2050</v>
      </c>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3.5" x14ac:dyDescent="0.7">
      <c r="A260" s="77" t="s">
        <v>854</v>
      </c>
      <c r="B260" s="77"/>
      <c r="C260" s="77"/>
      <c r="D260" s="77"/>
      <c r="E260" s="77" t="str">
        <f t="shared" ref="E260:AF260" si="164">IF(E252&lt;E256,"PTC","ITC")</f>
        <v>PTC</v>
      </c>
      <c r="F260" s="77" t="str">
        <f t="shared" si="164"/>
        <v>PTC</v>
      </c>
      <c r="G260" s="77" t="str">
        <f t="shared" si="164"/>
        <v>PTC</v>
      </c>
      <c r="H260" s="77" t="str">
        <f t="shared" si="164"/>
        <v>PTC</v>
      </c>
      <c r="I260" s="77" t="str">
        <f t="shared" si="164"/>
        <v>PTC</v>
      </c>
      <c r="J260" s="77" t="str">
        <f t="shared" si="164"/>
        <v>PTC</v>
      </c>
      <c r="K260" s="77" t="str">
        <f t="shared" si="164"/>
        <v>PTC</v>
      </c>
      <c r="L260" s="77" t="str">
        <f t="shared" si="164"/>
        <v>PTC</v>
      </c>
      <c r="M260" s="77" t="str">
        <f t="shared" si="164"/>
        <v>PTC</v>
      </c>
      <c r="N260" s="77" t="str">
        <f t="shared" si="164"/>
        <v>PTC</v>
      </c>
      <c r="O260" s="77" t="str">
        <f t="shared" si="164"/>
        <v>PTC</v>
      </c>
      <c r="P260" s="77" t="str">
        <f t="shared" si="164"/>
        <v>PTC</v>
      </c>
      <c r="Q260" s="77" t="str">
        <f t="shared" si="164"/>
        <v>PTC</v>
      </c>
      <c r="R260" s="77" t="str">
        <f t="shared" si="164"/>
        <v>PTC</v>
      </c>
      <c r="S260" s="77" t="str">
        <f t="shared" si="164"/>
        <v>PTC</v>
      </c>
      <c r="T260" s="77" t="str">
        <f t="shared" si="164"/>
        <v>PTC</v>
      </c>
      <c r="U260" s="77" t="str">
        <f t="shared" si="164"/>
        <v>PTC</v>
      </c>
      <c r="V260" s="77" t="str">
        <f t="shared" si="164"/>
        <v>PTC</v>
      </c>
      <c r="W260" s="77" t="str">
        <f t="shared" si="164"/>
        <v>PTC</v>
      </c>
      <c r="X260" s="77" t="str">
        <f t="shared" si="164"/>
        <v>PTC</v>
      </c>
      <c r="Y260" s="77" t="str">
        <f t="shared" si="164"/>
        <v>PTC</v>
      </c>
      <c r="Z260" s="77" t="str">
        <f t="shared" si="164"/>
        <v>PTC</v>
      </c>
      <c r="AA260" s="77" t="str">
        <f t="shared" si="164"/>
        <v>PTC</v>
      </c>
      <c r="AB260" s="77" t="str">
        <f t="shared" si="164"/>
        <v>PTC</v>
      </c>
      <c r="AC260" s="77" t="str">
        <f t="shared" si="164"/>
        <v>PTC</v>
      </c>
      <c r="AD260" s="77" t="str">
        <f t="shared" si="164"/>
        <v>PTC</v>
      </c>
      <c r="AE260" s="77" t="str">
        <f t="shared" si="164"/>
        <v>PTC</v>
      </c>
      <c r="AF260" s="77" t="str">
        <f t="shared" si="164"/>
        <v>PTC</v>
      </c>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3.5" x14ac:dyDescent="0.7">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3.5" x14ac:dyDescent="0.7">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3.5" x14ac:dyDescent="0.7">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3.5" x14ac:dyDescent="0.7">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3.5" x14ac:dyDescent="0.7">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3.5" x14ac:dyDescent="0.7">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3.5" x14ac:dyDescent="0.7">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3.5" x14ac:dyDescent="0.7">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3.5" x14ac:dyDescent="0.7">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3.5" x14ac:dyDescent="0.7">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3.5" x14ac:dyDescent="0.7">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3.5" x14ac:dyDescent="0.7">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3.5" x14ac:dyDescent="0.7">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3.5" x14ac:dyDescent="0.7">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3.5" x14ac:dyDescent="0.7">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3.5" x14ac:dyDescent="0.7">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3.5" x14ac:dyDescent="0.7">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3.5" x14ac:dyDescent="0.7">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3.5" x14ac:dyDescent="0.7">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3.5" x14ac:dyDescent="0.7">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3.5" x14ac:dyDescent="0.7">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3.5" x14ac:dyDescent="0.7">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3.5" x14ac:dyDescent="0.7">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3.5" x14ac:dyDescent="0.7">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3.5" x14ac:dyDescent="0.7">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3.5" x14ac:dyDescent="0.7">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3.5" x14ac:dyDescent="0.7">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3.5" x14ac:dyDescent="0.7">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3.5" x14ac:dyDescent="0.7">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3.5" x14ac:dyDescent="0.7">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3.5" x14ac:dyDescent="0.7">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3.5" x14ac:dyDescent="0.7">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3.5" x14ac:dyDescent="0.7">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3.5" x14ac:dyDescent="0.7">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3.5" x14ac:dyDescent="0.7">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3.5" x14ac:dyDescent="0.7">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3.5" x14ac:dyDescent="0.7">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3.5" x14ac:dyDescent="0.7">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3.5" x14ac:dyDescent="0.7">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3.5" x14ac:dyDescent="0.7">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3.5" x14ac:dyDescent="0.7">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3.5" x14ac:dyDescent="0.7">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3.5" x14ac:dyDescent="0.7">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3.5" x14ac:dyDescent="0.7">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3.5" x14ac:dyDescent="0.7">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3.5" x14ac:dyDescent="0.7">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3.5" x14ac:dyDescent="0.7">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3.5" x14ac:dyDescent="0.7">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3.5" x14ac:dyDescent="0.7">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3.5" x14ac:dyDescent="0.7">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3.5" x14ac:dyDescent="0.7">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3.5" x14ac:dyDescent="0.7">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3.5" x14ac:dyDescent="0.7">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3.5" x14ac:dyDescent="0.7">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3.5" x14ac:dyDescent="0.7">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3.5" x14ac:dyDescent="0.7">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3.5" x14ac:dyDescent="0.7">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3.5" x14ac:dyDescent="0.7">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3.5" x14ac:dyDescent="0.7">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3.5" x14ac:dyDescent="0.7">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3.5" x14ac:dyDescent="0.7">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3.5" x14ac:dyDescent="0.7">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3.5" x14ac:dyDescent="0.7">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3.5" x14ac:dyDescent="0.7">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3.5" x14ac:dyDescent="0.7">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3.5" x14ac:dyDescent="0.7">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3.5" x14ac:dyDescent="0.7">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3.5" x14ac:dyDescent="0.7">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3.5" x14ac:dyDescent="0.7">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3.5" x14ac:dyDescent="0.7">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3.5" x14ac:dyDescent="0.7">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3.5" x14ac:dyDescent="0.7">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3.5" x14ac:dyDescent="0.7">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3.5" x14ac:dyDescent="0.7">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3.5" x14ac:dyDescent="0.7">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3.5" x14ac:dyDescent="0.7">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3.5" x14ac:dyDescent="0.7">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3.5" x14ac:dyDescent="0.7">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3.5" x14ac:dyDescent="0.7">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3.5" x14ac:dyDescent="0.7">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3.5" x14ac:dyDescent="0.7">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3.5" x14ac:dyDescent="0.7">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3.5" x14ac:dyDescent="0.7">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3.5" x14ac:dyDescent="0.7">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3.5" x14ac:dyDescent="0.7">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3.5" x14ac:dyDescent="0.7">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3.5" x14ac:dyDescent="0.7">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3.5" x14ac:dyDescent="0.7">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3.5" x14ac:dyDescent="0.7">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3.5" x14ac:dyDescent="0.7">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3.5" x14ac:dyDescent="0.7">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3.5" x14ac:dyDescent="0.7">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3.5" x14ac:dyDescent="0.7">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3.5" x14ac:dyDescent="0.7">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3.5" x14ac:dyDescent="0.7">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3.5" x14ac:dyDescent="0.7">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3.5" x14ac:dyDescent="0.7">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3.5" x14ac:dyDescent="0.7">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3.5" x14ac:dyDescent="0.7">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3.5" x14ac:dyDescent="0.7">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3.5" x14ac:dyDescent="0.7">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3.5" x14ac:dyDescent="0.7">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3.5" x14ac:dyDescent="0.7">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3.5" x14ac:dyDescent="0.7">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3.5" x14ac:dyDescent="0.7">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3.5" x14ac:dyDescent="0.7">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3.5" x14ac:dyDescent="0.7">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3.5" x14ac:dyDescent="0.7">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3.5" x14ac:dyDescent="0.7">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3.5" x14ac:dyDescent="0.7">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3.5" x14ac:dyDescent="0.7">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3.5" x14ac:dyDescent="0.7">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3.5" x14ac:dyDescent="0.7">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3.5" x14ac:dyDescent="0.7">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3.5" x14ac:dyDescent="0.7">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3.5" x14ac:dyDescent="0.7">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3.5" x14ac:dyDescent="0.7">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3.5" x14ac:dyDescent="0.7">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3.5" x14ac:dyDescent="0.7">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3.5" x14ac:dyDescent="0.7">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3.5" x14ac:dyDescent="0.7">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3.5" x14ac:dyDescent="0.7">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3.5" x14ac:dyDescent="0.7">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3.5" x14ac:dyDescent="0.7">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3.5" x14ac:dyDescent="0.7">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3.5" x14ac:dyDescent="0.7">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3.5" x14ac:dyDescent="0.7">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3.5" x14ac:dyDescent="0.7">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3.5" x14ac:dyDescent="0.7">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3.5" x14ac:dyDescent="0.7">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3.5" x14ac:dyDescent="0.7">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3.5" x14ac:dyDescent="0.7">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3.5" x14ac:dyDescent="0.7">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3.5" x14ac:dyDescent="0.7">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3.5" x14ac:dyDescent="0.7">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3.5" x14ac:dyDescent="0.7">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3.5" x14ac:dyDescent="0.7">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3.5" x14ac:dyDescent="0.7">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3.5" x14ac:dyDescent="0.7">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3.5" x14ac:dyDescent="0.7">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3.5" x14ac:dyDescent="0.7">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3.5" x14ac:dyDescent="0.7">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3.5" x14ac:dyDescent="0.7">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3.5" x14ac:dyDescent="0.7">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3.5" x14ac:dyDescent="0.7">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3.5" x14ac:dyDescent="0.7">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3.5" x14ac:dyDescent="0.7">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3.5" x14ac:dyDescent="0.7">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3.5" x14ac:dyDescent="0.7">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3.5" x14ac:dyDescent="0.7">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3.5" x14ac:dyDescent="0.7">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3.5" x14ac:dyDescent="0.7">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3.5" x14ac:dyDescent="0.7">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3.5" x14ac:dyDescent="0.7">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c r="AK414" s="77"/>
      <c r="AL414" s="77"/>
      <c r="AM414" s="77"/>
      <c r="AN414" s="77"/>
      <c r="AO414" s="77"/>
      <c r="AP414" s="77"/>
      <c r="AQ414" s="77"/>
      <c r="AR414" s="77"/>
      <c r="AS414" s="77"/>
      <c r="AT414" s="77"/>
      <c r="AU414" s="77"/>
      <c r="AV414" s="77"/>
      <c r="AW414" s="77"/>
      <c r="AX414" s="77"/>
      <c r="AY414" s="77"/>
      <c r="AZ414" s="77"/>
      <c r="BA414" s="77"/>
      <c r="BB414" s="77"/>
      <c r="BC414" s="77"/>
      <c r="BD414" s="77"/>
      <c r="BE414" s="77"/>
      <c r="BF414" s="77"/>
      <c r="BG414" s="77"/>
      <c r="BH414" s="77"/>
      <c r="BI414" s="77"/>
      <c r="BJ414" s="77"/>
      <c r="BK414" s="77"/>
      <c r="BL414" s="77"/>
      <c r="BM414" s="77"/>
      <c r="BN414" s="77"/>
      <c r="BO414" s="77"/>
      <c r="BP414" s="77"/>
      <c r="BQ414" s="77"/>
      <c r="BR414" s="77"/>
      <c r="BS414" s="77"/>
      <c r="BT414" s="77"/>
      <c r="BU414" s="77"/>
      <c r="BV414" s="77"/>
    </row>
    <row r="415" spans="1:74" ht="13.5" x14ac:dyDescent="0.7">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c r="AK415" s="77"/>
      <c r="AL415" s="77"/>
      <c r="AM415" s="77"/>
      <c r="AN415" s="77"/>
      <c r="AO415" s="77"/>
      <c r="AP415" s="77"/>
      <c r="AQ415" s="77"/>
      <c r="AR415" s="77"/>
      <c r="AS415" s="77"/>
      <c r="AT415" s="77"/>
      <c r="AU415" s="77"/>
      <c r="AV415" s="77"/>
      <c r="AW415" s="77"/>
      <c r="AX415" s="77"/>
      <c r="AY415" s="77"/>
      <c r="AZ415" s="77"/>
      <c r="BA415" s="77"/>
      <c r="BB415" s="77"/>
      <c r="BC415" s="77"/>
      <c r="BD415" s="77"/>
      <c r="BE415" s="77"/>
      <c r="BF415" s="77"/>
      <c r="BG415" s="77"/>
      <c r="BH415" s="77"/>
      <c r="BI415" s="77"/>
      <c r="BJ415" s="77"/>
      <c r="BK415" s="77"/>
      <c r="BL415" s="77"/>
      <c r="BM415" s="77"/>
      <c r="BN415" s="77"/>
      <c r="BO415" s="77"/>
      <c r="BP415" s="77"/>
      <c r="BQ415" s="77"/>
      <c r="BR415" s="77"/>
      <c r="BS415" s="77"/>
      <c r="BT415" s="77"/>
      <c r="BU415" s="77"/>
      <c r="BV415" s="77"/>
    </row>
    <row r="416" spans="1:74" ht="13.5" x14ac:dyDescent="0.7">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c r="AK416" s="77"/>
      <c r="AL416" s="77"/>
      <c r="AM416" s="77"/>
      <c r="AN416" s="77"/>
      <c r="AO416" s="77"/>
      <c r="AP416" s="77"/>
      <c r="AQ416" s="77"/>
      <c r="AR416" s="77"/>
      <c r="AS416" s="77"/>
      <c r="AT416" s="77"/>
      <c r="AU416" s="77"/>
      <c r="AV416" s="77"/>
      <c r="AW416" s="77"/>
      <c r="AX416" s="77"/>
      <c r="AY416" s="77"/>
      <c r="AZ416" s="77"/>
      <c r="BA416" s="77"/>
      <c r="BB416" s="77"/>
      <c r="BC416" s="77"/>
      <c r="BD416" s="77"/>
      <c r="BE416" s="77"/>
      <c r="BF416" s="77"/>
      <c r="BG416" s="77"/>
      <c r="BH416" s="77"/>
      <c r="BI416" s="77"/>
      <c r="BJ416" s="77"/>
      <c r="BK416" s="77"/>
      <c r="BL416" s="77"/>
      <c r="BM416" s="77"/>
      <c r="BN416" s="77"/>
      <c r="BO416" s="77"/>
      <c r="BP416" s="77"/>
      <c r="BQ416" s="77"/>
      <c r="BR416" s="77"/>
      <c r="BS416" s="77"/>
      <c r="BT416" s="77"/>
      <c r="BU416" s="77"/>
      <c r="BV416" s="77"/>
    </row>
    <row r="417" spans="1:74" ht="13.5" x14ac:dyDescent="0.7">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c r="AK417" s="77"/>
      <c r="AL417" s="77"/>
      <c r="AM417" s="77"/>
      <c r="AN417" s="77"/>
      <c r="AO417" s="77"/>
      <c r="AP417" s="77"/>
      <c r="AQ417" s="77"/>
      <c r="AR417" s="77"/>
      <c r="AS417" s="77"/>
      <c r="AT417" s="77"/>
      <c r="AU417" s="77"/>
      <c r="AV417" s="77"/>
      <c r="AW417" s="77"/>
      <c r="AX417" s="77"/>
      <c r="AY417" s="77"/>
      <c r="AZ417" s="77"/>
      <c r="BA417" s="77"/>
      <c r="BB417" s="77"/>
      <c r="BC417" s="77"/>
      <c r="BD417" s="77"/>
      <c r="BE417" s="77"/>
      <c r="BF417" s="77"/>
      <c r="BG417" s="77"/>
      <c r="BH417" s="77"/>
      <c r="BI417" s="77"/>
      <c r="BJ417" s="77"/>
      <c r="BK417" s="77"/>
      <c r="BL417" s="77"/>
      <c r="BM417" s="77"/>
      <c r="BN417" s="77"/>
      <c r="BO417" s="77"/>
      <c r="BP417" s="77"/>
      <c r="BQ417" s="77"/>
      <c r="BR417" s="77"/>
      <c r="BS417" s="77"/>
      <c r="BT417" s="77"/>
      <c r="BU417" s="77"/>
      <c r="BV417" s="77"/>
    </row>
    <row r="418" spans="1:74" ht="13.5" x14ac:dyDescent="0.7">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c r="AK418" s="77"/>
      <c r="AL418" s="77"/>
      <c r="AM418" s="77"/>
      <c r="AN418" s="77"/>
      <c r="AO418" s="77"/>
      <c r="AP418" s="77"/>
      <c r="AQ418" s="77"/>
      <c r="AR418" s="77"/>
      <c r="AS418" s="77"/>
      <c r="AT418" s="77"/>
      <c r="AU418" s="77"/>
      <c r="AV418" s="77"/>
      <c r="AW418" s="77"/>
      <c r="AX418" s="77"/>
      <c r="AY418" s="77"/>
      <c r="AZ418" s="77"/>
      <c r="BA418" s="77"/>
      <c r="BB418" s="77"/>
      <c r="BC418" s="77"/>
      <c r="BD418" s="77"/>
      <c r="BE418" s="77"/>
      <c r="BF418" s="77"/>
      <c r="BG418" s="77"/>
      <c r="BH418" s="77"/>
      <c r="BI418" s="77"/>
      <c r="BJ418" s="77"/>
      <c r="BK418" s="77"/>
      <c r="BL418" s="77"/>
      <c r="BM418" s="77"/>
      <c r="BN418" s="77"/>
      <c r="BO418" s="77"/>
      <c r="BP418" s="77"/>
      <c r="BQ418" s="77"/>
      <c r="BR418" s="77"/>
      <c r="BS418" s="77"/>
      <c r="BT418" s="77"/>
      <c r="BU418" s="77"/>
      <c r="BV418" s="77"/>
    </row>
    <row r="419" spans="1:74" ht="13.5" x14ac:dyDescent="0.7">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c r="AK419" s="77"/>
      <c r="AL419" s="77"/>
      <c r="AM419" s="77"/>
      <c r="AN419" s="77"/>
      <c r="AO419" s="77"/>
      <c r="AP419" s="77"/>
      <c r="AQ419" s="77"/>
      <c r="AR419" s="77"/>
      <c r="AS419" s="77"/>
      <c r="AT419" s="77"/>
      <c r="AU419" s="77"/>
      <c r="AV419" s="77"/>
      <c r="AW419" s="77"/>
      <c r="AX419" s="77"/>
      <c r="AY419" s="77"/>
      <c r="AZ419" s="77"/>
      <c r="BA419" s="77"/>
      <c r="BB419" s="77"/>
      <c r="BC419" s="77"/>
      <c r="BD419" s="77"/>
      <c r="BE419" s="77"/>
      <c r="BF419" s="77"/>
      <c r="BG419" s="77"/>
      <c r="BH419" s="77"/>
      <c r="BI419" s="77"/>
      <c r="BJ419" s="77"/>
      <c r="BK419" s="77"/>
      <c r="BL419" s="77"/>
      <c r="BM419" s="77"/>
      <c r="BN419" s="77"/>
      <c r="BO419" s="77"/>
      <c r="BP419" s="77"/>
      <c r="BQ419" s="77"/>
      <c r="BR419" s="77"/>
      <c r="BS419" s="77"/>
      <c r="BT419" s="77"/>
      <c r="BU419" s="77"/>
      <c r="BV419" s="77"/>
    </row>
    <row r="420" spans="1:74" ht="13.5" x14ac:dyDescent="0.7">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c r="AK420" s="77"/>
      <c r="AL420" s="77"/>
      <c r="AM420" s="77"/>
      <c r="AN420" s="77"/>
      <c r="AO420" s="77"/>
      <c r="AP420" s="77"/>
      <c r="AQ420" s="77"/>
      <c r="AR420" s="77"/>
      <c r="AS420" s="77"/>
      <c r="AT420" s="77"/>
      <c r="AU420" s="77"/>
      <c r="AV420" s="77"/>
      <c r="AW420" s="77"/>
      <c r="AX420" s="77"/>
      <c r="AY420" s="77"/>
      <c r="AZ420" s="77"/>
      <c r="BA420" s="77"/>
      <c r="BB420" s="77"/>
      <c r="BC420" s="77"/>
      <c r="BD420" s="77"/>
      <c r="BE420" s="77"/>
      <c r="BF420" s="77"/>
      <c r="BG420" s="77"/>
      <c r="BH420" s="77"/>
      <c r="BI420" s="77"/>
      <c r="BJ420" s="77"/>
      <c r="BK420" s="77"/>
      <c r="BL420" s="77"/>
      <c r="BM420" s="77"/>
      <c r="BN420" s="77"/>
      <c r="BO420" s="77"/>
      <c r="BP420" s="77"/>
      <c r="BQ420" s="77"/>
      <c r="BR420" s="77"/>
      <c r="BS420" s="77"/>
      <c r="BT420" s="77"/>
      <c r="BU420" s="77"/>
      <c r="BV420" s="77"/>
    </row>
    <row r="421" spans="1:74" ht="13.5" x14ac:dyDescent="0.7">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c r="AK421" s="77"/>
      <c r="AL421" s="77"/>
      <c r="AM421" s="77"/>
      <c r="AN421" s="77"/>
      <c r="AO421" s="77"/>
      <c r="AP421" s="77"/>
      <c r="AQ421" s="77"/>
      <c r="AR421" s="77"/>
      <c r="AS421" s="77"/>
      <c r="AT421" s="77"/>
      <c r="AU421" s="77"/>
      <c r="AV421" s="77"/>
      <c r="AW421" s="77"/>
      <c r="AX421" s="77"/>
      <c r="AY421" s="77"/>
      <c r="AZ421" s="77"/>
      <c r="BA421" s="77"/>
      <c r="BB421" s="77"/>
      <c r="BC421" s="77"/>
      <c r="BD421" s="77"/>
      <c r="BE421" s="77"/>
      <c r="BF421" s="77"/>
      <c r="BG421" s="77"/>
      <c r="BH421" s="77"/>
      <c r="BI421" s="77"/>
      <c r="BJ421" s="77"/>
      <c r="BK421" s="77"/>
      <c r="BL421" s="77"/>
      <c r="BM421" s="77"/>
      <c r="BN421" s="77"/>
      <c r="BO421" s="77"/>
      <c r="BP421" s="77"/>
      <c r="BQ421" s="77"/>
      <c r="BR421" s="77"/>
      <c r="BS421" s="77"/>
      <c r="BT421" s="77"/>
      <c r="BU421" s="77"/>
      <c r="BV421" s="77"/>
    </row>
    <row r="422" spans="1:74" ht="13.5" x14ac:dyDescent="0.7">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c r="AK422" s="77"/>
      <c r="AL422" s="77"/>
      <c r="AM422" s="77"/>
      <c r="AN422" s="77"/>
      <c r="AO422" s="77"/>
      <c r="AP422" s="77"/>
      <c r="AQ422" s="77"/>
      <c r="AR422" s="77"/>
      <c r="AS422" s="77"/>
      <c r="AT422" s="77"/>
      <c r="AU422" s="77"/>
      <c r="AV422" s="77"/>
      <c r="AW422" s="77"/>
      <c r="AX422" s="77"/>
      <c r="AY422" s="77"/>
      <c r="AZ422" s="77"/>
      <c r="BA422" s="77"/>
      <c r="BB422" s="77"/>
      <c r="BC422" s="77"/>
      <c r="BD422" s="77"/>
      <c r="BE422" s="77"/>
      <c r="BF422" s="77"/>
      <c r="BG422" s="77"/>
      <c r="BH422" s="77"/>
      <c r="BI422" s="77"/>
      <c r="BJ422" s="77"/>
      <c r="BK422" s="77"/>
      <c r="BL422" s="77"/>
      <c r="BM422" s="77"/>
      <c r="BN422" s="77"/>
      <c r="BO422" s="77"/>
      <c r="BP422" s="77"/>
      <c r="BQ422" s="77"/>
      <c r="BR422" s="77"/>
      <c r="BS422" s="77"/>
      <c r="BT422" s="77"/>
      <c r="BU422" s="77"/>
      <c r="BV422" s="77"/>
    </row>
    <row r="423" spans="1:74" ht="13.5" x14ac:dyDescent="0.7">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c r="AK423" s="77"/>
      <c r="AL423" s="77"/>
      <c r="AM423" s="77"/>
      <c r="AN423" s="77"/>
      <c r="AO423" s="77"/>
      <c r="AP423" s="77"/>
      <c r="AQ423" s="77"/>
      <c r="AR423" s="77"/>
      <c r="AS423" s="77"/>
      <c r="AT423" s="77"/>
      <c r="AU423" s="77"/>
      <c r="AV423" s="77"/>
      <c r="AW423" s="77"/>
      <c r="AX423" s="77"/>
      <c r="AY423" s="77"/>
      <c r="AZ423" s="77"/>
      <c r="BA423" s="77"/>
      <c r="BB423" s="77"/>
      <c r="BC423" s="77"/>
      <c r="BD423" s="77"/>
      <c r="BE423" s="77"/>
      <c r="BF423" s="77"/>
      <c r="BG423" s="77"/>
      <c r="BH423" s="77"/>
      <c r="BI423" s="77"/>
      <c r="BJ423" s="77"/>
      <c r="BK423" s="77"/>
      <c r="BL423" s="77"/>
      <c r="BM423" s="77"/>
      <c r="BN423" s="77"/>
      <c r="BO423" s="77"/>
      <c r="BP423" s="77"/>
      <c r="BQ423" s="77"/>
      <c r="BR423" s="77"/>
      <c r="BS423" s="77"/>
      <c r="BT423" s="77"/>
      <c r="BU423" s="77"/>
      <c r="BV423" s="77"/>
    </row>
    <row r="424" spans="1:74" ht="13.5" x14ac:dyDescent="0.7">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c r="AK424" s="77"/>
      <c r="AL424" s="77"/>
      <c r="AM424" s="77"/>
      <c r="AN424" s="77"/>
      <c r="AO424" s="77"/>
      <c r="AP424" s="77"/>
      <c r="AQ424" s="77"/>
      <c r="AR424" s="77"/>
      <c r="AS424" s="77"/>
      <c r="AT424" s="77"/>
      <c r="AU424" s="77"/>
      <c r="AV424" s="77"/>
      <c r="AW424" s="77"/>
      <c r="AX424" s="77"/>
      <c r="AY424" s="77"/>
      <c r="AZ424" s="77"/>
      <c r="BA424" s="77"/>
      <c r="BB424" s="77"/>
      <c r="BC424" s="77"/>
      <c r="BD424" s="77"/>
      <c r="BE424" s="77"/>
      <c r="BF424" s="77"/>
      <c r="BG424" s="77"/>
      <c r="BH424" s="77"/>
      <c r="BI424" s="77"/>
      <c r="BJ424" s="77"/>
      <c r="BK424" s="77"/>
      <c r="BL424" s="77"/>
      <c r="BM424" s="77"/>
      <c r="BN424" s="77"/>
      <c r="BO424" s="77"/>
      <c r="BP424" s="77"/>
      <c r="BQ424" s="77"/>
      <c r="BR424" s="77"/>
      <c r="BS424" s="77"/>
      <c r="BT424" s="77"/>
      <c r="BU424" s="77"/>
      <c r="BV424" s="77"/>
    </row>
    <row r="425" spans="1:74" ht="13.5" x14ac:dyDescent="0.7">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c r="AD425" s="77"/>
      <c r="AE425" s="77"/>
      <c r="AF425" s="77"/>
      <c r="AG425" s="77"/>
      <c r="AH425" s="77"/>
      <c r="AI425" s="77"/>
      <c r="AJ425" s="77"/>
      <c r="AK425" s="77"/>
      <c r="AL425" s="77"/>
      <c r="AM425" s="77"/>
      <c r="AN425" s="77"/>
      <c r="AO425" s="77"/>
      <c r="AP425" s="77"/>
      <c r="AQ425" s="77"/>
      <c r="AR425" s="77"/>
      <c r="AS425" s="77"/>
      <c r="AT425" s="77"/>
      <c r="AU425" s="77"/>
      <c r="AV425" s="77"/>
      <c r="AW425" s="77"/>
      <c r="AX425" s="77"/>
      <c r="AY425" s="77"/>
      <c r="AZ425" s="77"/>
      <c r="BA425" s="77"/>
      <c r="BB425" s="77"/>
      <c r="BC425" s="77"/>
      <c r="BD425" s="77"/>
      <c r="BE425" s="77"/>
      <c r="BF425" s="77"/>
      <c r="BG425" s="77"/>
      <c r="BH425" s="77"/>
      <c r="BI425" s="77"/>
      <c r="BJ425" s="77"/>
      <c r="BK425" s="77"/>
      <c r="BL425" s="77"/>
      <c r="BM425" s="77"/>
      <c r="BN425" s="77"/>
      <c r="BO425" s="77"/>
      <c r="BP425" s="77"/>
      <c r="BQ425" s="77"/>
      <c r="BR425" s="77"/>
      <c r="BS425" s="77"/>
      <c r="BT425" s="77"/>
      <c r="BU425" s="77"/>
      <c r="BV425" s="77"/>
    </row>
    <row r="426" spans="1:74" ht="13.5" x14ac:dyDescent="0.7">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c r="AD426" s="77"/>
      <c r="AE426" s="77"/>
      <c r="AF426" s="77"/>
      <c r="AG426" s="77"/>
      <c r="AH426" s="77"/>
      <c r="AI426" s="77"/>
      <c r="AJ426" s="77"/>
      <c r="AK426" s="77"/>
      <c r="AL426" s="77"/>
      <c r="AM426" s="77"/>
      <c r="AN426" s="77"/>
      <c r="AO426" s="77"/>
      <c r="AP426" s="77"/>
      <c r="AQ426" s="77"/>
      <c r="AR426" s="77"/>
      <c r="AS426" s="77"/>
      <c r="AT426" s="77"/>
      <c r="AU426" s="77"/>
      <c r="AV426" s="77"/>
      <c r="AW426" s="77"/>
      <c r="AX426" s="77"/>
      <c r="AY426" s="77"/>
      <c r="AZ426" s="77"/>
      <c r="BA426" s="77"/>
      <c r="BB426" s="77"/>
      <c r="BC426" s="77"/>
      <c r="BD426" s="77"/>
      <c r="BE426" s="77"/>
      <c r="BF426" s="77"/>
      <c r="BG426" s="77"/>
      <c r="BH426" s="77"/>
      <c r="BI426" s="77"/>
      <c r="BJ426" s="77"/>
      <c r="BK426" s="77"/>
      <c r="BL426" s="77"/>
      <c r="BM426" s="77"/>
      <c r="BN426" s="77"/>
      <c r="BO426" s="77"/>
      <c r="BP426" s="77"/>
      <c r="BQ426" s="77"/>
      <c r="BR426" s="77"/>
      <c r="BS426" s="77"/>
      <c r="BT426" s="77"/>
      <c r="BU426" s="77"/>
      <c r="BV426" s="77"/>
    </row>
    <row r="427" spans="1:74" ht="13.5" x14ac:dyDescent="0.7">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c r="AD427" s="77"/>
      <c r="AE427" s="77"/>
      <c r="AF427" s="77"/>
      <c r="AG427" s="77"/>
      <c r="AH427" s="77"/>
      <c r="AI427" s="77"/>
      <c r="AJ427" s="77"/>
      <c r="AK427" s="77"/>
      <c r="AL427" s="77"/>
      <c r="AM427" s="77"/>
      <c r="AN427" s="77"/>
      <c r="AO427" s="77"/>
      <c r="AP427" s="77"/>
      <c r="AQ427" s="77"/>
      <c r="AR427" s="77"/>
      <c r="AS427" s="77"/>
      <c r="AT427" s="77"/>
      <c r="AU427" s="77"/>
      <c r="AV427" s="77"/>
      <c r="AW427" s="77"/>
      <c r="AX427" s="77"/>
      <c r="AY427" s="77"/>
      <c r="AZ427" s="77"/>
      <c r="BA427" s="77"/>
      <c r="BB427" s="77"/>
      <c r="BC427" s="77"/>
      <c r="BD427" s="77"/>
      <c r="BE427" s="77"/>
      <c r="BF427" s="77"/>
      <c r="BG427" s="77"/>
      <c r="BH427" s="77"/>
      <c r="BI427" s="77"/>
      <c r="BJ427" s="77"/>
      <c r="BK427" s="77"/>
      <c r="BL427" s="77"/>
      <c r="BM427" s="77"/>
      <c r="BN427" s="77"/>
      <c r="BO427" s="77"/>
      <c r="BP427" s="77"/>
      <c r="BQ427" s="77"/>
      <c r="BR427" s="77"/>
      <c r="BS427" s="77"/>
      <c r="BT427" s="77"/>
      <c r="BU427" s="77"/>
      <c r="BV427" s="77"/>
    </row>
    <row r="428" spans="1:74" ht="13.5" x14ac:dyDescent="0.7">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c r="AD428" s="77"/>
      <c r="AE428" s="77"/>
      <c r="AF428" s="77"/>
      <c r="AG428" s="77"/>
      <c r="AH428" s="77"/>
      <c r="AI428" s="77"/>
      <c r="AJ428" s="77"/>
      <c r="AK428" s="77"/>
      <c r="AL428" s="77"/>
      <c r="AM428" s="77"/>
      <c r="AN428" s="77"/>
      <c r="AO428" s="77"/>
      <c r="AP428" s="77"/>
      <c r="AQ428" s="77"/>
      <c r="AR428" s="77"/>
      <c r="AS428" s="77"/>
      <c r="AT428" s="77"/>
      <c r="AU428" s="77"/>
      <c r="AV428" s="77"/>
      <c r="AW428" s="77"/>
      <c r="AX428" s="77"/>
      <c r="AY428" s="77"/>
      <c r="AZ428" s="77"/>
      <c r="BA428" s="77"/>
      <c r="BB428" s="77"/>
      <c r="BC428" s="77"/>
      <c r="BD428" s="77"/>
      <c r="BE428" s="77"/>
      <c r="BF428" s="77"/>
      <c r="BG428" s="77"/>
      <c r="BH428" s="77"/>
      <c r="BI428" s="77"/>
      <c r="BJ428" s="77"/>
      <c r="BK428" s="77"/>
      <c r="BL428" s="77"/>
      <c r="BM428" s="77"/>
      <c r="BN428" s="77"/>
      <c r="BO428" s="77"/>
      <c r="BP428" s="77"/>
      <c r="BQ428" s="77"/>
      <c r="BR428" s="77"/>
      <c r="BS428" s="77"/>
      <c r="BT428" s="77"/>
      <c r="BU428" s="77"/>
      <c r="BV428" s="77"/>
    </row>
    <row r="429" spans="1:74" ht="13.5" x14ac:dyDescent="0.7">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c r="AD429" s="77"/>
      <c r="AE429" s="77"/>
      <c r="AF429" s="77"/>
      <c r="AG429" s="77"/>
      <c r="AH429" s="77"/>
      <c r="AI429" s="77"/>
      <c r="AJ429" s="77"/>
      <c r="AK429" s="77"/>
      <c r="AL429" s="77"/>
      <c r="AM429" s="77"/>
      <c r="AN429" s="77"/>
      <c r="AO429" s="77"/>
      <c r="AP429" s="77"/>
      <c r="AQ429" s="77"/>
      <c r="AR429" s="77"/>
      <c r="AS429" s="77"/>
      <c r="AT429" s="77"/>
      <c r="AU429" s="77"/>
      <c r="AV429" s="77"/>
      <c r="AW429" s="77"/>
      <c r="AX429" s="77"/>
      <c r="AY429" s="77"/>
      <c r="AZ429" s="77"/>
      <c r="BA429" s="77"/>
      <c r="BB429" s="77"/>
      <c r="BC429" s="77"/>
      <c r="BD429" s="77"/>
      <c r="BE429" s="77"/>
      <c r="BF429" s="77"/>
      <c r="BG429" s="77"/>
      <c r="BH429" s="77"/>
      <c r="BI429" s="77"/>
      <c r="BJ429" s="77"/>
      <c r="BK429" s="77"/>
      <c r="BL429" s="77"/>
      <c r="BM429" s="77"/>
      <c r="BN429" s="77"/>
      <c r="BO429" s="77"/>
      <c r="BP429" s="77"/>
      <c r="BQ429" s="77"/>
      <c r="BR429" s="77"/>
      <c r="BS429" s="77"/>
      <c r="BT429" s="77"/>
      <c r="BU429" s="77"/>
      <c r="BV429" s="77"/>
    </row>
    <row r="430" spans="1:74" ht="13.5" x14ac:dyDescent="0.7">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c r="AD430" s="77"/>
      <c r="AE430" s="77"/>
      <c r="AF430" s="77"/>
      <c r="AG430" s="77"/>
      <c r="AH430" s="77"/>
      <c r="AI430" s="77"/>
      <c r="AJ430" s="77"/>
      <c r="AK430" s="77"/>
      <c r="AL430" s="77"/>
      <c r="AM430" s="77"/>
      <c r="AN430" s="77"/>
      <c r="AO430" s="77"/>
      <c r="AP430" s="77"/>
      <c r="AQ430" s="77"/>
      <c r="AR430" s="77"/>
      <c r="AS430" s="77"/>
      <c r="AT430" s="77"/>
      <c r="AU430" s="77"/>
      <c r="AV430" s="77"/>
      <c r="AW430" s="77"/>
      <c r="AX430" s="77"/>
      <c r="AY430" s="77"/>
      <c r="AZ430" s="77"/>
      <c r="BA430" s="77"/>
      <c r="BB430" s="77"/>
      <c r="BC430" s="77"/>
      <c r="BD430" s="77"/>
      <c r="BE430" s="77"/>
      <c r="BF430" s="77"/>
      <c r="BG430" s="77"/>
      <c r="BH430" s="77"/>
      <c r="BI430" s="77"/>
      <c r="BJ430" s="77"/>
      <c r="BK430" s="77"/>
      <c r="BL430" s="77"/>
      <c r="BM430" s="77"/>
      <c r="BN430" s="77"/>
      <c r="BO430" s="77"/>
      <c r="BP430" s="77"/>
      <c r="BQ430" s="77"/>
      <c r="BR430" s="77"/>
      <c r="BS430" s="77"/>
      <c r="BT430" s="77"/>
      <c r="BU430" s="77"/>
      <c r="BV430" s="77"/>
    </row>
    <row r="431" spans="1:74" ht="13.5" x14ac:dyDescent="0.7">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c r="AD431" s="77"/>
      <c r="AE431" s="77"/>
      <c r="AF431" s="77"/>
      <c r="AG431" s="77"/>
      <c r="AH431" s="77"/>
      <c r="AI431" s="77"/>
      <c r="AJ431" s="77"/>
      <c r="AK431" s="77"/>
      <c r="AL431" s="77"/>
      <c r="AM431" s="77"/>
      <c r="AN431" s="77"/>
      <c r="AO431" s="77"/>
      <c r="AP431" s="77"/>
      <c r="AQ431" s="77"/>
      <c r="AR431" s="77"/>
      <c r="AS431" s="77"/>
      <c r="AT431" s="77"/>
      <c r="AU431" s="77"/>
      <c r="AV431" s="77"/>
      <c r="AW431" s="77"/>
      <c r="AX431" s="77"/>
      <c r="AY431" s="77"/>
      <c r="AZ431" s="77"/>
      <c r="BA431" s="77"/>
      <c r="BB431" s="77"/>
      <c r="BC431" s="77"/>
      <c r="BD431" s="77"/>
      <c r="BE431" s="77"/>
      <c r="BF431" s="77"/>
      <c r="BG431" s="77"/>
      <c r="BH431" s="77"/>
      <c r="BI431" s="77"/>
      <c r="BJ431" s="77"/>
      <c r="BK431" s="77"/>
      <c r="BL431" s="77"/>
      <c r="BM431" s="77"/>
      <c r="BN431" s="77"/>
      <c r="BO431" s="77"/>
      <c r="BP431" s="77"/>
      <c r="BQ431" s="77"/>
      <c r="BR431" s="77"/>
      <c r="BS431" s="77"/>
      <c r="BT431" s="77"/>
      <c r="BU431" s="77"/>
      <c r="BV431" s="77"/>
    </row>
    <row r="432" spans="1:74" ht="13.5" x14ac:dyDescent="0.7">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c r="AD432" s="77"/>
      <c r="AE432" s="77"/>
      <c r="AF432" s="77"/>
      <c r="AG432" s="77"/>
      <c r="AH432" s="77"/>
      <c r="AI432" s="77"/>
      <c r="AJ432" s="77"/>
      <c r="AK432" s="77"/>
      <c r="AL432" s="77"/>
      <c r="AM432" s="77"/>
      <c r="AN432" s="77"/>
      <c r="AO432" s="77"/>
      <c r="AP432" s="77"/>
      <c r="AQ432" s="77"/>
      <c r="AR432" s="77"/>
      <c r="AS432" s="77"/>
      <c r="AT432" s="77"/>
      <c r="AU432" s="77"/>
      <c r="AV432" s="77"/>
      <c r="AW432" s="77"/>
      <c r="AX432" s="77"/>
      <c r="AY432" s="77"/>
      <c r="AZ432" s="77"/>
      <c r="BA432" s="77"/>
      <c r="BB432" s="77"/>
      <c r="BC432" s="77"/>
      <c r="BD432" s="77"/>
      <c r="BE432" s="77"/>
      <c r="BF432" s="77"/>
      <c r="BG432" s="77"/>
      <c r="BH432" s="77"/>
      <c r="BI432" s="77"/>
      <c r="BJ432" s="77"/>
      <c r="BK432" s="77"/>
      <c r="BL432" s="77"/>
      <c r="BM432" s="77"/>
      <c r="BN432" s="77"/>
      <c r="BO432" s="77"/>
      <c r="BP432" s="77"/>
      <c r="BQ432" s="77"/>
      <c r="BR432" s="77"/>
      <c r="BS432" s="77"/>
      <c r="BT432" s="77"/>
      <c r="BU432" s="77"/>
      <c r="BV432" s="77"/>
    </row>
    <row r="433" spans="1:74" ht="13.5" x14ac:dyDescent="0.7">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c r="AD433" s="77"/>
      <c r="AE433" s="77"/>
      <c r="AF433" s="77"/>
      <c r="AG433" s="77"/>
      <c r="AH433" s="77"/>
      <c r="AI433" s="77"/>
      <c r="AJ433" s="77"/>
      <c r="AK433" s="77"/>
      <c r="AL433" s="77"/>
      <c r="AM433" s="77"/>
      <c r="AN433" s="77"/>
      <c r="AO433" s="77"/>
      <c r="AP433" s="77"/>
      <c r="AQ433" s="77"/>
      <c r="AR433" s="77"/>
      <c r="AS433" s="77"/>
      <c r="AT433" s="77"/>
      <c r="AU433" s="77"/>
      <c r="AV433" s="77"/>
      <c r="AW433" s="77"/>
      <c r="AX433" s="77"/>
      <c r="AY433" s="77"/>
      <c r="AZ433" s="77"/>
      <c r="BA433" s="77"/>
      <c r="BB433" s="77"/>
      <c r="BC433" s="77"/>
      <c r="BD433" s="77"/>
      <c r="BE433" s="77"/>
      <c r="BF433" s="77"/>
      <c r="BG433" s="77"/>
      <c r="BH433" s="77"/>
      <c r="BI433" s="77"/>
      <c r="BJ433" s="77"/>
      <c r="BK433" s="77"/>
      <c r="BL433" s="77"/>
      <c r="BM433" s="77"/>
      <c r="BN433" s="77"/>
      <c r="BO433" s="77"/>
      <c r="BP433" s="77"/>
      <c r="BQ433" s="77"/>
      <c r="BR433" s="77"/>
      <c r="BS433" s="77"/>
      <c r="BT433" s="77"/>
      <c r="BU433" s="77"/>
      <c r="BV433" s="77"/>
    </row>
    <row r="434" spans="1:74" ht="13.5" x14ac:dyDescent="0.7">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c r="AD434" s="77"/>
      <c r="AE434" s="77"/>
      <c r="AF434" s="77"/>
      <c r="AG434" s="77"/>
      <c r="AH434" s="77"/>
      <c r="AI434" s="77"/>
      <c r="AJ434" s="77"/>
      <c r="AK434" s="77"/>
      <c r="AL434" s="77"/>
      <c r="AM434" s="77"/>
      <c r="AN434" s="77"/>
      <c r="AO434" s="77"/>
      <c r="AP434" s="77"/>
      <c r="AQ434" s="77"/>
      <c r="AR434" s="77"/>
      <c r="AS434" s="77"/>
      <c r="AT434" s="77"/>
      <c r="AU434" s="77"/>
      <c r="AV434" s="77"/>
      <c r="AW434" s="77"/>
      <c r="AX434" s="77"/>
      <c r="AY434" s="77"/>
      <c r="AZ434" s="77"/>
      <c r="BA434" s="77"/>
      <c r="BB434" s="77"/>
      <c r="BC434" s="77"/>
      <c r="BD434" s="77"/>
      <c r="BE434" s="77"/>
      <c r="BF434" s="77"/>
      <c r="BG434" s="77"/>
      <c r="BH434" s="77"/>
      <c r="BI434" s="77"/>
      <c r="BJ434" s="77"/>
      <c r="BK434" s="77"/>
      <c r="BL434" s="77"/>
      <c r="BM434" s="77"/>
      <c r="BN434" s="77"/>
      <c r="BO434" s="77"/>
      <c r="BP434" s="77"/>
      <c r="BQ434" s="77"/>
      <c r="BR434" s="77"/>
      <c r="BS434" s="77"/>
      <c r="BT434" s="77"/>
      <c r="BU434" s="77"/>
      <c r="BV434" s="77"/>
    </row>
    <row r="435" spans="1:74" ht="13.5" x14ac:dyDescent="0.7">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c r="AD435" s="77"/>
      <c r="AE435" s="77"/>
      <c r="AF435" s="77"/>
      <c r="AG435" s="77"/>
      <c r="AH435" s="77"/>
      <c r="AI435" s="77"/>
      <c r="AJ435" s="77"/>
      <c r="AK435" s="77"/>
      <c r="AL435" s="77"/>
      <c r="AM435" s="77"/>
      <c r="AN435" s="77"/>
      <c r="AO435" s="77"/>
      <c r="AP435" s="77"/>
      <c r="AQ435" s="77"/>
      <c r="AR435" s="77"/>
      <c r="AS435" s="77"/>
      <c r="AT435" s="77"/>
      <c r="AU435" s="77"/>
      <c r="AV435" s="77"/>
      <c r="AW435" s="77"/>
      <c r="AX435" s="77"/>
      <c r="AY435" s="77"/>
      <c r="AZ435" s="77"/>
      <c r="BA435" s="77"/>
      <c r="BB435" s="77"/>
      <c r="BC435" s="77"/>
      <c r="BD435" s="77"/>
      <c r="BE435" s="77"/>
      <c r="BF435" s="77"/>
      <c r="BG435" s="77"/>
      <c r="BH435" s="77"/>
      <c r="BI435" s="77"/>
      <c r="BJ435" s="77"/>
      <c r="BK435" s="77"/>
      <c r="BL435" s="77"/>
      <c r="BM435" s="77"/>
      <c r="BN435" s="77"/>
      <c r="BO435" s="77"/>
      <c r="BP435" s="77"/>
      <c r="BQ435" s="77"/>
      <c r="BR435" s="77"/>
      <c r="BS435" s="77"/>
      <c r="BT435" s="77"/>
      <c r="BU435" s="77"/>
      <c r="BV435" s="77"/>
    </row>
    <row r="436" spans="1:74" ht="13.5" x14ac:dyDescent="0.7">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c r="AD436" s="77"/>
      <c r="AE436" s="77"/>
      <c r="AF436" s="77"/>
      <c r="AG436" s="77"/>
      <c r="AH436" s="77"/>
      <c r="AI436" s="77"/>
      <c r="AJ436" s="77"/>
      <c r="AK436" s="77"/>
      <c r="AL436" s="77"/>
      <c r="AM436" s="77"/>
      <c r="AN436" s="77"/>
      <c r="AO436" s="77"/>
      <c r="AP436" s="77"/>
      <c r="AQ436" s="77"/>
      <c r="AR436" s="77"/>
      <c r="AS436" s="77"/>
      <c r="AT436" s="77"/>
      <c r="AU436" s="77"/>
      <c r="AV436" s="77"/>
      <c r="AW436" s="77"/>
      <c r="AX436" s="77"/>
      <c r="AY436" s="77"/>
      <c r="AZ436" s="77"/>
      <c r="BA436" s="77"/>
      <c r="BB436" s="77"/>
      <c r="BC436" s="77"/>
      <c r="BD436" s="77"/>
      <c r="BE436" s="77"/>
      <c r="BF436" s="77"/>
      <c r="BG436" s="77"/>
      <c r="BH436" s="77"/>
      <c r="BI436" s="77"/>
      <c r="BJ436" s="77"/>
      <c r="BK436" s="77"/>
      <c r="BL436" s="77"/>
      <c r="BM436" s="77"/>
      <c r="BN436" s="77"/>
      <c r="BO436" s="77"/>
      <c r="BP436" s="77"/>
      <c r="BQ436" s="77"/>
      <c r="BR436" s="77"/>
      <c r="BS436" s="77"/>
      <c r="BT436" s="77"/>
      <c r="BU436" s="77"/>
      <c r="BV436" s="77"/>
    </row>
    <row r="437" spans="1:74" ht="13.5" x14ac:dyDescent="0.7">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c r="AD437" s="77"/>
      <c r="AE437" s="77"/>
      <c r="AF437" s="77"/>
      <c r="AG437" s="77"/>
      <c r="AH437" s="77"/>
      <c r="AI437" s="77"/>
      <c r="AJ437" s="77"/>
    </row>
    <row r="438" spans="1:74" ht="13.5" x14ac:dyDescent="0.7">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c r="AD438" s="77"/>
      <c r="AE438" s="77"/>
      <c r="AF438" s="77"/>
      <c r="AG438" s="77"/>
      <c r="AH438" s="77"/>
      <c r="AI438" s="77"/>
      <c r="AJ438" s="77"/>
    </row>
    <row r="439" spans="1:74" ht="13.5" x14ac:dyDescent="0.7">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c r="AD439" s="77"/>
      <c r="AE439" s="77"/>
      <c r="AF439" s="77"/>
      <c r="AG439" s="77"/>
      <c r="AH439" s="77"/>
      <c r="AI439" s="77"/>
      <c r="AJ439" s="77"/>
    </row>
    <row r="440" spans="1:74" ht="13.5" x14ac:dyDescent="0.7">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c r="AD440" s="77"/>
      <c r="AE440" s="77"/>
      <c r="AF440" s="77"/>
      <c r="AG440" s="77"/>
      <c r="AH440" s="77"/>
      <c r="AI440" s="77"/>
      <c r="AJ440" s="77"/>
    </row>
    <row r="441" spans="1:74" ht="13.5" x14ac:dyDescent="0.7">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c r="AD441" s="77"/>
      <c r="AE441" s="77"/>
      <c r="AF441" s="77"/>
      <c r="AG441" s="77"/>
      <c r="AH441" s="77"/>
      <c r="AI441" s="77"/>
      <c r="AJ441" s="77"/>
    </row>
    <row r="442" spans="1:74" ht="13.5" x14ac:dyDescent="0.7">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c r="AD442" s="77"/>
      <c r="AE442" s="77"/>
      <c r="AF442" s="77"/>
      <c r="AG442" s="77"/>
      <c r="AH442" s="77"/>
      <c r="AI442" s="77"/>
      <c r="AJ442" s="77"/>
    </row>
    <row r="443" spans="1:74" ht="13.5" x14ac:dyDescent="0.7">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c r="AD443" s="77"/>
      <c r="AE443" s="77"/>
      <c r="AF443" s="77"/>
      <c r="AG443" s="77"/>
      <c r="AH443" s="77"/>
      <c r="AI443" s="77"/>
      <c r="AJ443" s="77"/>
    </row>
    <row r="444" spans="1:74" ht="13.5" x14ac:dyDescent="0.7">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c r="AD444" s="77"/>
      <c r="AE444" s="77"/>
      <c r="AF444" s="77"/>
      <c r="AG444" s="77"/>
      <c r="AH444" s="77"/>
      <c r="AI444" s="77"/>
      <c r="AJ444" s="77"/>
    </row>
    <row r="445" spans="1:74" ht="13.5" x14ac:dyDescent="0.7">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c r="AD445" s="77"/>
      <c r="AE445" s="77"/>
      <c r="AF445" s="77"/>
      <c r="AG445" s="77"/>
      <c r="AH445" s="77"/>
      <c r="AI445" s="77"/>
      <c r="AJ445" s="77"/>
    </row>
    <row r="446" spans="1:74" ht="13.5" x14ac:dyDescent="0.7">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c r="AD446" s="77"/>
      <c r="AE446" s="77"/>
      <c r="AF446" s="77"/>
      <c r="AG446" s="77"/>
      <c r="AH446" s="77"/>
      <c r="AI446" s="77"/>
      <c r="AJ446" s="77"/>
    </row>
    <row r="447" spans="1:74" ht="13.5" x14ac:dyDescent="0.7">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c r="AD447" s="77"/>
      <c r="AE447" s="77"/>
      <c r="AF447" s="77"/>
      <c r="AG447" s="77"/>
      <c r="AH447" s="77"/>
      <c r="AI447" s="77"/>
      <c r="AJ447" s="77"/>
    </row>
  </sheetData>
  <hyperlinks>
    <hyperlink ref="A19" r:id="rId1" xr:uid="{9AF5D0C6-B2A0-4B35-A44C-EDCD3B3D9C01}"/>
    <hyperlink ref="A51" r:id="rId2" xr:uid="{E0B37667-E23E-41B3-BE62-66AF82E4E6CD}"/>
    <hyperlink ref="C92"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workbookViewId="0">
      <selection activeCell="E29" sqref="E29"/>
    </sheetView>
  </sheetViews>
  <sheetFormatPr defaultColWidth="8.453125" defaultRowHeight="14.75" x14ac:dyDescent="0.75"/>
  <cols>
    <col min="1" max="1" width="19.453125" customWidth="1"/>
    <col min="2" max="2" width="21.453125" customWidth="1"/>
  </cols>
  <sheetData>
    <row r="2" spans="1:34" x14ac:dyDescent="0.7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75">
      <c r="A3" t="s">
        <v>856</v>
      </c>
      <c r="B3" s="351" t="s">
        <v>857</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75">
      <c r="A4" t="s">
        <v>858</v>
      </c>
      <c r="B4" s="352"/>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7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75">
      <c r="B6" s="351" t="s">
        <v>859</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75">
      <c r="B7" s="352"/>
      <c r="C7" s="133" t="s">
        <v>860</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75">
      <c r="B8" s="352"/>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75">
      <c r="A9" s="1" t="s">
        <v>861</v>
      </c>
      <c r="B9" s="134" t="s">
        <v>862</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863</v>
      </c>
    </row>
    <row r="10" spans="1:34" x14ac:dyDescent="0.75">
      <c r="B10" s="134" t="s">
        <v>864</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75">
      <c r="A11" s="1"/>
      <c r="B11" s="134" t="s">
        <v>865</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866</v>
      </c>
    </row>
    <row r="12" spans="1:34" x14ac:dyDescent="0.75">
      <c r="B12" s="134" t="s">
        <v>867</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75">
      <c r="B13" s="134" t="s">
        <v>868</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866</v>
      </c>
    </row>
    <row r="14" spans="1:34" x14ac:dyDescent="0.75">
      <c r="B14" s="134" t="s">
        <v>869</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75">
      <c r="B15" s="134" t="s">
        <v>870</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871</v>
      </c>
    </row>
    <row r="16" spans="1:34" x14ac:dyDescent="0.75">
      <c r="B16" s="134" t="s">
        <v>872</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866</v>
      </c>
    </row>
    <row r="17" spans="1:34" x14ac:dyDescent="0.75">
      <c r="B17" s="134" t="s">
        <v>873</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866</v>
      </c>
    </row>
    <row r="18" spans="1:34" x14ac:dyDescent="0.75">
      <c r="B18" s="134" t="s">
        <v>874</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866</v>
      </c>
    </row>
    <row r="19" spans="1:34" x14ac:dyDescent="0.75">
      <c r="B19" s="134" t="s">
        <v>875</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75">
      <c r="B20" s="134" t="s">
        <v>876</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866</v>
      </c>
    </row>
    <row r="21" spans="1:34" x14ac:dyDescent="0.75">
      <c r="B21" s="134" t="s">
        <v>877</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866</v>
      </c>
    </row>
    <row r="22" spans="1:34" x14ac:dyDescent="0.75">
      <c r="B22" s="134" t="s">
        <v>878</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866</v>
      </c>
    </row>
    <row r="23" spans="1:34" x14ac:dyDescent="0.75">
      <c r="B23" s="134" t="s">
        <v>879</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871</v>
      </c>
    </row>
    <row r="24" spans="1:34" x14ac:dyDescent="0.75">
      <c r="B24" s="134" t="s">
        <v>880</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866</v>
      </c>
    </row>
    <row r="25" spans="1:34" x14ac:dyDescent="0.7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75">
      <c r="A26" s="1" t="s">
        <v>881</v>
      </c>
      <c r="B26" s="134" t="s">
        <v>862</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75">
      <c r="B27" s="134" t="s">
        <v>864</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866</v>
      </c>
    </row>
    <row r="28" spans="1:34" x14ac:dyDescent="0.75">
      <c r="A28" s="1"/>
      <c r="B28" s="134" t="s">
        <v>865</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75">
      <c r="B29" s="134" t="s">
        <v>867</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866</v>
      </c>
    </row>
    <row r="30" spans="1:34" x14ac:dyDescent="0.75">
      <c r="B30" s="134" t="s">
        <v>868</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75">
      <c r="B31" s="134" t="s">
        <v>869</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75">
      <c r="B32" s="134" t="s">
        <v>870</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75">
      <c r="B33" s="134" t="s">
        <v>872</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75">
      <c r="B34" s="134" t="s">
        <v>873</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75">
      <c r="B35" s="134" t="s">
        <v>874</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75">
      <c r="B36" s="134" t="s">
        <v>875</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866</v>
      </c>
    </row>
    <row r="37" spans="1:34" x14ac:dyDescent="0.75">
      <c r="B37" s="134" t="s">
        <v>876</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75">
      <c r="B38" s="134" t="s">
        <v>877</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75">
      <c r="B39" s="134" t="s">
        <v>878</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75">
      <c r="B40" s="134" t="s">
        <v>879</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75">
      <c r="B41" s="134" t="s">
        <v>880</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7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75">
      <c r="A43" s="1" t="s">
        <v>882</v>
      </c>
      <c r="B43" s="134" t="s">
        <v>883</v>
      </c>
    </row>
    <row r="44" spans="1:34" x14ac:dyDescent="0.75">
      <c r="B44" s="134" t="s">
        <v>884</v>
      </c>
    </row>
    <row r="45" spans="1:34" x14ac:dyDescent="0.75">
      <c r="B45" s="134" t="s">
        <v>885</v>
      </c>
    </row>
    <row r="46" spans="1:34" x14ac:dyDescent="0.75">
      <c r="B46" s="134" t="s">
        <v>886</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53125" defaultRowHeight="14.25" customHeight="1" x14ac:dyDescent="0.6"/>
  <cols>
    <col min="1" max="1" width="9.453125" style="137"/>
    <col min="2" max="7" width="1.453125" style="137" customWidth="1"/>
    <col min="8" max="8" width="5.453125" style="137" customWidth="1"/>
    <col min="9" max="9" width="7.453125" style="137" customWidth="1"/>
    <col min="10" max="10" width="19.453125" style="137" customWidth="1"/>
    <col min="11" max="11" width="55" style="137" bestFit="1" customWidth="1"/>
    <col min="12" max="12" width="16.453125" style="137" customWidth="1"/>
    <col min="13" max="15" width="11.453125" style="137" customWidth="1"/>
    <col min="16" max="17" width="12.453125" style="137" customWidth="1"/>
    <col min="18" max="20" width="11.453125" style="137" customWidth="1"/>
    <col min="21" max="21" width="18.453125" style="137" customWidth="1"/>
    <col min="22" max="22" width="10.453125" style="137" bestFit="1" customWidth="1"/>
    <col min="23" max="24" width="11.453125" style="137" customWidth="1"/>
    <col min="25" max="25" width="10.453125" style="137" bestFit="1" customWidth="1"/>
    <col min="26" max="45" width="11.453125" style="137" customWidth="1"/>
    <col min="46" max="16384" width="9.453125" style="137"/>
  </cols>
  <sheetData>
    <row r="1" spans="1:108" ht="18" x14ac:dyDescent="0.8">
      <c r="A1" s="353" t="s">
        <v>1027</v>
      </c>
      <c r="B1" s="353"/>
      <c r="C1" s="353"/>
      <c r="D1" s="353"/>
      <c r="E1" s="353"/>
      <c r="F1" s="353"/>
      <c r="G1" s="353"/>
      <c r="H1" s="353"/>
      <c r="I1" s="353"/>
      <c r="J1" s="353"/>
      <c r="M1" s="138" t="s">
        <v>1028</v>
      </c>
    </row>
    <row r="2" spans="1:108" ht="14.25" customHeight="1" x14ac:dyDescent="0.75">
      <c r="A2"/>
      <c r="B2"/>
      <c r="C2"/>
      <c r="D2"/>
      <c r="E2"/>
      <c r="F2" s="139"/>
      <c r="G2" s="139"/>
      <c r="H2" s="139"/>
      <c r="I2" s="139"/>
      <c r="J2" s="139"/>
      <c r="K2" s="139"/>
      <c r="L2" s="139"/>
      <c r="M2" s="139"/>
      <c r="N2" s="139"/>
      <c r="O2" s="139"/>
      <c r="P2" s="139"/>
      <c r="Q2" s="139"/>
      <c r="R2" s="139"/>
      <c r="S2" s="139"/>
      <c r="T2" s="139"/>
      <c r="U2" s="140" t="s">
        <v>888</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75">
      <c r="A3"/>
      <c r="B3"/>
      <c r="C3"/>
      <c r="D3"/>
      <c r="E3"/>
      <c r="U3" s="141" t="s">
        <v>889</v>
      </c>
    </row>
    <row r="4" spans="1:108" ht="14.25" customHeight="1" x14ac:dyDescent="0.6">
      <c r="J4" s="142"/>
      <c r="U4" s="354" t="s">
        <v>890</v>
      </c>
    </row>
    <row r="5" spans="1:108" ht="14.25" customHeight="1" x14ac:dyDescent="0.6">
      <c r="U5" s="355"/>
    </row>
    <row r="7" spans="1:108" ht="14.25" customHeight="1" x14ac:dyDescent="0.75">
      <c r="B7" s="143" t="s">
        <v>891</v>
      </c>
      <c r="G7" s="356" t="s">
        <v>957</v>
      </c>
      <c r="H7" s="357"/>
      <c r="I7" s="357"/>
      <c r="J7" s="357"/>
      <c r="K7" s="357"/>
      <c r="L7" s="357"/>
      <c r="M7" s="357"/>
      <c r="N7" s="357"/>
      <c r="O7" s="357"/>
      <c r="P7" s="357"/>
      <c r="Q7" s="357"/>
      <c r="R7" s="357"/>
      <c r="S7" s="357"/>
      <c r="T7" s="357"/>
      <c r="U7" s="357"/>
      <c r="V7" s="357"/>
      <c r="W7" s="357"/>
      <c r="X7" s="357"/>
      <c r="Y7" s="357"/>
    </row>
    <row r="8" spans="1:108" ht="14.25" customHeight="1" thickBot="1" x14ac:dyDescent="0.75">
      <c r="G8" s="145"/>
      <c r="U8" s="146"/>
    </row>
    <row r="9" spans="1:108" ht="14.25" customHeight="1" thickBot="1" x14ac:dyDescent="0.9">
      <c r="A9"/>
      <c r="G9" s="145"/>
      <c r="H9" s="358" t="s">
        <v>893</v>
      </c>
      <c r="J9" s="360" t="s">
        <v>894</v>
      </c>
      <c r="K9" s="361"/>
      <c r="L9" s="362"/>
      <c r="M9" s="363">
        <v>2021</v>
      </c>
      <c r="N9" s="364"/>
      <c r="O9" s="364"/>
      <c r="P9" s="364"/>
      <c r="Q9" s="365"/>
      <c r="R9" s="366"/>
    </row>
    <row r="10" spans="1:108" ht="14.25" customHeight="1" thickBot="1" x14ac:dyDescent="0.75">
      <c r="G10" s="145"/>
      <c r="H10" s="359"/>
      <c r="J10" s="148" t="s">
        <v>895</v>
      </c>
      <c r="K10" s="273"/>
      <c r="L10" s="273"/>
      <c r="M10" s="273"/>
      <c r="N10" s="273"/>
      <c r="O10" s="273"/>
      <c r="P10" s="274"/>
      <c r="Q10" s="273"/>
      <c r="R10" s="275"/>
    </row>
    <row r="11" spans="1:108" ht="13.5" customHeight="1" thickBot="1" x14ac:dyDescent="0.9">
      <c r="G11" s="145"/>
      <c r="H11" s="359"/>
      <c r="J11" s="367" t="s">
        <v>1029</v>
      </c>
      <c r="K11" s="368"/>
      <c r="L11" s="368"/>
      <c r="M11" s="368"/>
      <c r="N11" s="368"/>
      <c r="O11" s="368"/>
      <c r="P11" s="368"/>
      <c r="Q11" s="368"/>
      <c r="R11" s="369"/>
      <c r="W11" s="276"/>
      <c r="X11" s="277"/>
      <c r="Y11" s="277"/>
      <c r="Z11" s="277"/>
      <c r="AA11" s="277"/>
    </row>
    <row r="12" spans="1:108" ht="13.5" customHeight="1" thickBot="1" x14ac:dyDescent="0.9">
      <c r="G12" s="145"/>
      <c r="H12" s="359"/>
      <c r="J12" s="370" t="s">
        <v>1030</v>
      </c>
      <c r="K12" s="371"/>
      <c r="L12" s="371"/>
      <c r="M12" s="371"/>
      <c r="N12" s="371"/>
      <c r="O12" s="371"/>
      <c r="P12" s="371"/>
      <c r="Q12" s="371"/>
      <c r="R12" s="372"/>
      <c r="W12" s="276"/>
      <c r="X12" s="277"/>
      <c r="Y12" s="277"/>
      <c r="Z12" s="277"/>
      <c r="AA12" s="277"/>
    </row>
    <row r="13" spans="1:108" ht="13.5" customHeight="1" thickBot="1" x14ac:dyDescent="0.9">
      <c r="G13" s="145"/>
      <c r="H13" s="359"/>
      <c r="J13" s="370" t="s">
        <v>1031</v>
      </c>
      <c r="K13" s="371"/>
      <c r="L13" s="371"/>
      <c r="M13" s="371"/>
      <c r="N13" s="371"/>
      <c r="O13" s="371"/>
      <c r="P13" s="371"/>
      <c r="Q13" s="371"/>
      <c r="R13" s="372"/>
      <c r="W13" s="276"/>
      <c r="X13" s="277"/>
      <c r="Y13" s="277"/>
      <c r="Z13" s="277"/>
      <c r="AA13" s="277"/>
    </row>
    <row r="14" spans="1:108" ht="13.5" customHeight="1" thickBot="1" x14ac:dyDescent="0.9">
      <c r="G14" s="145"/>
      <c r="H14" s="359"/>
      <c r="J14" s="370" t="s">
        <v>1032</v>
      </c>
      <c r="K14" s="371"/>
      <c r="L14" s="371"/>
      <c r="M14" s="371"/>
      <c r="N14" s="371"/>
      <c r="O14" s="371"/>
      <c r="P14" s="371"/>
      <c r="Q14" s="371"/>
      <c r="R14" s="372"/>
      <c r="W14" s="277"/>
      <c r="X14" s="277"/>
      <c r="Y14" s="277"/>
      <c r="Z14" s="277"/>
      <c r="AA14" s="277"/>
    </row>
    <row r="15" spans="1:108" ht="14.25" customHeight="1" thickBot="1" x14ac:dyDescent="0.9">
      <c r="G15" s="145"/>
      <c r="H15" s="359"/>
      <c r="J15" s="373" t="s">
        <v>1033</v>
      </c>
      <c r="K15" s="374"/>
      <c r="L15" s="374"/>
      <c r="M15" s="374"/>
      <c r="N15" s="374"/>
      <c r="O15" s="374"/>
      <c r="P15" s="374"/>
      <c r="Q15" s="374"/>
      <c r="R15" s="375"/>
      <c r="W15" s="277"/>
      <c r="X15" s="277"/>
      <c r="Y15" s="277"/>
      <c r="Z15" s="277"/>
      <c r="AA15" s="277"/>
    </row>
    <row r="16" spans="1:108" ht="14.25" customHeight="1" thickTop="1" x14ac:dyDescent="0.75">
      <c r="G16" s="145"/>
      <c r="H16" s="359"/>
      <c r="J16" s="376" t="s">
        <v>1034</v>
      </c>
      <c r="K16" s="377"/>
      <c r="L16" s="377"/>
      <c r="M16" s="377"/>
      <c r="N16" s="377"/>
      <c r="O16" s="377"/>
      <c r="P16" s="377"/>
      <c r="Q16" s="377"/>
      <c r="R16" s="378"/>
      <c r="W16" s="277"/>
      <c r="X16" s="277"/>
      <c r="Y16" s="277"/>
      <c r="Z16" s="277"/>
      <c r="AA16" s="277"/>
    </row>
    <row r="17" spans="7:27" ht="14.25" customHeight="1" x14ac:dyDescent="0.75">
      <c r="G17" s="145"/>
      <c r="H17" s="359"/>
      <c r="J17" s="379"/>
      <c r="K17" s="380"/>
      <c r="L17" s="380"/>
      <c r="M17" s="380"/>
      <c r="N17" s="380"/>
      <c r="O17" s="380"/>
      <c r="P17" s="380"/>
      <c r="Q17" s="380"/>
      <c r="R17" s="381"/>
      <c r="W17" s="277"/>
      <c r="X17" s="277"/>
      <c r="Y17" s="277"/>
      <c r="Z17" s="277"/>
      <c r="AA17" s="277"/>
    </row>
    <row r="18" spans="7:27" ht="14.25" customHeight="1" thickBot="1" x14ac:dyDescent="0.9">
      <c r="G18" s="145"/>
      <c r="H18" s="359"/>
      <c r="J18" s="382"/>
      <c r="K18" s="383"/>
      <c r="L18" s="383"/>
      <c r="M18" s="383"/>
      <c r="N18" s="383"/>
      <c r="O18" s="383"/>
      <c r="P18" s="383"/>
      <c r="Q18" s="383"/>
      <c r="R18" s="384"/>
      <c r="W18" s="277"/>
      <c r="X18" s="277"/>
      <c r="Y18" s="277"/>
      <c r="Z18" s="277"/>
      <c r="AA18" s="277"/>
    </row>
    <row r="19" spans="7:27" ht="24" customHeight="1" thickTop="1" thickBot="1" x14ac:dyDescent="0.9">
      <c r="G19" s="145"/>
      <c r="H19" s="359"/>
      <c r="J19" s="385">
        <v>118918</v>
      </c>
      <c r="K19" s="386"/>
      <c r="L19" s="386"/>
      <c r="M19" s="386"/>
      <c r="N19" s="386"/>
      <c r="O19" s="386"/>
      <c r="P19" s="386"/>
      <c r="Q19" s="386"/>
      <c r="R19" s="387"/>
      <c r="W19" s="277"/>
      <c r="X19" s="277"/>
      <c r="Y19" s="277"/>
      <c r="Z19" s="277"/>
      <c r="AA19" s="277"/>
    </row>
    <row r="20" spans="7:27" ht="14.25" customHeight="1" thickTop="1" x14ac:dyDescent="0.75">
      <c r="G20" s="145"/>
      <c r="H20" s="359"/>
      <c r="J20" s="278"/>
      <c r="K20" s="279"/>
      <c r="L20" s="280"/>
      <c r="M20" s="388" t="s">
        <v>1035</v>
      </c>
      <c r="N20" s="389"/>
      <c r="O20" s="389"/>
      <c r="P20" s="389"/>
      <c r="Q20" s="389"/>
      <c r="R20" s="390"/>
      <c r="V20" s="281"/>
      <c r="W20" s="277"/>
      <c r="X20" s="277"/>
      <c r="Y20" s="277"/>
      <c r="Z20" s="277"/>
      <c r="AA20" s="277"/>
    </row>
    <row r="21" spans="7:27" ht="14.25" customHeight="1" x14ac:dyDescent="0.75">
      <c r="G21" s="145"/>
      <c r="H21" s="359"/>
      <c r="J21" s="282"/>
      <c r="M21" s="391"/>
      <c r="N21" s="392"/>
      <c r="O21" s="392"/>
      <c r="P21" s="392"/>
      <c r="Q21" s="392"/>
      <c r="R21" s="393"/>
      <c r="S21"/>
      <c r="V21" s="281"/>
      <c r="W21" s="277"/>
      <c r="X21" s="277"/>
      <c r="Y21" s="277"/>
      <c r="Z21" s="277"/>
      <c r="AA21" s="277"/>
    </row>
    <row r="22" spans="7:27" ht="14.25" customHeight="1" x14ac:dyDescent="0.75">
      <c r="G22" s="145"/>
      <c r="H22" s="359"/>
      <c r="J22" s="282"/>
      <c r="M22" s="391"/>
      <c r="N22" s="392"/>
      <c r="O22" s="392"/>
      <c r="P22" s="392"/>
      <c r="Q22" s="392"/>
      <c r="R22" s="393"/>
      <c r="S22"/>
      <c r="V22" s="281"/>
      <c r="W22" s="277"/>
      <c r="X22" s="277"/>
      <c r="Y22" s="277"/>
      <c r="Z22" s="277"/>
      <c r="AA22" s="277"/>
    </row>
    <row r="23" spans="7:27" ht="14.25" customHeight="1" x14ac:dyDescent="0.75">
      <c r="G23" s="145"/>
      <c r="H23" s="359"/>
      <c r="J23" s="282"/>
      <c r="M23" s="391"/>
      <c r="N23" s="392"/>
      <c r="O23" s="392"/>
      <c r="P23" s="392"/>
      <c r="Q23" s="392"/>
      <c r="R23" s="393"/>
      <c r="S23"/>
      <c r="V23" s="281"/>
      <c r="W23" s="277"/>
      <c r="X23" s="277"/>
      <c r="Y23" s="277"/>
      <c r="Z23" s="277"/>
      <c r="AA23" s="277"/>
    </row>
    <row r="24" spans="7:27" ht="14.25" customHeight="1" thickBot="1" x14ac:dyDescent="0.9">
      <c r="G24" s="145"/>
      <c r="H24" s="359"/>
      <c r="J24" s="284"/>
      <c r="K24" s="285"/>
      <c r="M24" s="394"/>
      <c r="N24" s="395"/>
      <c r="O24" s="395"/>
      <c r="P24" s="395"/>
      <c r="Q24" s="395"/>
      <c r="R24" s="396"/>
      <c r="S24"/>
      <c r="U24" s="277"/>
      <c r="V24" s="281"/>
      <c r="W24" s="277"/>
      <c r="X24" s="277"/>
      <c r="Y24" s="277"/>
      <c r="Z24" s="277"/>
      <c r="AA24" s="277"/>
    </row>
    <row r="25" spans="7:27" ht="14.25" customHeight="1" thickBot="1" x14ac:dyDescent="0.9">
      <c r="G25" s="145"/>
      <c r="H25" s="272"/>
      <c r="M25" s="283"/>
      <c r="N25" s="283"/>
      <c r="O25" s="283"/>
      <c r="P25" s="283"/>
      <c r="Q25" s="283"/>
      <c r="R25" s="283"/>
      <c r="S25"/>
      <c r="U25" s="277"/>
      <c r="V25" s="281"/>
      <c r="W25" s="277"/>
      <c r="X25" s="277"/>
      <c r="Y25" s="277"/>
      <c r="Z25" s="277"/>
      <c r="AA25" s="277"/>
    </row>
    <row r="26" spans="7:27" ht="14.25" customHeight="1" thickBot="1" x14ac:dyDescent="0.9">
      <c r="G26" s="145"/>
      <c r="H26" s="272"/>
      <c r="J26" s="397" t="s">
        <v>897</v>
      </c>
      <c r="K26" s="152" t="s">
        <v>898</v>
      </c>
      <c r="L26" s="152" t="s">
        <v>899</v>
      </c>
      <c r="M26" s="152" t="s">
        <v>900</v>
      </c>
      <c r="N26" s="152" t="s">
        <v>901</v>
      </c>
      <c r="O26" s="152" t="s">
        <v>902</v>
      </c>
      <c r="P26" s="283"/>
      <c r="Q26" s="283"/>
      <c r="R26" s="283"/>
      <c r="S26"/>
      <c r="U26" s="277"/>
      <c r="V26" s="281"/>
      <c r="W26" s="277"/>
      <c r="X26" s="277"/>
      <c r="Y26" s="277"/>
      <c r="Z26" s="277"/>
      <c r="AA26" s="277"/>
    </row>
    <row r="27" spans="7:27" ht="14.25" customHeight="1" x14ac:dyDescent="0.75">
      <c r="G27" s="145"/>
      <c r="H27" s="272"/>
      <c r="J27" s="397"/>
      <c r="K27" s="153" t="s">
        <v>1036</v>
      </c>
      <c r="L27" s="153" t="s">
        <v>1037</v>
      </c>
      <c r="M27" s="153" t="s">
        <v>908</v>
      </c>
      <c r="N27" s="153" t="s">
        <v>909</v>
      </c>
      <c r="O27" s="286" t="s">
        <v>910</v>
      </c>
      <c r="P27" s="283"/>
      <c r="Q27" s="283"/>
      <c r="R27" s="283"/>
      <c r="S27"/>
      <c r="U27" s="277"/>
      <c r="V27" s="281"/>
      <c r="W27" s="277"/>
      <c r="X27" s="277"/>
      <c r="Y27" s="277"/>
      <c r="Z27" s="277"/>
      <c r="AA27" s="277"/>
    </row>
    <row r="28" spans="7:27" ht="14.25" customHeight="1" x14ac:dyDescent="0.75">
      <c r="G28" s="145"/>
      <c r="H28" s="272"/>
      <c r="J28" s="397"/>
      <c r="K28" s="156" t="s">
        <v>1038</v>
      </c>
      <c r="L28" s="156" t="s">
        <v>1037</v>
      </c>
      <c r="M28" s="156" t="s">
        <v>913</v>
      </c>
      <c r="N28" s="156" t="s">
        <v>909</v>
      </c>
      <c r="O28" s="287" t="s">
        <v>910</v>
      </c>
      <c r="P28" s="283"/>
      <c r="Q28" s="283"/>
      <c r="R28" s="283"/>
      <c r="S28"/>
      <c r="U28" s="277"/>
      <c r="V28" s="281"/>
      <c r="W28" s="277"/>
      <c r="X28" s="277"/>
      <c r="Y28" s="277"/>
      <c r="Z28" s="277"/>
      <c r="AA28" s="277"/>
    </row>
    <row r="29" spans="7:27" ht="14.25" customHeight="1" x14ac:dyDescent="0.75">
      <c r="G29" s="145"/>
      <c r="H29" s="272"/>
      <c r="J29" s="397"/>
      <c r="K29" s="158" t="s">
        <v>1039</v>
      </c>
      <c r="L29" s="158" t="s">
        <v>1037</v>
      </c>
      <c r="M29" s="158" t="s">
        <v>917</v>
      </c>
      <c r="N29" s="158" t="s">
        <v>909</v>
      </c>
      <c r="O29" s="288" t="s">
        <v>910</v>
      </c>
      <c r="P29" s="283"/>
      <c r="Q29" s="283"/>
      <c r="R29" s="283"/>
      <c r="S29"/>
      <c r="U29" s="277"/>
      <c r="V29" s="281"/>
      <c r="W29" s="277"/>
      <c r="X29" s="277"/>
      <c r="Y29" s="277"/>
      <c r="Z29" s="277"/>
      <c r="AA29" s="277"/>
    </row>
    <row r="30" spans="7:27" ht="14.25" customHeight="1" x14ac:dyDescent="0.75">
      <c r="G30" s="145"/>
      <c r="H30" s="272"/>
      <c r="J30" s="397"/>
      <c r="K30" s="156" t="s">
        <v>1040</v>
      </c>
      <c r="L30" s="156" t="s">
        <v>1037</v>
      </c>
      <c r="M30" s="156" t="s">
        <v>920</v>
      </c>
      <c r="N30" s="156" t="s">
        <v>909</v>
      </c>
      <c r="O30" s="287" t="s">
        <v>910</v>
      </c>
      <c r="P30" s="283"/>
      <c r="Q30" s="283"/>
      <c r="R30" s="283"/>
      <c r="S30"/>
      <c r="U30" s="277"/>
      <c r="V30" s="281"/>
      <c r="W30" s="277"/>
      <c r="X30" s="277"/>
      <c r="Y30" s="277"/>
      <c r="Z30" s="277"/>
      <c r="AA30" s="277"/>
    </row>
    <row r="31" spans="7:27" ht="14.25" customHeight="1" x14ac:dyDescent="0.75">
      <c r="G31" s="145"/>
      <c r="H31" s="272"/>
      <c r="J31" s="397"/>
      <c r="K31" s="158" t="s">
        <v>1041</v>
      </c>
      <c r="L31" s="158" t="s">
        <v>1037</v>
      </c>
      <c r="M31" s="158" t="s">
        <v>923</v>
      </c>
      <c r="N31" s="158" t="s">
        <v>909</v>
      </c>
      <c r="O31" s="288" t="s">
        <v>910</v>
      </c>
      <c r="P31" s="283"/>
      <c r="Q31" s="283"/>
      <c r="R31" s="283"/>
      <c r="S31"/>
      <c r="U31" s="277"/>
      <c r="V31" s="281"/>
      <c r="W31" s="277"/>
      <c r="X31" s="277"/>
      <c r="Y31" s="277"/>
      <c r="Z31" s="277"/>
      <c r="AA31" s="277"/>
    </row>
    <row r="32" spans="7:27" ht="14.25" customHeight="1" x14ac:dyDescent="0.75">
      <c r="G32" s="145"/>
      <c r="H32" s="272"/>
      <c r="J32" s="397"/>
      <c r="K32" s="160" t="s">
        <v>1042</v>
      </c>
      <c r="L32" s="160" t="s">
        <v>1037</v>
      </c>
      <c r="M32" s="160" t="s">
        <v>926</v>
      </c>
      <c r="N32" s="160" t="s">
        <v>909</v>
      </c>
      <c r="O32" s="289" t="s">
        <v>910</v>
      </c>
      <c r="P32" s="283"/>
      <c r="Q32" s="283"/>
      <c r="R32" s="283"/>
      <c r="S32"/>
      <c r="U32" s="277"/>
      <c r="V32" s="281"/>
      <c r="W32" s="277"/>
      <c r="X32" s="277"/>
      <c r="Y32" s="277"/>
      <c r="Z32" s="277"/>
      <c r="AA32" s="277"/>
    </row>
    <row r="33" spans="6:27" ht="14.25" customHeight="1" x14ac:dyDescent="0.75">
      <c r="G33" s="145"/>
      <c r="H33" s="272"/>
      <c r="J33" s="397"/>
      <c r="K33" s="158" t="s">
        <v>1043</v>
      </c>
      <c r="L33" s="158" t="s">
        <v>1037</v>
      </c>
      <c r="M33" s="158" t="s">
        <v>929</v>
      </c>
      <c r="N33" s="158" t="s">
        <v>909</v>
      </c>
      <c r="O33" s="288" t="s">
        <v>910</v>
      </c>
      <c r="P33" s="283"/>
      <c r="Q33" s="283"/>
      <c r="R33" s="283"/>
      <c r="S33"/>
      <c r="U33" s="277"/>
      <c r="V33" s="281"/>
      <c r="W33" s="277"/>
      <c r="X33" s="277"/>
      <c r="Y33" s="277"/>
      <c r="Z33" s="277"/>
      <c r="AA33" s="277"/>
    </row>
    <row r="34" spans="6:27" ht="14.25" customHeight="1" x14ac:dyDescent="0.75">
      <c r="G34" s="145"/>
      <c r="H34" s="272"/>
      <c r="J34" s="397"/>
      <c r="K34" s="156" t="s">
        <v>1044</v>
      </c>
      <c r="L34" s="156" t="s">
        <v>1037</v>
      </c>
      <c r="M34" s="156" t="s">
        <v>933</v>
      </c>
      <c r="N34" s="156" t="s">
        <v>909</v>
      </c>
      <c r="O34" s="287" t="s">
        <v>910</v>
      </c>
      <c r="P34" s="283"/>
      <c r="Q34" s="283"/>
      <c r="R34" s="283"/>
      <c r="S34"/>
      <c r="U34" s="277"/>
      <c r="V34" s="281"/>
      <c r="W34" s="277"/>
      <c r="X34" s="277"/>
      <c r="Y34" s="277"/>
      <c r="Z34" s="277"/>
      <c r="AA34" s="277"/>
    </row>
    <row r="35" spans="6:27" ht="14.25" customHeight="1" x14ac:dyDescent="0.75">
      <c r="G35" s="145"/>
      <c r="H35" s="272"/>
      <c r="J35" s="397"/>
      <c r="K35" s="158" t="s">
        <v>1045</v>
      </c>
      <c r="L35" s="158" t="s">
        <v>1037</v>
      </c>
      <c r="M35" s="158" t="s">
        <v>937</v>
      </c>
      <c r="N35" s="158" t="s">
        <v>909</v>
      </c>
      <c r="O35" s="288" t="s">
        <v>910</v>
      </c>
      <c r="P35" s="283"/>
      <c r="Q35" s="283"/>
      <c r="R35" s="283"/>
      <c r="S35"/>
      <c r="U35" s="277"/>
      <c r="V35" s="281"/>
      <c r="W35" s="277"/>
      <c r="X35" s="277"/>
      <c r="Y35" s="277"/>
      <c r="Z35" s="277"/>
      <c r="AA35" s="277"/>
    </row>
    <row r="36" spans="6:27" ht="14.25" customHeight="1" thickBot="1" x14ac:dyDescent="0.9">
      <c r="G36" s="145"/>
      <c r="H36" s="272"/>
      <c r="J36" s="397"/>
      <c r="K36" s="162" t="s">
        <v>1046</v>
      </c>
      <c r="L36" s="162" t="s">
        <v>1037</v>
      </c>
      <c r="M36" s="162" t="s">
        <v>941</v>
      </c>
      <c r="N36" s="162" t="s">
        <v>909</v>
      </c>
      <c r="O36" s="290" t="s">
        <v>910</v>
      </c>
      <c r="P36" s="283"/>
      <c r="Q36" s="283"/>
      <c r="R36" s="283"/>
      <c r="S36"/>
      <c r="U36" s="277"/>
      <c r="V36" s="281"/>
      <c r="W36" s="277"/>
      <c r="X36" s="277"/>
      <c r="Y36" s="277"/>
      <c r="Z36" s="277"/>
      <c r="AA36" s="277"/>
    </row>
    <row r="37" spans="6:27" ht="14.25" customHeight="1" thickBot="1" x14ac:dyDescent="0.9">
      <c r="G37" s="145"/>
      <c r="H37"/>
      <c r="J37"/>
      <c r="K37"/>
      <c r="L37" s="291"/>
      <c r="M37"/>
      <c r="R37" s="281"/>
      <c r="S37" s="281"/>
      <c r="T37" s="281"/>
      <c r="U37" s="277"/>
      <c r="V37" s="281"/>
      <c r="W37" s="277"/>
      <c r="X37" s="277"/>
      <c r="Y37" s="277"/>
      <c r="Z37" s="277"/>
      <c r="AA37" s="277"/>
    </row>
    <row r="38" spans="6:27" ht="14.25" customHeight="1" x14ac:dyDescent="0.75">
      <c r="G38" s="145"/>
      <c r="H38" s="400" t="s">
        <v>945</v>
      </c>
      <c r="J38" s="402" t="s">
        <v>946</v>
      </c>
      <c r="K38" s="403"/>
      <c r="L38" s="403"/>
      <c r="M38" s="403"/>
      <c r="N38" s="403"/>
      <c r="O38" s="404"/>
      <c r="U38" s="277"/>
      <c r="W38" s="277"/>
      <c r="X38" s="277"/>
      <c r="Y38" s="277"/>
      <c r="Z38" s="277"/>
      <c r="AA38" s="277"/>
    </row>
    <row r="39" spans="6:27" ht="14.25" customHeight="1" thickBot="1" x14ac:dyDescent="0.9">
      <c r="G39" s="145"/>
      <c r="H39" s="401"/>
      <c r="J39" s="405" t="s">
        <v>948</v>
      </c>
      <c r="K39" s="406"/>
      <c r="L39" s="406"/>
      <c r="M39" s="406"/>
      <c r="N39" s="406"/>
      <c r="O39" s="292">
        <v>20</v>
      </c>
      <c r="P39" s="293"/>
      <c r="Q39" s="137" t="s">
        <v>944</v>
      </c>
      <c r="S39" s="164" t="s">
        <v>1063</v>
      </c>
      <c r="U39" s="277"/>
    </row>
    <row r="40" spans="6:27" ht="14.25" customHeight="1" x14ac:dyDescent="0.75">
      <c r="G40" s="145"/>
      <c r="H40" s="401"/>
      <c r="J40" s="170" t="s">
        <v>949</v>
      </c>
      <c r="K40" s="171"/>
      <c r="L40" s="171"/>
      <c r="M40" s="171"/>
      <c r="N40" s="171"/>
      <c r="O40" s="172">
        <v>5</v>
      </c>
      <c r="Q40" s="137" t="s">
        <v>947</v>
      </c>
      <c r="S40" s="165">
        <v>20</v>
      </c>
      <c r="U40" s="277"/>
    </row>
    <row r="41" spans="6:27" ht="14.65" customHeight="1" thickBot="1" x14ac:dyDescent="0.75">
      <c r="F41" s="145"/>
      <c r="G41" s="145"/>
      <c r="H41" s="401"/>
      <c r="J41" s="294" t="s">
        <v>950</v>
      </c>
      <c r="K41" s="295"/>
      <c r="L41" s="295"/>
      <c r="M41" s="295"/>
      <c r="N41" s="295"/>
      <c r="O41" s="173">
        <v>0.02</v>
      </c>
      <c r="Z41" s="296"/>
      <c r="AA41" s="296"/>
    </row>
    <row r="42" spans="6:27" ht="15" customHeight="1" x14ac:dyDescent="0.6">
      <c r="F42" s="145"/>
      <c r="G42" s="145"/>
      <c r="H42" s="401"/>
      <c r="J42" s="297" t="s">
        <v>951</v>
      </c>
      <c r="K42" s="298"/>
      <c r="L42" s="298"/>
      <c r="M42" s="298"/>
      <c r="N42" s="298"/>
      <c r="O42" s="177">
        <v>1</v>
      </c>
    </row>
    <row r="43" spans="6:27" ht="15" customHeight="1" x14ac:dyDescent="0.75">
      <c r="G43" s="145"/>
      <c r="H43" s="401"/>
      <c r="J43" s="299" t="s">
        <v>172</v>
      </c>
      <c r="K43" s="300" t="s">
        <v>952</v>
      </c>
      <c r="L43" s="407" t="s">
        <v>953</v>
      </c>
      <c r="M43" s="410" t="s">
        <v>954</v>
      </c>
      <c r="O43"/>
    </row>
    <row r="44" spans="6:27" ht="15" customHeight="1" x14ac:dyDescent="0.75">
      <c r="G44" s="145"/>
      <c r="H44" s="401"/>
      <c r="J44" s="301" t="s">
        <v>955</v>
      </c>
      <c r="K44" s="147" t="s">
        <v>956</v>
      </c>
      <c r="L44" s="408"/>
      <c r="M44" s="411"/>
      <c r="O44"/>
    </row>
    <row r="45" spans="6:27" ht="15" customHeight="1" x14ac:dyDescent="0.75">
      <c r="G45" s="145"/>
      <c r="H45" s="401"/>
      <c r="J45" s="301"/>
      <c r="K45" s="147"/>
      <c r="L45" s="408"/>
      <c r="M45" s="411"/>
      <c r="O45"/>
    </row>
    <row r="46" spans="6:27" ht="15" customHeight="1" x14ac:dyDescent="0.75">
      <c r="G46" s="145"/>
      <c r="H46" s="401"/>
      <c r="J46" s="301"/>
      <c r="K46" s="147"/>
      <c r="L46" s="409"/>
      <c r="M46" s="412"/>
      <c r="O46"/>
    </row>
    <row r="47" spans="6:27" ht="14.25" customHeight="1" x14ac:dyDescent="0.6">
      <c r="G47" s="145"/>
      <c r="H47" s="401"/>
      <c r="J47" s="182">
        <v>0</v>
      </c>
      <c r="K47" s="183">
        <v>1</v>
      </c>
      <c r="L47" s="183">
        <v>0.8</v>
      </c>
      <c r="M47" s="302">
        <v>0.19999999999999996</v>
      </c>
      <c r="O47" s="187"/>
    </row>
    <row r="48" spans="6:27" ht="14.25" customHeight="1" x14ac:dyDescent="0.6">
      <c r="G48" s="145"/>
      <c r="H48" s="401"/>
      <c r="J48" s="185">
        <v>1</v>
      </c>
      <c r="K48" s="186">
        <v>0</v>
      </c>
      <c r="L48" s="186">
        <v>0.8</v>
      </c>
      <c r="M48" s="303">
        <v>0.19999999999999996</v>
      </c>
      <c r="O48" s="187"/>
    </row>
    <row r="49" spans="7:42" ht="14.25" customHeight="1" thickBot="1" x14ac:dyDescent="0.75">
      <c r="G49" s="145"/>
      <c r="H49" s="401"/>
      <c r="J49" s="188">
        <v>2</v>
      </c>
      <c r="K49" s="189">
        <v>0</v>
      </c>
      <c r="L49" s="189">
        <v>0.8</v>
      </c>
      <c r="M49" s="304">
        <v>0.19999999999999996</v>
      </c>
    </row>
    <row r="50" spans="7:42" ht="14.25" customHeight="1" x14ac:dyDescent="0.6">
      <c r="G50" s="145"/>
      <c r="H50" s="401"/>
      <c r="J50" s="305"/>
      <c r="K50" s="305"/>
      <c r="L50" s="305"/>
      <c r="M50" s="305"/>
      <c r="N50" s="187"/>
      <c r="O50" s="296"/>
    </row>
    <row r="51" spans="7:42" ht="14.25" customHeight="1" x14ac:dyDescent="0.6">
      <c r="G51" s="145"/>
      <c r="H51" s="401"/>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6">
      <c r="G52" s="145"/>
      <c r="H52" s="401"/>
      <c r="J52" s="397" t="s">
        <v>957</v>
      </c>
      <c r="K52" s="192" t="s">
        <v>958</v>
      </c>
      <c r="L52" s="192" t="s">
        <v>959</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6">
      <c r="G53" s="145"/>
      <c r="H53" s="401"/>
      <c r="J53" s="397"/>
      <c r="K53" s="192" t="s">
        <v>960</v>
      </c>
      <c r="L53" s="192" t="s">
        <v>961</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6">
      <c r="G54" s="145"/>
      <c r="H54" s="401"/>
      <c r="J54" s="397"/>
      <c r="K54" s="192" t="s">
        <v>960</v>
      </c>
      <c r="L54" s="192" t="s">
        <v>962</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6">
      <c r="G55" s="145"/>
      <c r="H55" s="401"/>
      <c r="J55" s="397"/>
      <c r="K55" s="192" t="s">
        <v>960</v>
      </c>
      <c r="L55" s="192" t="s">
        <v>963</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75">
      <c r="G56" s="145"/>
      <c r="H56" s="401"/>
      <c r="J56" s="397"/>
      <c r="K56" s="192" t="s">
        <v>964</v>
      </c>
      <c r="L56" s="192" t="s">
        <v>961</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75">
      <c r="G57" s="145"/>
      <c r="H57" s="401"/>
      <c r="J57" s="397"/>
      <c r="K57" s="192" t="s">
        <v>964</v>
      </c>
      <c r="L57" s="192" t="s">
        <v>962</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75">
      <c r="G58" s="145"/>
      <c r="H58" s="401"/>
      <c r="J58" s="397"/>
      <c r="K58" s="192" t="s">
        <v>964</v>
      </c>
      <c r="L58" s="192" t="s">
        <v>963</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6">
      <c r="G59" s="145"/>
      <c r="H59" s="401"/>
      <c r="J59" s="397"/>
      <c r="K59" s="192" t="s">
        <v>965</v>
      </c>
      <c r="L59" s="192" t="s">
        <v>959</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6">
      <c r="G60" s="145"/>
      <c r="H60" s="401"/>
      <c r="J60" s="397"/>
      <c r="K60" s="192" t="s">
        <v>966</v>
      </c>
      <c r="L60" s="192" t="s">
        <v>961</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6">
      <c r="G61" s="145"/>
      <c r="H61" s="401"/>
      <c r="J61" s="397"/>
      <c r="K61" s="192" t="s">
        <v>966</v>
      </c>
      <c r="L61" s="192" t="s">
        <v>962</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6">
      <c r="G62" s="145"/>
      <c r="H62" s="401"/>
      <c r="J62" s="397"/>
      <c r="K62" s="192" t="s">
        <v>966</v>
      </c>
      <c r="L62" s="192" t="s">
        <v>963</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75">
      <c r="G63" s="145"/>
      <c r="H63" s="401"/>
      <c r="J63" s="397"/>
      <c r="K63" s="192" t="s">
        <v>967</v>
      </c>
      <c r="L63" s="192" t="s">
        <v>961</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75">
      <c r="G64" s="145"/>
      <c r="H64" s="401"/>
      <c r="J64" s="397"/>
      <c r="K64" s="192" t="s">
        <v>967</v>
      </c>
      <c r="L64" s="192" t="s">
        <v>962</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75">
      <c r="G65" s="145"/>
      <c r="H65" s="401"/>
      <c r="J65" s="397"/>
      <c r="K65" s="192" t="s">
        <v>967</v>
      </c>
      <c r="L65" s="192" t="s">
        <v>963</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6">
      <c r="G66" s="145"/>
      <c r="H66" s="401"/>
      <c r="J66" s="397"/>
      <c r="K66" s="192" t="s">
        <v>968</v>
      </c>
      <c r="L66" s="192" t="s">
        <v>961</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6">
      <c r="G67" s="145"/>
      <c r="H67" s="401"/>
      <c r="J67" s="397"/>
      <c r="K67" s="192" t="s">
        <v>968</v>
      </c>
      <c r="L67" s="192" t="s">
        <v>962</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6">
      <c r="G68" s="145"/>
      <c r="H68" s="401"/>
      <c r="J68" s="397"/>
      <c r="K68" s="192" t="s">
        <v>968</v>
      </c>
      <c r="L68" s="192" t="s">
        <v>963</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6">
      <c r="G69" s="145"/>
      <c r="H69" s="401"/>
      <c r="J69" s="397"/>
      <c r="K69" s="192" t="s">
        <v>969</v>
      </c>
      <c r="L69" s="192" t="s">
        <v>959</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6">
      <c r="G70" s="145"/>
      <c r="H70" s="401"/>
      <c r="J70" s="397"/>
      <c r="K70" s="192" t="s">
        <v>970</v>
      </c>
      <c r="L70" s="192" t="s">
        <v>961</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6">
      <c r="G71" s="145"/>
      <c r="H71" s="401"/>
      <c r="J71" s="397"/>
      <c r="K71" s="192" t="s">
        <v>970</v>
      </c>
      <c r="L71" s="192" t="s">
        <v>962</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6">
      <c r="G72" s="145"/>
      <c r="H72" s="401"/>
      <c r="J72" s="397"/>
      <c r="K72" s="192" t="s">
        <v>970</v>
      </c>
      <c r="L72" s="192" t="s">
        <v>963</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75">
      <c r="G73" s="145"/>
      <c r="H73" s="401"/>
      <c r="J73" s="397"/>
      <c r="K73" s="192" t="s">
        <v>971</v>
      </c>
      <c r="L73" s="192" t="s">
        <v>961</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75">
      <c r="G74" s="145"/>
      <c r="H74" s="401"/>
      <c r="J74" s="397"/>
      <c r="K74" s="192" t="s">
        <v>971</v>
      </c>
      <c r="L74" s="192" t="s">
        <v>962</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75">
      <c r="G75" s="145"/>
      <c r="H75" s="401"/>
      <c r="J75" s="397"/>
      <c r="K75" s="192" t="s">
        <v>971</v>
      </c>
      <c r="L75" s="192" t="s">
        <v>963</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6">
      <c r="G76" s="145"/>
      <c r="H76" s="401"/>
      <c r="J76" s="397"/>
      <c r="K76" s="196" t="s">
        <v>972</v>
      </c>
      <c r="L76" s="192" t="s">
        <v>961</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6">
      <c r="G77" s="145"/>
      <c r="H77" s="401"/>
      <c r="J77" s="397"/>
      <c r="K77" s="196" t="s">
        <v>972</v>
      </c>
      <c r="L77" s="192" t="s">
        <v>962</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6">
      <c r="G78" s="145"/>
      <c r="H78" s="401"/>
      <c r="J78" s="397"/>
      <c r="K78" s="196" t="s">
        <v>972</v>
      </c>
      <c r="L78" s="192" t="s">
        <v>963</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6">
      <c r="G79" s="145"/>
      <c r="H79" s="401"/>
      <c r="J79" s="397"/>
      <c r="K79" s="196" t="s">
        <v>973</v>
      </c>
      <c r="L79" s="192" t="s">
        <v>961</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6">
      <c r="G80" s="145"/>
      <c r="H80" s="401"/>
      <c r="J80" s="151"/>
      <c r="K80" s="196" t="s">
        <v>973</v>
      </c>
      <c r="L80" s="192" t="s">
        <v>962</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6">
      <c r="G81" s="145"/>
      <c r="H81" s="401"/>
      <c r="J81" s="151"/>
      <c r="K81" s="196" t="s">
        <v>973</v>
      </c>
      <c r="L81" s="192" t="s">
        <v>963</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6">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6">
      <c r="D84" s="143" t="s">
        <v>891</v>
      </c>
      <c r="G84" s="356" t="s">
        <v>974</v>
      </c>
      <c r="H84" s="356"/>
      <c r="I84" s="356"/>
      <c r="J84" s="356"/>
      <c r="K84" s="356"/>
      <c r="L84" s="356"/>
      <c r="M84" s="356"/>
      <c r="N84" s="356"/>
      <c r="O84" s="356"/>
      <c r="P84" s="356"/>
      <c r="Q84" s="356"/>
      <c r="R84" s="356"/>
      <c r="S84" s="356"/>
      <c r="T84" s="356"/>
      <c r="U84" s="356"/>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6">
      <c r="G85" s="145"/>
      <c r="M85" s="137" t="s">
        <v>975</v>
      </c>
      <c r="AA85" s="306"/>
      <c r="AB85" s="306"/>
      <c r="AC85" s="306"/>
      <c r="AD85" s="306"/>
      <c r="AP85" s="306"/>
      <c r="AQ85" s="306"/>
    </row>
    <row r="86" spans="4:44" ht="14.25" customHeight="1" x14ac:dyDescent="0.6">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6">
      <c r="G87" s="145"/>
      <c r="H87" s="398" t="s">
        <v>976</v>
      </c>
      <c r="J87" s="351" t="s">
        <v>977</v>
      </c>
      <c r="K87" s="201" t="s">
        <v>1036</v>
      </c>
      <c r="L87" s="201" t="s">
        <v>961</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6">
      <c r="G88" s="145"/>
      <c r="H88" s="398"/>
      <c r="J88" s="352"/>
      <c r="K88" s="142" t="s">
        <v>1036</v>
      </c>
      <c r="L88" s="192" t="s">
        <v>962</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75">
      <c r="G89" s="145"/>
      <c r="H89" s="398"/>
      <c r="J89" s="352"/>
      <c r="K89" s="203" t="s">
        <v>1036</v>
      </c>
      <c r="L89" s="203" t="s">
        <v>963</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6">
      <c r="G90" s="145"/>
      <c r="H90" s="398"/>
      <c r="J90" s="352"/>
      <c r="K90" s="201" t="s">
        <v>1038</v>
      </c>
      <c r="L90" s="201" t="s">
        <v>961</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6">
      <c r="G91" s="145"/>
      <c r="H91" s="398"/>
      <c r="J91" s="352"/>
      <c r="K91" s="142" t="s">
        <v>1038</v>
      </c>
      <c r="L91" s="192" t="s">
        <v>962</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75">
      <c r="G92" s="145"/>
      <c r="H92" s="398"/>
      <c r="J92" s="352"/>
      <c r="K92" s="203" t="s">
        <v>1038</v>
      </c>
      <c r="L92" s="203" t="s">
        <v>963</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6">
      <c r="G93" s="145"/>
      <c r="H93" s="398"/>
      <c r="J93" s="352"/>
      <c r="K93" s="201" t="s">
        <v>1039</v>
      </c>
      <c r="L93" s="201" t="s">
        <v>961</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6">
      <c r="G94" s="145"/>
      <c r="H94" s="398"/>
      <c r="J94" s="352"/>
      <c r="K94" s="142" t="s">
        <v>1039</v>
      </c>
      <c r="L94" s="192" t="s">
        <v>962</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75">
      <c r="G95" s="145"/>
      <c r="H95" s="398"/>
      <c r="J95" s="352"/>
      <c r="K95" s="203" t="s">
        <v>1039</v>
      </c>
      <c r="L95" s="203" t="s">
        <v>963</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6">
      <c r="G96" s="145"/>
      <c r="H96" s="398"/>
      <c r="J96" s="352"/>
      <c r="K96" s="201" t="s">
        <v>1040</v>
      </c>
      <c r="L96" s="201" t="s">
        <v>961</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6">
      <c r="G97" s="145"/>
      <c r="H97" s="398"/>
      <c r="J97" s="352"/>
      <c r="K97" s="142" t="s">
        <v>1040</v>
      </c>
      <c r="L97" s="192" t="s">
        <v>962</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75">
      <c r="G98" s="145"/>
      <c r="H98" s="398"/>
      <c r="J98" s="352"/>
      <c r="K98" s="203" t="s">
        <v>1040</v>
      </c>
      <c r="L98" s="203" t="s">
        <v>963</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6">
      <c r="G99" s="145"/>
      <c r="H99" s="398"/>
      <c r="J99" s="352"/>
      <c r="K99" s="201" t="s">
        <v>1041</v>
      </c>
      <c r="L99" s="201" t="s">
        <v>961</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6">
      <c r="G100" s="145"/>
      <c r="H100" s="398"/>
      <c r="J100" s="352"/>
      <c r="K100" s="142" t="s">
        <v>1041</v>
      </c>
      <c r="L100" s="192" t="s">
        <v>962</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75">
      <c r="G101" s="145"/>
      <c r="H101" s="398"/>
      <c r="J101" s="352"/>
      <c r="K101" s="203" t="s">
        <v>1041</v>
      </c>
      <c r="L101" s="203" t="s">
        <v>963</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6">
      <c r="G102" s="145"/>
      <c r="H102" s="398"/>
      <c r="J102" s="352"/>
      <c r="K102" s="201" t="s">
        <v>1042</v>
      </c>
      <c r="L102" s="201" t="s">
        <v>961</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6">
      <c r="G103" s="145"/>
      <c r="H103" s="398"/>
      <c r="J103" s="352"/>
      <c r="K103" s="142" t="s">
        <v>1042</v>
      </c>
      <c r="L103" s="192" t="s">
        <v>962</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75">
      <c r="G104" s="145"/>
      <c r="H104" s="398"/>
      <c r="J104" s="352"/>
      <c r="K104" s="203" t="s">
        <v>1042</v>
      </c>
      <c r="L104" s="203" t="s">
        <v>963</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6">
      <c r="G105" s="145"/>
      <c r="H105" s="398"/>
      <c r="J105" s="352"/>
      <c r="K105" s="201" t="s">
        <v>1043</v>
      </c>
      <c r="L105" s="201" t="s">
        <v>961</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6">
      <c r="G106" s="145"/>
      <c r="H106" s="398"/>
      <c r="J106" s="352"/>
      <c r="K106" s="142" t="s">
        <v>1043</v>
      </c>
      <c r="L106" s="192" t="s">
        <v>962</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75">
      <c r="G107" s="145"/>
      <c r="H107" s="398"/>
      <c r="J107" s="352"/>
      <c r="K107" s="203" t="s">
        <v>1043</v>
      </c>
      <c r="L107" s="203" t="s">
        <v>963</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6">
      <c r="G108" s="145"/>
      <c r="H108" s="398"/>
      <c r="J108" s="352"/>
      <c r="K108" s="201" t="s">
        <v>1044</v>
      </c>
      <c r="L108" s="201" t="s">
        <v>961</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6">
      <c r="G109" s="145"/>
      <c r="H109" s="398"/>
      <c r="J109" s="352"/>
      <c r="K109" s="142" t="s">
        <v>1044</v>
      </c>
      <c r="L109" s="192" t="s">
        <v>962</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75">
      <c r="G110" s="145"/>
      <c r="H110" s="398"/>
      <c r="J110" s="352"/>
      <c r="K110" s="203" t="s">
        <v>1044</v>
      </c>
      <c r="L110" s="203" t="s">
        <v>963</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6">
      <c r="G111" s="145"/>
      <c r="H111" s="398"/>
      <c r="J111" s="352"/>
      <c r="K111" s="201" t="s">
        <v>1045</v>
      </c>
      <c r="L111" s="201" t="s">
        <v>961</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6">
      <c r="G112" s="145"/>
      <c r="H112" s="398"/>
      <c r="J112" s="352"/>
      <c r="K112" s="142" t="s">
        <v>1045</v>
      </c>
      <c r="L112" s="192" t="s">
        <v>962</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75">
      <c r="G113" s="145"/>
      <c r="H113" s="398"/>
      <c r="J113" s="352"/>
      <c r="K113" s="203" t="s">
        <v>1045</v>
      </c>
      <c r="L113" s="203" t="s">
        <v>963</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6">
      <c r="G114" s="145"/>
      <c r="H114" s="398"/>
      <c r="J114" s="352"/>
      <c r="K114" s="201" t="s">
        <v>1046</v>
      </c>
      <c r="L114" s="201" t="s">
        <v>961</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6">
      <c r="G115" s="145"/>
      <c r="H115" s="398"/>
      <c r="J115" s="352"/>
      <c r="K115" s="142" t="s">
        <v>1046</v>
      </c>
      <c r="L115" s="192" t="s">
        <v>962</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75">
      <c r="G116" s="145"/>
      <c r="H116" s="398"/>
      <c r="J116" s="399"/>
      <c r="K116" s="203" t="s">
        <v>1046</v>
      </c>
      <c r="L116" s="203" t="s">
        <v>963</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6">
      <c r="G117" s="145"/>
      <c r="H117" s="398"/>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6">
      <c r="G118" s="145"/>
      <c r="H118" s="398"/>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6">
      <c r="G119" s="145"/>
      <c r="H119" s="398"/>
      <c r="J119" s="351" t="s">
        <v>978</v>
      </c>
      <c r="K119" s="201" t="s">
        <v>1036</v>
      </c>
      <c r="L119" s="201" t="s">
        <v>961</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6">
      <c r="G120" s="145"/>
      <c r="H120" s="398"/>
      <c r="J120" s="352"/>
      <c r="K120" s="142" t="s">
        <v>1036</v>
      </c>
      <c r="L120" s="192" t="s">
        <v>962</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75">
      <c r="G121" s="145"/>
      <c r="H121" s="398"/>
      <c r="J121" s="352"/>
      <c r="K121" s="203" t="s">
        <v>1036</v>
      </c>
      <c r="L121" s="203" t="s">
        <v>963</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6">
      <c r="G122" s="145"/>
      <c r="H122" s="398"/>
      <c r="J122" s="352"/>
      <c r="K122" s="201" t="s">
        <v>1038</v>
      </c>
      <c r="L122" s="201" t="s">
        <v>961</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6">
      <c r="G123" s="145"/>
      <c r="H123" s="398"/>
      <c r="J123" s="352"/>
      <c r="K123" s="142" t="s">
        <v>1038</v>
      </c>
      <c r="L123" s="192" t="s">
        <v>962</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75">
      <c r="G124" s="145"/>
      <c r="H124" s="398"/>
      <c r="J124" s="352"/>
      <c r="K124" s="203" t="s">
        <v>1038</v>
      </c>
      <c r="L124" s="203" t="s">
        <v>963</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6">
      <c r="G125" s="145"/>
      <c r="H125" s="398"/>
      <c r="J125" s="352"/>
      <c r="K125" s="201" t="s">
        <v>1039</v>
      </c>
      <c r="L125" s="201" t="s">
        <v>961</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6">
      <c r="G126" s="145"/>
      <c r="H126" s="398"/>
      <c r="J126" s="352"/>
      <c r="K126" s="142" t="s">
        <v>1039</v>
      </c>
      <c r="L126" s="192" t="s">
        <v>962</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75">
      <c r="G127" s="145"/>
      <c r="H127" s="398"/>
      <c r="J127" s="352"/>
      <c r="K127" s="203" t="s">
        <v>1039</v>
      </c>
      <c r="L127" s="203" t="s">
        <v>963</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6">
      <c r="G128" s="145"/>
      <c r="H128" s="398"/>
      <c r="J128" s="352"/>
      <c r="K128" s="201" t="s">
        <v>1040</v>
      </c>
      <c r="L128" s="201" t="s">
        <v>961</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6">
      <c r="G129" s="145"/>
      <c r="H129" s="398"/>
      <c r="J129" s="352"/>
      <c r="K129" s="142" t="s">
        <v>1040</v>
      </c>
      <c r="L129" s="192" t="s">
        <v>962</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75">
      <c r="G130" s="145"/>
      <c r="H130" s="398"/>
      <c r="J130" s="352"/>
      <c r="K130" s="203" t="s">
        <v>1040</v>
      </c>
      <c r="L130" s="203" t="s">
        <v>963</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6">
      <c r="G131" s="145"/>
      <c r="H131" s="398"/>
      <c r="J131" s="352"/>
      <c r="K131" s="201" t="s">
        <v>1041</v>
      </c>
      <c r="L131" s="201" t="s">
        <v>961</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6">
      <c r="G132" s="145"/>
      <c r="H132" s="398"/>
      <c r="J132" s="352"/>
      <c r="K132" s="142" t="s">
        <v>1041</v>
      </c>
      <c r="L132" s="192" t="s">
        <v>962</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75">
      <c r="G133" s="145"/>
      <c r="H133" s="398"/>
      <c r="J133" s="352"/>
      <c r="K133" s="203" t="s">
        <v>1041</v>
      </c>
      <c r="L133" s="203" t="s">
        <v>963</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6">
      <c r="G134" s="145"/>
      <c r="H134" s="398"/>
      <c r="J134" s="352"/>
      <c r="K134" s="201" t="s">
        <v>1042</v>
      </c>
      <c r="L134" s="201" t="s">
        <v>961</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6">
      <c r="G135" s="145"/>
      <c r="H135" s="398"/>
      <c r="J135" s="352"/>
      <c r="K135" s="142" t="s">
        <v>1042</v>
      </c>
      <c r="L135" s="192" t="s">
        <v>962</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75">
      <c r="G136" s="145"/>
      <c r="H136" s="398"/>
      <c r="J136" s="352"/>
      <c r="K136" s="203" t="s">
        <v>1042</v>
      </c>
      <c r="L136" s="203" t="s">
        <v>963</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6">
      <c r="G137" s="145"/>
      <c r="H137" s="398"/>
      <c r="J137" s="352"/>
      <c r="K137" s="201" t="s">
        <v>1043</v>
      </c>
      <c r="L137" s="201" t="s">
        <v>961</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6">
      <c r="G138" s="145"/>
      <c r="H138" s="398"/>
      <c r="J138" s="352"/>
      <c r="K138" s="142" t="s">
        <v>1043</v>
      </c>
      <c r="L138" s="192" t="s">
        <v>962</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75">
      <c r="G139" s="145"/>
      <c r="H139" s="398"/>
      <c r="J139" s="352"/>
      <c r="K139" s="203" t="s">
        <v>1043</v>
      </c>
      <c r="L139" s="203" t="s">
        <v>963</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6">
      <c r="G140" s="145"/>
      <c r="H140" s="398"/>
      <c r="J140" s="352"/>
      <c r="K140" s="201" t="s">
        <v>1044</v>
      </c>
      <c r="L140" s="201" t="s">
        <v>961</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6">
      <c r="G141" s="145"/>
      <c r="H141" s="398"/>
      <c r="J141" s="352"/>
      <c r="K141" s="142" t="s">
        <v>1044</v>
      </c>
      <c r="L141" s="192" t="s">
        <v>962</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75">
      <c r="G142" s="145"/>
      <c r="H142" s="398"/>
      <c r="J142" s="352"/>
      <c r="K142" s="203" t="s">
        <v>1044</v>
      </c>
      <c r="L142" s="203" t="s">
        <v>963</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6">
      <c r="G143" s="145"/>
      <c r="H143" s="398"/>
      <c r="J143" s="352"/>
      <c r="K143" s="201" t="s">
        <v>1045</v>
      </c>
      <c r="L143" s="201" t="s">
        <v>961</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6">
      <c r="G144" s="145"/>
      <c r="H144" s="398"/>
      <c r="J144" s="352"/>
      <c r="K144" s="142" t="s">
        <v>1045</v>
      </c>
      <c r="L144" s="192" t="s">
        <v>962</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75">
      <c r="G145" s="145"/>
      <c r="H145" s="398"/>
      <c r="J145" s="352"/>
      <c r="K145" s="203" t="s">
        <v>1045</v>
      </c>
      <c r="L145" s="203" t="s">
        <v>963</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6">
      <c r="G146" s="145"/>
      <c r="H146" s="398"/>
      <c r="J146" s="352"/>
      <c r="K146" s="201" t="s">
        <v>1046</v>
      </c>
      <c r="L146" s="201" t="s">
        <v>961</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6">
      <c r="G147" s="145"/>
      <c r="H147" s="398"/>
      <c r="J147" s="352"/>
      <c r="K147" s="142" t="s">
        <v>1046</v>
      </c>
      <c r="L147" s="192" t="s">
        <v>962</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75">
      <c r="G148" s="145"/>
      <c r="H148" s="398"/>
      <c r="J148" s="399"/>
      <c r="K148" s="203" t="s">
        <v>1046</v>
      </c>
      <c r="L148" s="203" t="s">
        <v>963</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6">
      <c r="G149" s="145"/>
      <c r="H149" s="398"/>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6">
      <c r="G150" s="145"/>
      <c r="H150" s="398"/>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6">
      <c r="G151" s="145"/>
      <c r="H151" s="398"/>
      <c r="J151" s="351" t="s">
        <v>979</v>
      </c>
      <c r="K151" s="201" t="s">
        <v>1036</v>
      </c>
      <c r="L151" s="201" t="s">
        <v>961</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6">
      <c r="G152" s="145"/>
      <c r="H152" s="398"/>
      <c r="J152" s="352"/>
      <c r="K152" s="142" t="s">
        <v>1036</v>
      </c>
      <c r="L152" s="192" t="s">
        <v>962</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75">
      <c r="G153" s="145"/>
      <c r="H153" s="398"/>
      <c r="J153" s="352"/>
      <c r="K153" s="203" t="s">
        <v>1036</v>
      </c>
      <c r="L153" s="203" t="s">
        <v>963</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6">
      <c r="G154" s="145"/>
      <c r="H154" s="398"/>
      <c r="J154" s="352"/>
      <c r="K154" s="201" t="s">
        <v>1038</v>
      </c>
      <c r="L154" s="201" t="s">
        <v>961</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6">
      <c r="G155" s="145"/>
      <c r="H155" s="398"/>
      <c r="J155" s="352"/>
      <c r="K155" s="142" t="s">
        <v>1038</v>
      </c>
      <c r="L155" s="192" t="s">
        <v>962</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75">
      <c r="G156" s="145"/>
      <c r="H156" s="398"/>
      <c r="J156" s="352"/>
      <c r="K156" s="203" t="s">
        <v>1038</v>
      </c>
      <c r="L156" s="203" t="s">
        <v>963</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75">
      <c r="G157" s="145"/>
      <c r="H157" s="398"/>
      <c r="J157" s="352"/>
      <c r="K157" s="201" t="s">
        <v>1039</v>
      </c>
      <c r="L157" s="201" t="s">
        <v>961</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75">
      <c r="A158" s="137"/>
      <c r="B158" s="137"/>
      <c r="C158" s="137"/>
      <c r="D158" s="137"/>
      <c r="E158" s="137"/>
      <c r="F158" s="137"/>
      <c r="G158" s="145"/>
      <c r="H158" s="398"/>
      <c r="I158" s="137"/>
      <c r="J158" s="352"/>
      <c r="K158" s="142" t="s">
        <v>1039</v>
      </c>
      <c r="L158" s="192" t="s">
        <v>962</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75">
      <c r="A159" s="137"/>
      <c r="B159" s="137"/>
      <c r="C159" s="137"/>
      <c r="D159" s="137"/>
      <c r="E159" s="137"/>
      <c r="F159" s="137"/>
      <c r="G159" s="145"/>
      <c r="H159" s="398"/>
      <c r="I159" s="137"/>
      <c r="J159" s="352"/>
      <c r="K159" s="203" t="s">
        <v>1039</v>
      </c>
      <c r="L159" s="203" t="s">
        <v>963</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75">
      <c r="G160" s="145"/>
      <c r="H160" s="398"/>
      <c r="J160" s="352"/>
      <c r="K160" s="201" t="s">
        <v>1040</v>
      </c>
      <c r="L160" s="201" t="s">
        <v>961</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75">
      <c r="A161" s="137"/>
      <c r="B161" s="137"/>
      <c r="C161" s="137"/>
      <c r="D161" s="137"/>
      <c r="E161" s="137"/>
      <c r="F161" s="137"/>
      <c r="G161" s="145"/>
      <c r="H161" s="398"/>
      <c r="I161" s="137"/>
      <c r="J161" s="352"/>
      <c r="K161" s="142" t="s">
        <v>1040</v>
      </c>
      <c r="L161" s="192" t="s">
        <v>962</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75">
      <c r="A162" s="137"/>
      <c r="B162" s="137"/>
      <c r="C162" s="137"/>
      <c r="D162" s="137"/>
      <c r="E162" s="137"/>
      <c r="F162" s="137"/>
      <c r="G162" s="145"/>
      <c r="H162" s="398"/>
      <c r="I162" s="137"/>
      <c r="J162" s="352"/>
      <c r="K162" s="203" t="s">
        <v>1040</v>
      </c>
      <c r="L162" s="203" t="s">
        <v>963</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75">
      <c r="G163" s="145"/>
      <c r="H163" s="398"/>
      <c r="J163" s="352"/>
      <c r="K163" s="201" t="s">
        <v>1041</v>
      </c>
      <c r="L163" s="201" t="s">
        <v>961</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75">
      <c r="A164" s="137"/>
      <c r="B164" s="137"/>
      <c r="C164" s="137"/>
      <c r="D164" s="137"/>
      <c r="E164" s="137"/>
      <c r="F164" s="137"/>
      <c r="G164" s="145"/>
      <c r="H164" s="398"/>
      <c r="I164" s="137"/>
      <c r="J164" s="352"/>
      <c r="K164" s="142" t="s">
        <v>1041</v>
      </c>
      <c r="L164" s="192" t="s">
        <v>962</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75">
      <c r="A165" s="137"/>
      <c r="B165" s="137"/>
      <c r="C165" s="137"/>
      <c r="D165" s="137"/>
      <c r="E165" s="137"/>
      <c r="F165" s="137"/>
      <c r="G165" s="145"/>
      <c r="H165" s="398"/>
      <c r="I165" s="137"/>
      <c r="J165" s="352"/>
      <c r="K165" s="203" t="s">
        <v>1041</v>
      </c>
      <c r="L165" s="203" t="s">
        <v>963</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6">
      <c r="G166" s="145"/>
      <c r="H166" s="398"/>
      <c r="J166" s="352"/>
      <c r="K166" s="201" t="s">
        <v>1042</v>
      </c>
      <c r="L166" s="201" t="s">
        <v>961</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6">
      <c r="G167" s="145"/>
      <c r="H167" s="398"/>
      <c r="J167" s="352"/>
      <c r="K167" s="142" t="s">
        <v>1042</v>
      </c>
      <c r="L167" s="192" t="s">
        <v>962</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75">
      <c r="G168" s="145"/>
      <c r="H168" s="398"/>
      <c r="J168" s="352"/>
      <c r="K168" s="203" t="s">
        <v>1042</v>
      </c>
      <c r="L168" s="203" t="s">
        <v>963</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6">
      <c r="G169" s="145"/>
      <c r="H169" s="398"/>
      <c r="J169" s="352"/>
      <c r="K169" s="201" t="s">
        <v>1043</v>
      </c>
      <c r="L169" s="201" t="s">
        <v>961</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6">
      <c r="G170" s="145"/>
      <c r="H170" s="398"/>
      <c r="J170" s="352"/>
      <c r="K170" s="142" t="s">
        <v>1043</v>
      </c>
      <c r="L170" s="192" t="s">
        <v>962</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75">
      <c r="G171" s="145"/>
      <c r="H171" s="398"/>
      <c r="J171" s="352"/>
      <c r="K171" s="203" t="s">
        <v>1043</v>
      </c>
      <c r="L171" s="203" t="s">
        <v>963</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75">
      <c r="G172" s="145"/>
      <c r="H172" s="398"/>
      <c r="J172" s="352"/>
      <c r="K172" s="201" t="s">
        <v>1044</v>
      </c>
      <c r="L172" s="201" t="s">
        <v>961</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75">
      <c r="A173" s="137"/>
      <c r="B173" s="137"/>
      <c r="C173" s="137"/>
      <c r="D173" s="137"/>
      <c r="E173" s="137"/>
      <c r="F173" s="137"/>
      <c r="G173" s="145"/>
      <c r="H173" s="398"/>
      <c r="I173" s="137"/>
      <c r="J173" s="352"/>
      <c r="K173" s="142" t="s">
        <v>1044</v>
      </c>
      <c r="L173" s="192" t="s">
        <v>962</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75">
      <c r="A174" s="137"/>
      <c r="B174" s="137"/>
      <c r="C174" s="137"/>
      <c r="D174" s="137"/>
      <c r="E174" s="137"/>
      <c r="F174" s="137"/>
      <c r="G174" s="145"/>
      <c r="H174" s="398"/>
      <c r="I174" s="137"/>
      <c r="J174" s="352"/>
      <c r="K174" s="203" t="s">
        <v>1044</v>
      </c>
      <c r="L174" s="203" t="s">
        <v>963</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75">
      <c r="G175" s="145"/>
      <c r="H175" s="398"/>
      <c r="J175" s="352"/>
      <c r="K175" s="201" t="s">
        <v>1045</v>
      </c>
      <c r="L175" s="201" t="s">
        <v>961</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75">
      <c r="A176" s="137"/>
      <c r="B176" s="137"/>
      <c r="C176" s="137"/>
      <c r="D176" s="137"/>
      <c r="E176" s="137"/>
      <c r="F176" s="137"/>
      <c r="G176" s="145"/>
      <c r="H176" s="398"/>
      <c r="I176" s="137"/>
      <c r="J176" s="352"/>
      <c r="K176" s="142" t="s">
        <v>1045</v>
      </c>
      <c r="L176" s="192" t="s">
        <v>962</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75">
      <c r="A177" s="137"/>
      <c r="B177" s="137"/>
      <c r="C177" s="137"/>
      <c r="D177" s="137"/>
      <c r="E177" s="137"/>
      <c r="F177" s="137"/>
      <c r="G177" s="145"/>
      <c r="H177" s="398"/>
      <c r="I177" s="137"/>
      <c r="J177" s="352"/>
      <c r="K177" s="203" t="s">
        <v>1045</v>
      </c>
      <c r="L177" s="203" t="s">
        <v>963</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75">
      <c r="G178" s="145"/>
      <c r="H178" s="398"/>
      <c r="J178" s="352"/>
      <c r="K178" s="201" t="s">
        <v>1046</v>
      </c>
      <c r="L178" s="201" t="s">
        <v>961</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75">
      <c r="A179" s="137"/>
      <c r="B179" s="137"/>
      <c r="C179" s="137"/>
      <c r="D179" s="137"/>
      <c r="E179" s="137"/>
      <c r="F179" s="137"/>
      <c r="G179" s="145"/>
      <c r="H179" s="398"/>
      <c r="I179" s="137"/>
      <c r="J179" s="352"/>
      <c r="K179" s="142" t="s">
        <v>1046</v>
      </c>
      <c r="L179" s="192" t="s">
        <v>962</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75">
      <c r="A180" s="137"/>
      <c r="B180" s="137"/>
      <c r="C180" s="137"/>
      <c r="D180" s="137"/>
      <c r="E180" s="137"/>
      <c r="F180" s="137"/>
      <c r="G180" s="145"/>
      <c r="H180" s="398"/>
      <c r="I180" s="137"/>
      <c r="J180" s="399"/>
      <c r="K180" s="203" t="s">
        <v>1046</v>
      </c>
      <c r="L180" s="203" t="s">
        <v>963</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75">
      <c r="G181" s="145"/>
      <c r="H181" s="398"/>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75">
      <c r="G182" s="145"/>
      <c r="H182" s="398"/>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6">
      <c r="G183" s="145"/>
      <c r="H183" s="398"/>
      <c r="J183" s="351" t="s">
        <v>980</v>
      </c>
      <c r="K183" s="201" t="s">
        <v>1036</v>
      </c>
      <c r="L183" s="201" t="s">
        <v>961</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6">
      <c r="G184" s="145"/>
      <c r="H184" s="398"/>
      <c r="J184" s="352"/>
      <c r="K184" s="142" t="s">
        <v>1036</v>
      </c>
      <c r="L184" s="192" t="s">
        <v>962</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75">
      <c r="G185" s="145"/>
      <c r="H185" s="398"/>
      <c r="J185" s="352"/>
      <c r="K185" s="203" t="s">
        <v>1036</v>
      </c>
      <c r="L185" s="203" t="s">
        <v>963</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75">
      <c r="G186" s="145"/>
      <c r="H186" s="398"/>
      <c r="J186" s="352"/>
      <c r="K186" s="201" t="s">
        <v>1038</v>
      </c>
      <c r="L186" s="201" t="s">
        <v>961</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6">
      <c r="G187" s="145"/>
      <c r="H187" s="398"/>
      <c r="J187" s="352"/>
      <c r="K187" s="142" t="s">
        <v>1038</v>
      </c>
      <c r="L187" s="192" t="s">
        <v>962</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75">
      <c r="G188" s="145"/>
      <c r="H188" s="398"/>
      <c r="J188" s="352"/>
      <c r="K188" s="203" t="s">
        <v>1038</v>
      </c>
      <c r="L188" s="203" t="s">
        <v>963</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75">
      <c r="G189" s="145"/>
      <c r="H189" s="398"/>
      <c r="J189" s="352"/>
      <c r="K189" s="201" t="s">
        <v>1039</v>
      </c>
      <c r="L189" s="201" t="s">
        <v>961</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75">
      <c r="A190" s="137"/>
      <c r="B190" s="137"/>
      <c r="C190" s="137"/>
      <c r="D190" s="137"/>
      <c r="E190" s="137"/>
      <c r="F190" s="137"/>
      <c r="G190" s="145"/>
      <c r="H190" s="398"/>
      <c r="I190" s="137"/>
      <c r="J190" s="352"/>
      <c r="K190" s="142" t="s">
        <v>1039</v>
      </c>
      <c r="L190" s="192" t="s">
        <v>962</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75">
      <c r="A191" s="137"/>
      <c r="B191" s="137"/>
      <c r="C191" s="137"/>
      <c r="D191" s="137"/>
      <c r="E191" s="137"/>
      <c r="F191" s="137"/>
      <c r="G191" s="145"/>
      <c r="H191" s="398"/>
      <c r="I191" s="137"/>
      <c r="J191" s="352"/>
      <c r="K191" s="203" t="s">
        <v>1039</v>
      </c>
      <c r="L191" s="203" t="s">
        <v>963</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75">
      <c r="G192" s="145"/>
      <c r="H192" s="398"/>
      <c r="J192" s="352"/>
      <c r="K192" s="201" t="s">
        <v>1040</v>
      </c>
      <c r="L192" s="201" t="s">
        <v>961</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75">
      <c r="A193" s="137"/>
      <c r="B193" s="137"/>
      <c r="C193" s="137"/>
      <c r="D193" s="137"/>
      <c r="E193" s="137"/>
      <c r="F193" s="137"/>
      <c r="G193" s="145"/>
      <c r="H193" s="398"/>
      <c r="I193" s="137"/>
      <c r="J193" s="352"/>
      <c r="K193" s="142" t="s">
        <v>1040</v>
      </c>
      <c r="L193" s="192" t="s">
        <v>962</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75">
      <c r="A194" s="137"/>
      <c r="B194" s="137"/>
      <c r="C194" s="137"/>
      <c r="D194" s="137"/>
      <c r="E194" s="137"/>
      <c r="F194" s="137"/>
      <c r="G194" s="145"/>
      <c r="H194" s="398"/>
      <c r="I194" s="137"/>
      <c r="J194" s="352"/>
      <c r="K194" s="203" t="s">
        <v>1040</v>
      </c>
      <c r="L194" s="203" t="s">
        <v>963</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6">
      <c r="G195" s="145"/>
      <c r="H195" s="398"/>
      <c r="J195" s="352"/>
      <c r="K195" s="201" t="s">
        <v>1041</v>
      </c>
      <c r="L195" s="201" t="s">
        <v>961</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6">
      <c r="G196" s="145"/>
      <c r="H196" s="398"/>
      <c r="J196" s="352"/>
      <c r="K196" s="142" t="s">
        <v>1041</v>
      </c>
      <c r="L196" s="192" t="s">
        <v>962</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75">
      <c r="G197" s="145"/>
      <c r="H197" s="398"/>
      <c r="J197" s="352"/>
      <c r="K197" s="203" t="s">
        <v>1041</v>
      </c>
      <c r="L197" s="203" t="s">
        <v>963</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6">
      <c r="G198" s="145"/>
      <c r="H198" s="398"/>
      <c r="J198" s="352"/>
      <c r="K198" s="201" t="s">
        <v>1042</v>
      </c>
      <c r="L198" s="201" t="s">
        <v>961</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6">
      <c r="G199" s="145"/>
      <c r="H199" s="398"/>
      <c r="J199" s="352"/>
      <c r="K199" s="142" t="s">
        <v>1042</v>
      </c>
      <c r="L199" s="192" t="s">
        <v>962</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75">
      <c r="G200" s="145"/>
      <c r="H200" s="398"/>
      <c r="J200" s="352"/>
      <c r="K200" s="203" t="s">
        <v>1042</v>
      </c>
      <c r="L200" s="203" t="s">
        <v>963</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75">
      <c r="G201" s="145"/>
      <c r="H201" s="398"/>
      <c r="J201" s="352"/>
      <c r="K201" s="201" t="s">
        <v>1043</v>
      </c>
      <c r="L201" s="201" t="s">
        <v>961</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6">
      <c r="G202" s="145"/>
      <c r="H202" s="398"/>
      <c r="J202" s="352"/>
      <c r="K202" s="142" t="s">
        <v>1043</v>
      </c>
      <c r="L202" s="192" t="s">
        <v>962</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75">
      <c r="G203" s="145"/>
      <c r="H203" s="398"/>
      <c r="J203" s="352"/>
      <c r="K203" s="203" t="s">
        <v>1043</v>
      </c>
      <c r="L203" s="203" t="s">
        <v>963</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75">
      <c r="G204" s="145"/>
      <c r="H204" s="398"/>
      <c r="J204" s="352"/>
      <c r="K204" s="201" t="s">
        <v>1044</v>
      </c>
      <c r="L204" s="201" t="s">
        <v>961</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75">
      <c r="A205" s="137"/>
      <c r="B205" s="137"/>
      <c r="C205" s="137"/>
      <c r="D205" s="137"/>
      <c r="E205" s="137"/>
      <c r="F205" s="137"/>
      <c r="G205" s="145"/>
      <c r="H205" s="398"/>
      <c r="I205" s="137"/>
      <c r="J205" s="352"/>
      <c r="K205" s="142" t="s">
        <v>1044</v>
      </c>
      <c r="L205" s="192" t="s">
        <v>962</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75">
      <c r="A206" s="137"/>
      <c r="B206" s="137"/>
      <c r="C206" s="137"/>
      <c r="D206" s="137"/>
      <c r="E206" s="137"/>
      <c r="F206" s="137"/>
      <c r="G206" s="145"/>
      <c r="H206" s="398"/>
      <c r="I206" s="137"/>
      <c r="J206" s="352"/>
      <c r="K206" s="203" t="s">
        <v>1044</v>
      </c>
      <c r="L206" s="203" t="s">
        <v>963</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75">
      <c r="G207" s="145"/>
      <c r="H207" s="398"/>
      <c r="J207" s="352"/>
      <c r="K207" s="201" t="s">
        <v>1045</v>
      </c>
      <c r="L207" s="201" t="s">
        <v>961</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75">
      <c r="A208" s="137"/>
      <c r="B208" s="137"/>
      <c r="C208" s="137"/>
      <c r="D208" s="137"/>
      <c r="E208" s="137"/>
      <c r="F208" s="137"/>
      <c r="G208" s="145"/>
      <c r="H208" s="398"/>
      <c r="I208" s="137"/>
      <c r="J208" s="352"/>
      <c r="K208" s="142" t="s">
        <v>1045</v>
      </c>
      <c r="L208" s="192" t="s">
        <v>962</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75">
      <c r="A209" s="137"/>
      <c r="B209" s="137"/>
      <c r="C209" s="137"/>
      <c r="D209" s="137"/>
      <c r="E209" s="137"/>
      <c r="F209" s="137"/>
      <c r="G209" s="145"/>
      <c r="H209" s="398"/>
      <c r="I209" s="137"/>
      <c r="J209" s="352"/>
      <c r="K209" s="203" t="s">
        <v>1045</v>
      </c>
      <c r="L209" s="203" t="s">
        <v>963</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6">
      <c r="G210" s="145"/>
      <c r="H210" s="398"/>
      <c r="J210" s="352"/>
      <c r="K210" s="201" t="s">
        <v>1046</v>
      </c>
      <c r="L210" s="201" t="s">
        <v>961</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6">
      <c r="G211" s="145"/>
      <c r="H211" s="398"/>
      <c r="J211" s="352"/>
      <c r="K211" s="142" t="s">
        <v>1046</v>
      </c>
      <c r="L211" s="192" t="s">
        <v>962</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75">
      <c r="G212" s="145"/>
      <c r="H212" s="398"/>
      <c r="J212" s="399"/>
      <c r="K212" s="203" t="s">
        <v>1046</v>
      </c>
      <c r="L212" s="203" t="s">
        <v>963</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6">
      <c r="G213" s="145"/>
      <c r="H213" s="398"/>
      <c r="J213" s="208"/>
      <c r="K213" s="142"/>
      <c r="L213" s="142"/>
    </row>
    <row r="214" spans="1:89" ht="14.25" customHeight="1" x14ac:dyDescent="0.6">
      <c r="G214" s="145"/>
      <c r="H214" s="398"/>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6">
      <c r="G215" s="145"/>
      <c r="H215" s="398"/>
      <c r="J215" s="351" t="s">
        <v>981</v>
      </c>
      <c r="K215" s="201" t="s">
        <v>1036</v>
      </c>
      <c r="L215" s="201" t="s">
        <v>961</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6">
      <c r="G216" s="145"/>
      <c r="H216" s="398"/>
      <c r="J216" s="352"/>
      <c r="K216" s="142" t="s">
        <v>1036</v>
      </c>
      <c r="L216" s="192" t="s">
        <v>962</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75">
      <c r="G217" s="145"/>
      <c r="H217" s="398"/>
      <c r="J217" s="352"/>
      <c r="K217" s="203" t="s">
        <v>1036</v>
      </c>
      <c r="L217" s="203" t="s">
        <v>963</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6">
      <c r="G218" s="145"/>
      <c r="H218" s="398"/>
      <c r="J218" s="352"/>
      <c r="K218" s="201" t="s">
        <v>1038</v>
      </c>
      <c r="L218" s="201" t="s">
        <v>961</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75">
      <c r="G219" s="145"/>
      <c r="H219" s="398"/>
      <c r="J219" s="352"/>
      <c r="K219" s="142" t="s">
        <v>1038</v>
      </c>
      <c r="L219" s="192" t="s">
        <v>962</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75">
      <c r="G220" s="145"/>
      <c r="H220" s="398"/>
      <c r="J220" s="352"/>
      <c r="K220" s="203" t="s">
        <v>1038</v>
      </c>
      <c r="L220" s="203" t="s">
        <v>963</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75">
      <c r="G221" s="145"/>
      <c r="H221" s="398"/>
      <c r="J221" s="352"/>
      <c r="K221" s="201" t="s">
        <v>1039</v>
      </c>
      <c r="L221" s="201" t="s">
        <v>961</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75">
      <c r="A222" s="137"/>
      <c r="B222" s="137"/>
      <c r="C222" s="137"/>
      <c r="D222" s="137"/>
      <c r="E222" s="137"/>
      <c r="F222" s="137"/>
      <c r="G222" s="145"/>
      <c r="H222" s="398"/>
      <c r="I222" s="137"/>
      <c r="J222" s="352"/>
      <c r="K222" s="142" t="s">
        <v>1039</v>
      </c>
      <c r="L222" s="192" t="s">
        <v>962</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75">
      <c r="A223" s="137"/>
      <c r="B223" s="137"/>
      <c r="C223" s="137"/>
      <c r="D223" s="137"/>
      <c r="E223" s="137"/>
      <c r="F223" s="137"/>
      <c r="G223" s="145"/>
      <c r="H223" s="398"/>
      <c r="I223" s="137"/>
      <c r="J223" s="352"/>
      <c r="K223" s="203" t="s">
        <v>1039</v>
      </c>
      <c r="L223" s="203" t="s">
        <v>963</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75">
      <c r="G224" s="145"/>
      <c r="H224" s="398"/>
      <c r="J224" s="352"/>
      <c r="K224" s="201" t="s">
        <v>1040</v>
      </c>
      <c r="L224" s="201" t="s">
        <v>961</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75">
      <c r="A225" s="137"/>
      <c r="B225" s="137"/>
      <c r="C225" s="137"/>
      <c r="D225" s="137"/>
      <c r="E225" s="137"/>
      <c r="F225" s="137"/>
      <c r="G225" s="145"/>
      <c r="H225" s="398"/>
      <c r="I225" s="137"/>
      <c r="J225" s="352"/>
      <c r="K225" s="142" t="s">
        <v>1040</v>
      </c>
      <c r="L225" s="192" t="s">
        <v>962</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75">
      <c r="A226" s="137"/>
      <c r="B226" s="137"/>
      <c r="C226" s="137"/>
      <c r="D226" s="137"/>
      <c r="E226" s="137"/>
      <c r="F226" s="137"/>
      <c r="G226" s="145"/>
      <c r="H226" s="398"/>
      <c r="I226" s="137"/>
      <c r="J226" s="352"/>
      <c r="K226" s="203" t="s">
        <v>1040</v>
      </c>
      <c r="L226" s="203" t="s">
        <v>963</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75">
      <c r="G227" s="145"/>
      <c r="H227" s="398"/>
      <c r="J227" s="352"/>
      <c r="K227" s="201" t="s">
        <v>1041</v>
      </c>
      <c r="L227" s="201" t="s">
        <v>961</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75">
      <c r="G228" s="145"/>
      <c r="H228" s="398"/>
      <c r="J228" s="352"/>
      <c r="K228" s="142" t="s">
        <v>1041</v>
      </c>
      <c r="L228" s="192" t="s">
        <v>962</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9">
      <c r="G229" s="145"/>
      <c r="H229" s="398"/>
      <c r="J229" s="352"/>
      <c r="K229" s="203" t="s">
        <v>1041</v>
      </c>
      <c r="L229" s="203" t="s">
        <v>963</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6">
      <c r="G230" s="145"/>
      <c r="H230" s="398"/>
      <c r="J230" s="352"/>
      <c r="K230" s="201" t="s">
        <v>1042</v>
      </c>
      <c r="L230" s="201" t="s">
        <v>961</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6">
      <c r="G231" s="145"/>
      <c r="H231" s="398"/>
      <c r="J231" s="352"/>
      <c r="K231" s="142" t="s">
        <v>1042</v>
      </c>
      <c r="L231" s="192" t="s">
        <v>962</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75">
      <c r="G232" s="145"/>
      <c r="H232" s="398"/>
      <c r="J232" s="352"/>
      <c r="K232" s="203" t="s">
        <v>1042</v>
      </c>
      <c r="L232" s="203" t="s">
        <v>963</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6">
      <c r="G233" s="145"/>
      <c r="H233" s="398"/>
      <c r="J233" s="352"/>
      <c r="K233" s="201" t="s">
        <v>1043</v>
      </c>
      <c r="L233" s="201" t="s">
        <v>961</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75">
      <c r="G234" s="145"/>
      <c r="H234" s="398"/>
      <c r="J234" s="352"/>
      <c r="K234" s="142" t="s">
        <v>1043</v>
      </c>
      <c r="L234" s="192" t="s">
        <v>962</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75">
      <c r="G235" s="145"/>
      <c r="H235" s="398"/>
      <c r="J235" s="352"/>
      <c r="K235" s="203" t="s">
        <v>1043</v>
      </c>
      <c r="L235" s="203" t="s">
        <v>963</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75">
      <c r="G236" s="145"/>
      <c r="H236" s="398"/>
      <c r="J236" s="352"/>
      <c r="K236" s="201" t="s">
        <v>1044</v>
      </c>
      <c r="L236" s="201" t="s">
        <v>961</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75">
      <c r="A237" s="137"/>
      <c r="B237" s="137"/>
      <c r="C237" s="137"/>
      <c r="D237" s="137"/>
      <c r="E237" s="137"/>
      <c r="F237" s="137"/>
      <c r="G237" s="145"/>
      <c r="H237" s="398"/>
      <c r="I237" s="137"/>
      <c r="J237" s="352"/>
      <c r="K237" s="142" t="s">
        <v>1044</v>
      </c>
      <c r="L237" s="192" t="s">
        <v>962</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75">
      <c r="A238" s="137"/>
      <c r="B238" s="137"/>
      <c r="C238" s="137"/>
      <c r="D238" s="137"/>
      <c r="E238" s="137"/>
      <c r="F238" s="137"/>
      <c r="G238" s="145"/>
      <c r="H238" s="398"/>
      <c r="I238" s="137"/>
      <c r="J238" s="352"/>
      <c r="K238" s="203" t="s">
        <v>1044</v>
      </c>
      <c r="L238" s="203" t="s">
        <v>963</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75">
      <c r="G239" s="145"/>
      <c r="H239" s="398"/>
      <c r="J239" s="352"/>
      <c r="K239" s="201" t="s">
        <v>1045</v>
      </c>
      <c r="L239" s="201" t="s">
        <v>961</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75">
      <c r="A240" s="137"/>
      <c r="B240" s="137"/>
      <c r="C240" s="137"/>
      <c r="D240" s="137"/>
      <c r="E240" s="137"/>
      <c r="F240" s="137"/>
      <c r="G240" s="145"/>
      <c r="H240" s="398"/>
      <c r="I240" s="137"/>
      <c r="J240" s="352"/>
      <c r="K240" s="142" t="s">
        <v>1045</v>
      </c>
      <c r="L240" s="192" t="s">
        <v>962</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75">
      <c r="A241" s="137"/>
      <c r="B241" s="137"/>
      <c r="C241" s="137"/>
      <c r="D241" s="137"/>
      <c r="E241" s="137"/>
      <c r="F241" s="137"/>
      <c r="G241" s="145"/>
      <c r="H241" s="398"/>
      <c r="I241" s="137"/>
      <c r="J241" s="352"/>
      <c r="K241" s="203" t="s">
        <v>1045</v>
      </c>
      <c r="L241" s="203" t="s">
        <v>963</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75">
      <c r="G242" s="145"/>
      <c r="H242" s="398"/>
      <c r="J242" s="352"/>
      <c r="K242" s="201" t="s">
        <v>1046</v>
      </c>
      <c r="L242" s="201" t="s">
        <v>961</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75">
      <c r="G243" s="145"/>
      <c r="H243" s="398"/>
      <c r="J243" s="352"/>
      <c r="K243" s="142" t="s">
        <v>1046</v>
      </c>
      <c r="L243" s="192" t="s">
        <v>962</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75">
      <c r="G244" s="145"/>
      <c r="H244" s="398"/>
      <c r="J244" s="399"/>
      <c r="K244" s="203" t="s">
        <v>1046</v>
      </c>
      <c r="L244" s="203" t="s">
        <v>963</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75">
      <c r="G245" s="145"/>
      <c r="H245" s="398"/>
      <c r="J245" s="208"/>
      <c r="K245" s="142"/>
      <c r="L245" s="142"/>
      <c r="AX245"/>
      <c r="AY245"/>
    </row>
    <row r="246" spans="1:97" ht="14.25" customHeight="1" x14ac:dyDescent="0.6">
      <c r="G246" s="145"/>
      <c r="H246" s="398"/>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6">
      <c r="G247" s="145"/>
      <c r="H247" s="398"/>
      <c r="J247" s="351" t="s">
        <v>982</v>
      </c>
      <c r="K247" s="201" t="s">
        <v>1036</v>
      </c>
      <c r="L247" s="201" t="s">
        <v>961</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75">
      <c r="G248" s="145"/>
      <c r="H248" s="398"/>
      <c r="J248" s="352"/>
      <c r="K248" s="142" t="s">
        <v>1036</v>
      </c>
      <c r="L248" s="192" t="s">
        <v>962</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75">
      <c r="G249" s="145"/>
      <c r="H249" s="398"/>
      <c r="J249" s="352"/>
      <c r="K249" s="203" t="s">
        <v>1036</v>
      </c>
      <c r="L249" s="203" t="s">
        <v>963</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6">
      <c r="G250" s="145"/>
      <c r="H250" s="398"/>
      <c r="J250" s="352"/>
      <c r="K250" s="201" t="s">
        <v>1038</v>
      </c>
      <c r="L250" s="201" t="s">
        <v>961</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75">
      <c r="G251" s="145"/>
      <c r="H251" s="398"/>
      <c r="J251" s="352"/>
      <c r="K251" s="142" t="s">
        <v>1038</v>
      </c>
      <c r="L251" s="192" t="s">
        <v>962</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9">
      <c r="G252" s="145"/>
      <c r="H252" s="398"/>
      <c r="J252" s="352"/>
      <c r="K252" s="203" t="s">
        <v>1038</v>
      </c>
      <c r="L252" s="203" t="s">
        <v>963</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75">
      <c r="G253" s="145"/>
      <c r="H253" s="398"/>
      <c r="J253" s="352"/>
      <c r="K253" s="201" t="s">
        <v>1039</v>
      </c>
      <c r="L253" s="201" t="s">
        <v>961</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75">
      <c r="G254" s="145"/>
      <c r="H254" s="398"/>
      <c r="J254" s="352"/>
      <c r="K254" s="142" t="s">
        <v>1039</v>
      </c>
      <c r="L254" s="192" t="s">
        <v>962</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9">
      <c r="G255" s="145"/>
      <c r="H255" s="398"/>
      <c r="J255" s="352"/>
      <c r="K255" s="203" t="s">
        <v>1039</v>
      </c>
      <c r="L255" s="203" t="s">
        <v>963</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75">
      <c r="G256" s="145"/>
      <c r="H256" s="398"/>
      <c r="J256" s="352"/>
      <c r="K256" s="201" t="s">
        <v>1040</v>
      </c>
      <c r="L256" s="201" t="s">
        <v>961</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75">
      <c r="G257" s="145"/>
      <c r="H257" s="398"/>
      <c r="J257" s="352"/>
      <c r="K257" s="142" t="s">
        <v>1040</v>
      </c>
      <c r="L257" s="192" t="s">
        <v>962</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9">
      <c r="G258" s="145"/>
      <c r="H258" s="398"/>
      <c r="J258" s="352"/>
      <c r="K258" s="203" t="s">
        <v>1040</v>
      </c>
      <c r="L258" s="203" t="s">
        <v>963</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75">
      <c r="G259" s="145"/>
      <c r="H259" s="398"/>
      <c r="J259" s="352"/>
      <c r="K259" s="201" t="s">
        <v>1041</v>
      </c>
      <c r="L259" s="201" t="s">
        <v>961</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75">
      <c r="G260" s="145"/>
      <c r="H260" s="398"/>
      <c r="J260" s="352"/>
      <c r="K260" s="142" t="s">
        <v>1041</v>
      </c>
      <c r="L260" s="192" t="s">
        <v>962</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9">
      <c r="G261" s="145"/>
      <c r="H261" s="398"/>
      <c r="J261" s="352"/>
      <c r="K261" s="203" t="s">
        <v>1041</v>
      </c>
      <c r="L261" s="203" t="s">
        <v>963</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6">
      <c r="G262" s="145"/>
      <c r="H262" s="398"/>
      <c r="J262" s="352"/>
      <c r="K262" s="201" t="s">
        <v>1042</v>
      </c>
      <c r="L262" s="201" t="s">
        <v>961</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75">
      <c r="G263" s="145"/>
      <c r="H263" s="398"/>
      <c r="J263" s="352"/>
      <c r="K263" s="142" t="s">
        <v>1042</v>
      </c>
      <c r="L263" s="192" t="s">
        <v>962</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75">
      <c r="G264" s="145"/>
      <c r="H264" s="398"/>
      <c r="J264" s="352"/>
      <c r="K264" s="203" t="s">
        <v>1042</v>
      </c>
      <c r="L264" s="203" t="s">
        <v>963</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6">
      <c r="G265" s="145"/>
      <c r="H265" s="398"/>
      <c r="J265" s="352"/>
      <c r="K265" s="201" t="s">
        <v>1043</v>
      </c>
      <c r="L265" s="201" t="s">
        <v>961</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75">
      <c r="G266" s="145"/>
      <c r="H266" s="398"/>
      <c r="J266" s="352"/>
      <c r="K266" s="142" t="s">
        <v>1043</v>
      </c>
      <c r="L266" s="192" t="s">
        <v>962</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9">
      <c r="G267" s="145"/>
      <c r="H267" s="398"/>
      <c r="J267" s="352"/>
      <c r="K267" s="203" t="s">
        <v>1043</v>
      </c>
      <c r="L267" s="203" t="s">
        <v>963</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75">
      <c r="G268" s="145"/>
      <c r="H268" s="398"/>
      <c r="J268" s="352"/>
      <c r="K268" s="201" t="s">
        <v>1044</v>
      </c>
      <c r="L268" s="201" t="s">
        <v>961</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75">
      <c r="G269" s="145"/>
      <c r="H269" s="398"/>
      <c r="J269" s="352"/>
      <c r="K269" s="142" t="s">
        <v>1044</v>
      </c>
      <c r="L269" s="192" t="s">
        <v>962</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9">
      <c r="G270" s="145"/>
      <c r="H270" s="398"/>
      <c r="J270" s="352"/>
      <c r="K270" s="203" t="s">
        <v>1044</v>
      </c>
      <c r="L270" s="203" t="s">
        <v>963</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75">
      <c r="G271" s="145"/>
      <c r="H271" s="398"/>
      <c r="J271" s="352"/>
      <c r="K271" s="201" t="s">
        <v>1045</v>
      </c>
      <c r="L271" s="201" t="s">
        <v>961</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75">
      <c r="G272" s="145"/>
      <c r="H272" s="398"/>
      <c r="J272" s="352"/>
      <c r="K272" s="142" t="s">
        <v>1045</v>
      </c>
      <c r="L272" s="192" t="s">
        <v>962</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9">
      <c r="G273" s="145"/>
      <c r="H273" s="398"/>
      <c r="J273" s="352"/>
      <c r="K273" s="203" t="s">
        <v>1045</v>
      </c>
      <c r="L273" s="203" t="s">
        <v>963</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75">
      <c r="G274" s="145"/>
      <c r="H274" s="398"/>
      <c r="J274" s="352"/>
      <c r="K274" s="201" t="s">
        <v>1046</v>
      </c>
      <c r="L274" s="201" t="s">
        <v>961</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75">
      <c r="G275" s="145"/>
      <c r="H275" s="398"/>
      <c r="J275" s="352"/>
      <c r="K275" s="142" t="s">
        <v>1046</v>
      </c>
      <c r="L275" s="192" t="s">
        <v>962</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9">
      <c r="G276" s="145"/>
      <c r="H276" s="398"/>
      <c r="J276" s="399"/>
      <c r="K276" s="203" t="s">
        <v>1046</v>
      </c>
      <c r="L276" s="203" t="s">
        <v>963</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75">
      <c r="G277" s="145"/>
      <c r="H277" s="398"/>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6">
      <c r="A278" s="137" t="s">
        <v>915</v>
      </c>
      <c r="G278" s="145"/>
      <c r="H278" s="398"/>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6">
      <c r="G279" s="145"/>
      <c r="H279" s="398"/>
      <c r="J279" s="351" t="s">
        <v>983</v>
      </c>
      <c r="K279" s="201" t="s">
        <v>1036</v>
      </c>
      <c r="L279" s="201" t="s">
        <v>961</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75">
      <c r="G280" s="145"/>
      <c r="H280" s="398"/>
      <c r="J280" s="352"/>
      <c r="K280" s="142" t="s">
        <v>1036</v>
      </c>
      <c r="L280" s="192" t="s">
        <v>962</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75">
      <c r="G281" s="145"/>
      <c r="H281" s="398"/>
      <c r="J281" s="352"/>
      <c r="K281" s="203" t="s">
        <v>1036</v>
      </c>
      <c r="L281" s="203" t="s">
        <v>963</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6">
      <c r="G282" s="145"/>
      <c r="H282" s="398"/>
      <c r="J282" s="352"/>
      <c r="K282" s="201" t="s">
        <v>1038</v>
      </c>
      <c r="L282" s="201" t="s">
        <v>961</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75">
      <c r="G283" s="145"/>
      <c r="H283" s="398"/>
      <c r="J283" s="352"/>
      <c r="K283" s="142" t="s">
        <v>1038</v>
      </c>
      <c r="L283" s="192" t="s">
        <v>962</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75">
      <c r="G284" s="145"/>
      <c r="H284" s="398"/>
      <c r="J284" s="352"/>
      <c r="K284" s="203" t="s">
        <v>1038</v>
      </c>
      <c r="L284" s="203" t="s">
        <v>963</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6">
      <c r="G285" s="145"/>
      <c r="H285" s="398"/>
      <c r="J285" s="352"/>
      <c r="K285" s="201" t="s">
        <v>1039</v>
      </c>
      <c r="L285" s="201" t="s">
        <v>961</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6">
      <c r="G286" s="145"/>
      <c r="H286" s="398"/>
      <c r="J286" s="352"/>
      <c r="K286" s="142" t="s">
        <v>1039</v>
      </c>
      <c r="L286" s="192" t="s">
        <v>962</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75">
      <c r="G287" s="145"/>
      <c r="H287" s="398"/>
      <c r="J287" s="352"/>
      <c r="K287" s="203" t="s">
        <v>1039</v>
      </c>
      <c r="L287" s="203" t="s">
        <v>963</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6">
      <c r="G288" s="145"/>
      <c r="H288" s="398"/>
      <c r="J288" s="352"/>
      <c r="K288" s="201" t="s">
        <v>1040</v>
      </c>
      <c r="L288" s="201" t="s">
        <v>961</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6">
      <c r="G289" s="145"/>
      <c r="H289" s="398"/>
      <c r="J289" s="352"/>
      <c r="K289" s="142" t="s">
        <v>1040</v>
      </c>
      <c r="L289" s="192" t="s">
        <v>962</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75">
      <c r="G290" s="145"/>
      <c r="H290" s="398"/>
      <c r="J290" s="352"/>
      <c r="K290" s="203" t="s">
        <v>1040</v>
      </c>
      <c r="L290" s="203" t="s">
        <v>963</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6">
      <c r="G291" s="145"/>
      <c r="H291" s="398"/>
      <c r="J291" s="352"/>
      <c r="K291" s="201" t="s">
        <v>1041</v>
      </c>
      <c r="L291" s="201" t="s">
        <v>961</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6">
      <c r="G292" s="145"/>
      <c r="H292" s="398"/>
      <c r="J292" s="352"/>
      <c r="K292" s="142" t="s">
        <v>1041</v>
      </c>
      <c r="L292" s="192" t="s">
        <v>962</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6">
      <c r="G293" s="145"/>
      <c r="H293" s="398"/>
      <c r="J293" s="352"/>
      <c r="K293" s="203" t="s">
        <v>1041</v>
      </c>
      <c r="L293" s="203" t="s">
        <v>963</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6">
      <c r="G294" s="145"/>
      <c r="H294" s="398"/>
      <c r="J294" s="352"/>
      <c r="K294" s="201" t="s">
        <v>1042</v>
      </c>
      <c r="L294" s="201" t="s">
        <v>961</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75">
      <c r="G295" s="145"/>
      <c r="H295" s="398"/>
      <c r="J295" s="352"/>
      <c r="K295" s="142" t="s">
        <v>1042</v>
      </c>
      <c r="L295" s="192" t="s">
        <v>962</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75">
      <c r="G296" s="145"/>
      <c r="H296" s="398"/>
      <c r="J296" s="352"/>
      <c r="K296" s="203" t="s">
        <v>1042</v>
      </c>
      <c r="L296" s="203" t="s">
        <v>963</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6">
      <c r="G297" s="145"/>
      <c r="H297" s="398"/>
      <c r="J297" s="352"/>
      <c r="K297" s="201" t="s">
        <v>1043</v>
      </c>
      <c r="L297" s="201" t="s">
        <v>961</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75">
      <c r="G298" s="145"/>
      <c r="H298" s="398"/>
      <c r="J298" s="352"/>
      <c r="K298" s="142" t="s">
        <v>1043</v>
      </c>
      <c r="L298" s="192" t="s">
        <v>962</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75">
      <c r="G299" s="145"/>
      <c r="H299" s="398"/>
      <c r="J299" s="352"/>
      <c r="K299" s="203" t="s">
        <v>1043</v>
      </c>
      <c r="L299" s="203" t="s">
        <v>963</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6">
      <c r="G300" s="145"/>
      <c r="H300" s="398"/>
      <c r="J300" s="352"/>
      <c r="K300" s="201" t="s">
        <v>1044</v>
      </c>
      <c r="L300" s="201" t="s">
        <v>961</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6">
      <c r="G301" s="145"/>
      <c r="H301" s="398"/>
      <c r="J301" s="352"/>
      <c r="K301" s="142" t="s">
        <v>1044</v>
      </c>
      <c r="L301" s="192" t="s">
        <v>962</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75">
      <c r="G302" s="145"/>
      <c r="H302" s="398"/>
      <c r="J302" s="352"/>
      <c r="K302" s="203" t="s">
        <v>1044</v>
      </c>
      <c r="L302" s="203" t="s">
        <v>963</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6">
      <c r="G303" s="145"/>
      <c r="H303" s="398"/>
      <c r="J303" s="352"/>
      <c r="K303" s="201" t="s">
        <v>1045</v>
      </c>
      <c r="L303" s="201" t="s">
        <v>961</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6">
      <c r="G304" s="145"/>
      <c r="H304" s="398"/>
      <c r="J304" s="352"/>
      <c r="K304" s="142" t="s">
        <v>1045</v>
      </c>
      <c r="L304" s="192" t="s">
        <v>962</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75">
      <c r="G305" s="145"/>
      <c r="H305" s="398"/>
      <c r="J305" s="352"/>
      <c r="K305" s="203" t="s">
        <v>1045</v>
      </c>
      <c r="L305" s="203" t="s">
        <v>963</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6">
      <c r="G306" s="145"/>
      <c r="H306" s="398"/>
      <c r="J306" s="352"/>
      <c r="K306" s="201" t="s">
        <v>1046</v>
      </c>
      <c r="L306" s="201" t="s">
        <v>961</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6">
      <c r="G307" s="145"/>
      <c r="H307" s="398"/>
      <c r="J307" s="352"/>
      <c r="K307" s="142" t="s">
        <v>1046</v>
      </c>
      <c r="L307" s="192" t="s">
        <v>962</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6">
      <c r="G308" s="145"/>
      <c r="H308" s="398"/>
      <c r="J308" s="399"/>
      <c r="K308" s="203" t="s">
        <v>1046</v>
      </c>
      <c r="L308" s="203" t="s">
        <v>963</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7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6">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7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6">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6">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6">
      <c r="G314" s="145"/>
      <c r="H314" s="413" t="s">
        <v>984</v>
      </c>
      <c r="J314" s="351" t="s">
        <v>985</v>
      </c>
      <c r="K314" s="201" t="s">
        <v>1036</v>
      </c>
      <c r="L314" s="201" t="s">
        <v>961</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6">
      <c r="G315" s="145"/>
      <c r="H315" s="413"/>
      <c r="J315" s="352"/>
      <c r="K315" s="142" t="s">
        <v>1036</v>
      </c>
      <c r="L315" s="192" t="s">
        <v>962</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75">
      <c r="G316" s="145"/>
      <c r="H316" s="413"/>
      <c r="J316" s="352"/>
      <c r="K316" s="203" t="s">
        <v>1036</v>
      </c>
      <c r="L316" s="203" t="s">
        <v>963</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6">
      <c r="G317" s="145"/>
      <c r="H317" s="413"/>
      <c r="J317" s="352"/>
      <c r="K317" s="201" t="s">
        <v>1038</v>
      </c>
      <c r="L317" s="201" t="s">
        <v>961</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6">
      <c r="G318" s="145"/>
      <c r="H318" s="413"/>
      <c r="J318" s="352"/>
      <c r="K318" s="142" t="s">
        <v>1038</v>
      </c>
      <c r="L318" s="192" t="s">
        <v>962</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75">
      <c r="G319" s="145"/>
      <c r="H319" s="413"/>
      <c r="J319" s="352"/>
      <c r="K319" s="203" t="s">
        <v>1038</v>
      </c>
      <c r="L319" s="203" t="s">
        <v>963</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6">
      <c r="G320" s="145"/>
      <c r="H320" s="413"/>
      <c r="J320" s="352"/>
      <c r="K320" s="201" t="s">
        <v>1039</v>
      </c>
      <c r="L320" s="201" t="s">
        <v>961</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6">
      <c r="G321" s="145"/>
      <c r="H321" s="413"/>
      <c r="J321" s="352"/>
      <c r="K321" s="142" t="s">
        <v>1039</v>
      </c>
      <c r="L321" s="192" t="s">
        <v>962</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75">
      <c r="G322" s="145"/>
      <c r="H322" s="413"/>
      <c r="J322" s="352"/>
      <c r="K322" s="203" t="s">
        <v>1039</v>
      </c>
      <c r="L322" s="203" t="s">
        <v>963</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6">
      <c r="G323" s="145"/>
      <c r="H323" s="413"/>
      <c r="J323" s="352"/>
      <c r="K323" s="201" t="s">
        <v>1040</v>
      </c>
      <c r="L323" s="201" t="s">
        <v>961</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6">
      <c r="G324" s="145"/>
      <c r="H324" s="413"/>
      <c r="J324" s="352"/>
      <c r="K324" s="142" t="s">
        <v>1040</v>
      </c>
      <c r="L324" s="192" t="s">
        <v>962</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75">
      <c r="G325" s="145"/>
      <c r="H325" s="413"/>
      <c r="J325" s="352"/>
      <c r="K325" s="203" t="s">
        <v>1040</v>
      </c>
      <c r="L325" s="203" t="s">
        <v>963</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6">
      <c r="G326" s="145"/>
      <c r="H326" s="413"/>
      <c r="J326" s="352"/>
      <c r="K326" s="201" t="s">
        <v>1041</v>
      </c>
      <c r="L326" s="201" t="s">
        <v>961</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6">
      <c r="G327" s="145"/>
      <c r="H327" s="413"/>
      <c r="J327" s="352"/>
      <c r="K327" s="142" t="s">
        <v>1041</v>
      </c>
      <c r="L327" s="192" t="s">
        <v>962</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6">
      <c r="G328" s="145"/>
      <c r="H328" s="413"/>
      <c r="J328" s="352"/>
      <c r="K328" s="203" t="s">
        <v>1041</v>
      </c>
      <c r="L328" s="203" t="s">
        <v>963</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6">
      <c r="G329" s="145"/>
      <c r="H329" s="413"/>
      <c r="J329" s="352"/>
      <c r="K329" s="201" t="s">
        <v>1042</v>
      </c>
      <c r="L329" s="201" t="s">
        <v>961</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6">
      <c r="G330" s="145"/>
      <c r="H330" s="413"/>
      <c r="J330" s="352"/>
      <c r="K330" s="142" t="s">
        <v>1042</v>
      </c>
      <c r="L330" s="192" t="s">
        <v>962</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75">
      <c r="G331" s="145"/>
      <c r="H331" s="413"/>
      <c r="J331" s="352"/>
      <c r="K331" s="203" t="s">
        <v>1042</v>
      </c>
      <c r="L331" s="203" t="s">
        <v>963</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6">
      <c r="G332" s="145"/>
      <c r="H332" s="413"/>
      <c r="J332" s="352"/>
      <c r="K332" s="201" t="s">
        <v>1043</v>
      </c>
      <c r="L332" s="201" t="s">
        <v>961</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6">
      <c r="G333" s="145"/>
      <c r="H333" s="413"/>
      <c r="J333" s="352"/>
      <c r="K333" s="142" t="s">
        <v>1043</v>
      </c>
      <c r="L333" s="192" t="s">
        <v>962</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75">
      <c r="G334" s="145"/>
      <c r="H334" s="413"/>
      <c r="J334" s="352"/>
      <c r="K334" s="203" t="s">
        <v>1043</v>
      </c>
      <c r="L334" s="203" t="s">
        <v>963</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6">
      <c r="G335" s="145"/>
      <c r="H335" s="413"/>
      <c r="J335" s="352"/>
      <c r="K335" s="201" t="s">
        <v>1044</v>
      </c>
      <c r="L335" s="201" t="s">
        <v>961</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6">
      <c r="G336" s="145"/>
      <c r="H336" s="413"/>
      <c r="J336" s="352"/>
      <c r="K336" s="142" t="s">
        <v>1044</v>
      </c>
      <c r="L336" s="192" t="s">
        <v>962</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75">
      <c r="G337" s="145"/>
      <c r="H337" s="413"/>
      <c r="J337" s="352"/>
      <c r="K337" s="203" t="s">
        <v>1044</v>
      </c>
      <c r="L337" s="203" t="s">
        <v>963</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6">
      <c r="G338" s="145"/>
      <c r="H338" s="413"/>
      <c r="J338" s="352"/>
      <c r="K338" s="201" t="s">
        <v>1045</v>
      </c>
      <c r="L338" s="201" t="s">
        <v>961</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6">
      <c r="G339" s="145"/>
      <c r="H339" s="413"/>
      <c r="J339" s="352"/>
      <c r="K339" s="142" t="s">
        <v>1045</v>
      </c>
      <c r="L339" s="192" t="s">
        <v>962</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75">
      <c r="G340" s="145"/>
      <c r="H340" s="413"/>
      <c r="J340" s="352"/>
      <c r="K340" s="203" t="s">
        <v>1045</v>
      </c>
      <c r="L340" s="203" t="s">
        <v>963</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6">
      <c r="G341" s="145"/>
      <c r="H341" s="413"/>
      <c r="J341" s="352"/>
      <c r="K341" s="201" t="s">
        <v>1046</v>
      </c>
      <c r="L341" s="201" t="s">
        <v>961</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6">
      <c r="G342" s="145"/>
      <c r="H342" s="413"/>
      <c r="J342" s="352"/>
      <c r="K342" s="142" t="s">
        <v>1046</v>
      </c>
      <c r="L342" s="192" t="s">
        <v>962</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6">
      <c r="G343" s="145"/>
      <c r="H343" s="413"/>
      <c r="J343" s="399"/>
      <c r="K343" s="203" t="s">
        <v>1046</v>
      </c>
      <c r="L343" s="203" t="s">
        <v>963</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7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6">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6">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6">
      <c r="G347" s="145"/>
      <c r="H347" s="414" t="s">
        <v>986</v>
      </c>
      <c r="J347" s="397" t="s">
        <v>987</v>
      </c>
      <c r="K347" s="201" t="s">
        <v>1036</v>
      </c>
      <c r="L347" s="201" t="s">
        <v>961</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6">
      <c r="G348" s="145"/>
      <c r="H348" s="414"/>
      <c r="J348" s="397"/>
      <c r="K348" s="142" t="s">
        <v>1036</v>
      </c>
      <c r="L348" s="192" t="s">
        <v>962</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75">
      <c r="G349" s="145"/>
      <c r="H349" s="414"/>
      <c r="J349" s="397"/>
      <c r="K349" s="203" t="s">
        <v>1036</v>
      </c>
      <c r="L349" s="203" t="s">
        <v>963</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6">
      <c r="G350" s="145"/>
      <c r="H350" s="414"/>
      <c r="J350" s="397"/>
      <c r="K350" s="201" t="s">
        <v>1038</v>
      </c>
      <c r="L350" s="201" t="s">
        <v>961</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6">
      <c r="G351" s="145"/>
      <c r="H351" s="414"/>
      <c r="J351" s="397"/>
      <c r="K351" s="142" t="s">
        <v>1038</v>
      </c>
      <c r="L351" s="192" t="s">
        <v>962</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75">
      <c r="G352" s="145"/>
      <c r="H352" s="414"/>
      <c r="J352" s="397"/>
      <c r="K352" s="203" t="s">
        <v>1038</v>
      </c>
      <c r="L352" s="203" t="s">
        <v>963</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6">
      <c r="G353" s="145"/>
      <c r="H353" s="414"/>
      <c r="J353" s="397"/>
      <c r="K353" s="201" t="s">
        <v>1039</v>
      </c>
      <c r="L353" s="201" t="s">
        <v>961</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6">
      <c r="G354" s="145"/>
      <c r="H354" s="414"/>
      <c r="J354" s="397"/>
      <c r="K354" s="142" t="s">
        <v>1039</v>
      </c>
      <c r="L354" s="192" t="s">
        <v>962</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75">
      <c r="G355" s="145"/>
      <c r="H355" s="414"/>
      <c r="J355" s="397"/>
      <c r="K355" s="203" t="s">
        <v>1039</v>
      </c>
      <c r="L355" s="203" t="s">
        <v>963</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6">
      <c r="G356" s="145"/>
      <c r="H356" s="414"/>
      <c r="J356" s="397"/>
      <c r="K356" s="201" t="s">
        <v>1040</v>
      </c>
      <c r="L356" s="201" t="s">
        <v>961</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6">
      <c r="G357" s="145"/>
      <c r="H357" s="414"/>
      <c r="J357" s="397"/>
      <c r="K357" s="142" t="s">
        <v>1040</v>
      </c>
      <c r="L357" s="192" t="s">
        <v>962</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75">
      <c r="G358" s="145"/>
      <c r="H358" s="414"/>
      <c r="J358" s="397"/>
      <c r="K358" s="203" t="s">
        <v>1040</v>
      </c>
      <c r="L358" s="203" t="s">
        <v>963</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6">
      <c r="G359" s="145"/>
      <c r="H359" s="414"/>
      <c r="J359" s="397"/>
      <c r="K359" s="201" t="s">
        <v>1041</v>
      </c>
      <c r="L359" s="201" t="s">
        <v>961</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6">
      <c r="G360" s="145"/>
      <c r="H360" s="414"/>
      <c r="J360" s="397"/>
      <c r="K360" s="142" t="s">
        <v>1041</v>
      </c>
      <c r="L360" s="192" t="s">
        <v>962</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75">
      <c r="G361" s="145"/>
      <c r="H361" s="414"/>
      <c r="J361" s="397"/>
      <c r="K361" s="203" t="s">
        <v>1041</v>
      </c>
      <c r="L361" s="203" t="s">
        <v>963</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6">
      <c r="G362" s="145"/>
      <c r="H362" s="414"/>
      <c r="J362" s="397"/>
      <c r="K362" s="201" t="s">
        <v>1042</v>
      </c>
      <c r="L362" s="201" t="s">
        <v>961</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6">
      <c r="G363" s="145"/>
      <c r="H363" s="414"/>
      <c r="J363" s="397"/>
      <c r="K363" s="142" t="s">
        <v>1042</v>
      </c>
      <c r="L363" s="192" t="s">
        <v>962</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75">
      <c r="G364" s="145"/>
      <c r="H364" s="414"/>
      <c r="J364" s="397"/>
      <c r="K364" s="203" t="s">
        <v>1042</v>
      </c>
      <c r="L364" s="203" t="s">
        <v>963</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6">
      <c r="G365" s="145"/>
      <c r="H365" s="414"/>
      <c r="J365" s="397"/>
      <c r="K365" s="201" t="s">
        <v>1043</v>
      </c>
      <c r="L365" s="201" t="s">
        <v>961</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6">
      <c r="G366" s="145"/>
      <c r="H366" s="414"/>
      <c r="J366" s="397"/>
      <c r="K366" s="142" t="s">
        <v>1043</v>
      </c>
      <c r="L366" s="192" t="s">
        <v>962</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75">
      <c r="G367" s="145"/>
      <c r="H367" s="414"/>
      <c r="J367" s="397"/>
      <c r="K367" s="203" t="s">
        <v>1043</v>
      </c>
      <c r="L367" s="203" t="s">
        <v>963</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6">
      <c r="G368" s="145"/>
      <c r="H368" s="414"/>
      <c r="J368" s="397"/>
      <c r="K368" s="201" t="s">
        <v>1044</v>
      </c>
      <c r="L368" s="201" t="s">
        <v>961</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6">
      <c r="G369" s="145"/>
      <c r="H369" s="414"/>
      <c r="J369" s="397"/>
      <c r="K369" s="142" t="s">
        <v>1044</v>
      </c>
      <c r="L369" s="192" t="s">
        <v>962</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75">
      <c r="G370" s="145"/>
      <c r="H370" s="414"/>
      <c r="J370" s="397"/>
      <c r="K370" s="203" t="s">
        <v>1044</v>
      </c>
      <c r="L370" s="203" t="s">
        <v>963</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6">
      <c r="G371" s="145"/>
      <c r="H371" s="414"/>
      <c r="J371" s="397"/>
      <c r="K371" s="201" t="s">
        <v>1045</v>
      </c>
      <c r="L371" s="201" t="s">
        <v>961</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6">
      <c r="G372" s="145"/>
      <c r="H372" s="414"/>
      <c r="J372" s="397"/>
      <c r="K372" s="142" t="s">
        <v>1045</v>
      </c>
      <c r="L372" s="192" t="s">
        <v>962</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75">
      <c r="G373" s="145"/>
      <c r="H373" s="414"/>
      <c r="J373" s="397"/>
      <c r="K373" s="203" t="s">
        <v>1045</v>
      </c>
      <c r="L373" s="203" t="s">
        <v>963</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6">
      <c r="G374" s="145"/>
      <c r="H374" s="414"/>
      <c r="J374" s="397"/>
      <c r="K374" s="201" t="s">
        <v>1046</v>
      </c>
      <c r="L374" s="201" t="s">
        <v>961</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6">
      <c r="G375" s="145"/>
      <c r="H375" s="414"/>
      <c r="J375" s="397"/>
      <c r="K375" s="142" t="s">
        <v>1046</v>
      </c>
      <c r="L375" s="192" t="s">
        <v>962</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75">
      <c r="G376" s="145"/>
      <c r="H376" s="415"/>
      <c r="J376" s="416"/>
      <c r="K376" s="203" t="s">
        <v>1046</v>
      </c>
      <c r="L376" s="203" t="s">
        <v>963</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6">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6">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6">
      <c r="G379" s="145"/>
      <c r="H379" s="417" t="s">
        <v>988</v>
      </c>
      <c r="J379" s="351" t="s">
        <v>989</v>
      </c>
      <c r="K379" s="142" t="s">
        <v>990</v>
      </c>
      <c r="L379" s="142" t="s">
        <v>961</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6">
      <c r="G380" s="145"/>
      <c r="H380" s="417"/>
      <c r="J380" s="352"/>
      <c r="K380" s="142" t="s">
        <v>990</v>
      </c>
      <c r="L380" s="142" t="s">
        <v>962</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6">
      <c r="G381" s="145"/>
      <c r="H381" s="417"/>
      <c r="J381" s="352"/>
      <c r="K381" s="142" t="s">
        <v>990</v>
      </c>
      <c r="L381" s="142" t="s">
        <v>963</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6">
      <c r="G382" s="145"/>
      <c r="H382" s="417"/>
      <c r="J382" s="352"/>
      <c r="K382" s="142" t="s">
        <v>991</v>
      </c>
      <c r="L382" s="142" t="s">
        <v>959</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6">
      <c r="G383" s="145"/>
      <c r="H383" s="417"/>
      <c r="J383" s="352"/>
      <c r="K383" s="142" t="s">
        <v>730</v>
      </c>
      <c r="L383" s="142" t="s">
        <v>961</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6">
      <c r="G384" s="145"/>
      <c r="H384" s="417"/>
      <c r="J384" s="352"/>
      <c r="K384" s="142" t="s">
        <v>730</v>
      </c>
      <c r="L384" s="142" t="s">
        <v>962</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6">
      <c r="G385" s="145"/>
      <c r="H385" s="417"/>
      <c r="J385" s="352"/>
      <c r="K385" s="142" t="s">
        <v>730</v>
      </c>
      <c r="L385" s="142" t="s">
        <v>963</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6">
      <c r="G386" s="145"/>
      <c r="H386" s="417"/>
      <c r="J386" s="352"/>
      <c r="K386" s="142" t="s">
        <v>992</v>
      </c>
      <c r="L386" s="142" t="s">
        <v>961</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6">
      <c r="G387" s="145"/>
      <c r="H387" s="417"/>
      <c r="J387" s="352"/>
      <c r="K387" s="142" t="s">
        <v>992</v>
      </c>
      <c r="L387" s="142" t="s">
        <v>962</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6">
      <c r="G388" s="145"/>
      <c r="H388" s="417"/>
      <c r="J388" s="352"/>
      <c r="K388" s="142" t="s">
        <v>992</v>
      </c>
      <c r="L388" s="142" t="s">
        <v>963</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6">
      <c r="G389" s="145"/>
      <c r="H389" s="417"/>
      <c r="J389" s="352"/>
      <c r="K389" s="142" t="s">
        <v>993</v>
      </c>
      <c r="L389" s="142" t="s">
        <v>961</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6">
      <c r="G390" s="145"/>
      <c r="H390" s="417"/>
      <c r="J390" s="352"/>
      <c r="K390" s="142" t="s">
        <v>993</v>
      </c>
      <c r="L390" s="142" t="s">
        <v>962</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6">
      <c r="G391" s="145"/>
      <c r="H391" s="417"/>
      <c r="J391" s="352"/>
      <c r="K391" s="142" t="s">
        <v>993</v>
      </c>
      <c r="L391" s="142" t="s">
        <v>963</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6">
      <c r="G392" s="145"/>
      <c r="H392" s="240"/>
      <c r="I392" s="246" t="s">
        <v>994</v>
      </c>
      <c r="J392" s="247"/>
      <c r="K392" s="248" t="s">
        <v>996</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6">
      <c r="G393" s="145"/>
      <c r="H393" s="240"/>
      <c r="I393" s="137">
        <v>0.2</v>
      </c>
      <c r="J393" s="251" t="s">
        <v>995</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6">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6">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6">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6">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6">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6">
      <c r="G399" s="145"/>
      <c r="H399" s="240"/>
      <c r="J399" s="251"/>
      <c r="K399" s="248" t="s">
        <v>997</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6">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6">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6">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6">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6">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6">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6">
      <c r="G406" s="145"/>
      <c r="H406" s="240"/>
      <c r="J406" s="251"/>
      <c r="K406" s="249" t="s">
        <v>998</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6">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6">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6">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6">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6">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6">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6">
      <c r="G413" s="315"/>
      <c r="J413" s="316"/>
      <c r="K413" s="316"/>
      <c r="L413" s="316"/>
      <c r="M413" s="316"/>
      <c r="N413" s="316"/>
    </row>
    <row r="414" spans="6:42" ht="15.75" customHeight="1" thickBot="1" x14ac:dyDescent="0.7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75">
      <c r="F415" s="257"/>
      <c r="H415" s="240"/>
      <c r="J415" s="351" t="s">
        <v>999</v>
      </c>
      <c r="K415" s="142" t="s">
        <v>1000</v>
      </c>
      <c r="L415" s="142" t="s">
        <v>961</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75">
      <c r="F416" s="257"/>
      <c r="H416" s="240"/>
      <c r="J416" s="352"/>
      <c r="K416" s="142" t="s">
        <v>1000</v>
      </c>
      <c r="L416" s="142" t="s">
        <v>962</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6">
      <c r="F417" s="257"/>
      <c r="H417" s="240"/>
      <c r="J417" s="352"/>
      <c r="K417" s="142" t="s">
        <v>1000</v>
      </c>
      <c r="L417" s="142" t="s">
        <v>963</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75">
      <c r="F418" s="257"/>
      <c r="H418" s="240"/>
      <c r="J418" s="132"/>
    </row>
    <row r="419" spans="6:42" ht="14.25" customHeight="1" thickTop="1" thickBot="1" x14ac:dyDescent="0.75">
      <c r="F419" s="257"/>
      <c r="H419" s="240"/>
      <c r="J419" s="251"/>
      <c r="K419" s="142" t="s">
        <v>1001</v>
      </c>
      <c r="L419" s="142" t="s">
        <v>959</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75">
      <c r="F420" s="257"/>
      <c r="H420" s="240"/>
      <c r="J420" s="251"/>
      <c r="K420" s="142" t="s">
        <v>1002</v>
      </c>
      <c r="L420" s="142" t="s">
        <v>959</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75">
      <c r="F421" s="257"/>
      <c r="H421" s="240"/>
      <c r="J421" s="251"/>
      <c r="K421" s="142" t="s">
        <v>1003</v>
      </c>
      <c r="L421" s="142" t="s">
        <v>959</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75">
      <c r="F422" s="257"/>
      <c r="H422" s="240"/>
      <c r="J422" s="251"/>
      <c r="K422" s="142" t="s">
        <v>1004</v>
      </c>
      <c r="L422" s="142" t="s">
        <v>961</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75">
      <c r="F423" s="257"/>
      <c r="H423" s="240"/>
      <c r="J423" s="251"/>
      <c r="K423" s="142" t="s">
        <v>1005</v>
      </c>
      <c r="L423" s="142" t="s">
        <v>961</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75">
      <c r="F424" s="257"/>
      <c r="H424" s="240"/>
      <c r="J424" s="251"/>
      <c r="K424" s="142" t="s">
        <v>1006</v>
      </c>
      <c r="L424" s="142" t="s">
        <v>961</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75">
      <c r="F425" s="257"/>
      <c r="H425" s="240"/>
      <c r="J425" s="251"/>
      <c r="K425" s="142" t="s">
        <v>1004</v>
      </c>
      <c r="L425" s="142" t="s">
        <v>962</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75">
      <c r="F426" s="257"/>
      <c r="H426" s="240"/>
      <c r="J426" s="251"/>
      <c r="K426" s="142" t="s">
        <v>1005</v>
      </c>
      <c r="L426" s="142" t="s">
        <v>962</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75">
      <c r="F427" s="257"/>
      <c r="H427" s="240"/>
      <c r="J427" s="251"/>
      <c r="K427" s="142" t="s">
        <v>1006</v>
      </c>
      <c r="L427" s="142" t="s">
        <v>962</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75">
      <c r="F428" s="257"/>
      <c r="H428" s="240"/>
      <c r="J428" s="251"/>
      <c r="K428" s="142" t="s">
        <v>1004</v>
      </c>
      <c r="L428" s="142" t="s">
        <v>963</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75">
      <c r="F429" s="257"/>
      <c r="H429" s="240"/>
      <c r="J429" s="251"/>
      <c r="K429" s="142" t="s">
        <v>1005</v>
      </c>
      <c r="L429" s="142" t="s">
        <v>963</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6">
      <c r="F430" s="257"/>
      <c r="H430" s="240"/>
      <c r="J430" s="251"/>
      <c r="K430" s="142" t="s">
        <v>1006</v>
      </c>
      <c r="L430" s="142" t="s">
        <v>963</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6">
      <c r="C433" s="143" t="s">
        <v>891</v>
      </c>
      <c r="G433" s="418" t="s">
        <v>1007</v>
      </c>
      <c r="H433" s="356"/>
      <c r="I433" s="356"/>
      <c r="J433" s="356"/>
      <c r="K433" s="356"/>
      <c r="L433" s="356"/>
      <c r="M433" s="356"/>
      <c r="N433" s="356"/>
      <c r="O433" s="356"/>
      <c r="P433" s="356"/>
      <c r="Q433" s="356"/>
      <c r="R433" s="356"/>
      <c r="S433" s="356"/>
      <c r="T433" s="356"/>
      <c r="U433" s="356"/>
      <c r="V433" s="144"/>
      <c r="W433" s="144"/>
      <c r="X433" s="144"/>
      <c r="Y433" s="144"/>
      <c r="Z433" s="144"/>
      <c r="AA433" s="144"/>
      <c r="AB433" s="144"/>
    </row>
    <row r="434" spans="3:29" ht="14.25" customHeight="1" thickBot="1" x14ac:dyDescent="0.75">
      <c r="N434" s="317"/>
      <c r="O434" s="317"/>
      <c r="P434" s="317"/>
      <c r="Q434" s="317"/>
      <c r="R434" s="317"/>
      <c r="S434" s="317"/>
      <c r="T434" s="317"/>
      <c r="U434" s="317"/>
    </row>
    <row r="435" spans="3:29" ht="14.25" customHeight="1" x14ac:dyDescent="0.6">
      <c r="H435" s="419" t="s">
        <v>1008</v>
      </c>
      <c r="I435" s="420"/>
      <c r="J435" s="420"/>
      <c r="K435" s="420"/>
      <c r="L435" s="420"/>
      <c r="M435" s="420"/>
      <c r="N435" s="421" t="s">
        <v>1009</v>
      </c>
      <c r="O435" s="422"/>
      <c r="P435" s="422"/>
      <c r="Q435" s="422"/>
      <c r="R435" s="423"/>
      <c r="S435" s="318" t="s">
        <v>1010</v>
      </c>
      <c r="T435" s="318" t="s">
        <v>1011</v>
      </c>
      <c r="U435" s="319"/>
      <c r="V435" s="320"/>
      <c r="W435" s="320"/>
      <c r="X435" s="320"/>
      <c r="Y435" s="320"/>
      <c r="Z435" s="320"/>
      <c r="AA435" s="320"/>
      <c r="AB435" s="321"/>
    </row>
    <row r="436" spans="3:29" ht="14.25" customHeight="1" x14ac:dyDescent="0.75">
      <c r="H436" s="424" t="s">
        <v>1034</v>
      </c>
      <c r="I436" s="425"/>
      <c r="J436" s="425"/>
      <c r="K436" s="425"/>
      <c r="L436" s="425"/>
      <c r="M436" s="426"/>
      <c r="N436" s="427" t="s">
        <v>1047</v>
      </c>
      <c r="O436" s="428"/>
      <c r="P436" s="428"/>
      <c r="Q436" s="428"/>
      <c r="R436" s="428"/>
      <c r="S436" s="322"/>
      <c r="T436" s="322"/>
      <c r="U436" s="323"/>
      <c r="V436" s="323"/>
      <c r="W436" s="323"/>
      <c r="X436" s="323"/>
      <c r="Y436" s="323"/>
      <c r="Z436" s="323"/>
      <c r="AA436" s="323"/>
      <c r="AB436" s="324"/>
      <c r="AC436" s="137" t="s">
        <v>1048</v>
      </c>
    </row>
    <row r="437" spans="3:29" ht="14.25" customHeight="1" x14ac:dyDescent="0.6">
      <c r="H437" s="424" t="s">
        <v>977</v>
      </c>
      <c r="I437" s="425"/>
      <c r="J437" s="425"/>
      <c r="K437" s="425"/>
      <c r="L437" s="425"/>
      <c r="M437" s="426"/>
      <c r="N437" s="430" t="s">
        <v>1049</v>
      </c>
      <c r="O437" s="431"/>
      <c r="P437" s="431"/>
      <c r="Q437" s="431"/>
      <c r="R437" s="431"/>
      <c r="S437" s="325"/>
      <c r="T437" s="325"/>
      <c r="U437" s="326"/>
      <c r="V437" s="326"/>
      <c r="W437" s="326"/>
      <c r="X437" s="326"/>
      <c r="Y437" s="326"/>
      <c r="Z437" s="326"/>
      <c r="AA437" s="326"/>
      <c r="AB437" s="327"/>
    </row>
    <row r="438" spans="3:29" ht="30.4" customHeight="1" x14ac:dyDescent="0.75">
      <c r="H438" s="424" t="s">
        <v>981</v>
      </c>
      <c r="I438" s="425"/>
      <c r="J438" s="425"/>
      <c r="K438" s="425"/>
      <c r="L438" s="425"/>
      <c r="M438" s="426"/>
      <c r="N438" s="432" t="s">
        <v>1050</v>
      </c>
      <c r="O438" s="433"/>
      <c r="P438" s="433"/>
      <c r="Q438" s="433"/>
      <c r="R438" s="434"/>
      <c r="S438" s="328"/>
      <c r="T438" s="328"/>
      <c r="U438" s="329"/>
      <c r="V438" s="329"/>
      <c r="W438" s="329"/>
      <c r="X438" s="329"/>
      <c r="Y438" s="329"/>
      <c r="Z438" s="329"/>
      <c r="AA438" s="329"/>
      <c r="AB438" s="330"/>
      <c r="AC438" s="137" t="s">
        <v>1051</v>
      </c>
    </row>
    <row r="439" spans="3:29" ht="32.65" customHeight="1" x14ac:dyDescent="0.75">
      <c r="H439" s="424" t="s">
        <v>1016</v>
      </c>
      <c r="I439" s="425"/>
      <c r="J439" s="425"/>
      <c r="K439" s="425"/>
      <c r="L439" s="425"/>
      <c r="M439" s="426"/>
      <c r="N439" s="432" t="s">
        <v>1050</v>
      </c>
      <c r="O439" s="433"/>
      <c r="P439" s="433"/>
      <c r="Q439" s="433"/>
      <c r="R439" s="434"/>
      <c r="S439" s="331"/>
      <c r="T439" s="331"/>
      <c r="U439" s="332"/>
      <c r="V439" s="332"/>
      <c r="W439" s="332"/>
      <c r="X439" s="332"/>
      <c r="Y439" s="332"/>
      <c r="Z439" s="332"/>
      <c r="AA439" s="332"/>
      <c r="AB439" s="333"/>
      <c r="AC439" s="137" t="s">
        <v>1051</v>
      </c>
    </row>
    <row r="440" spans="3:29" ht="14.25" customHeight="1" x14ac:dyDescent="0.6">
      <c r="H440" s="424" t="s">
        <v>1017</v>
      </c>
      <c r="I440" s="425"/>
      <c r="J440" s="425"/>
      <c r="K440" s="425"/>
      <c r="L440" s="425"/>
      <c r="M440" s="426"/>
      <c r="N440" s="435" t="s">
        <v>1018</v>
      </c>
      <c r="O440" s="436"/>
      <c r="P440" s="436"/>
      <c r="Q440" s="436"/>
      <c r="R440" s="436"/>
      <c r="S440" s="334"/>
      <c r="T440" s="334"/>
      <c r="U440" s="335"/>
      <c r="V440" s="335"/>
      <c r="W440" s="335"/>
      <c r="X440" s="335"/>
      <c r="Y440" s="335"/>
      <c r="Z440" s="335"/>
      <c r="AA440" s="335"/>
      <c r="AB440" s="336"/>
    </row>
    <row r="441" spans="3:29" ht="14.25" customHeight="1" thickBot="1" x14ac:dyDescent="0.75">
      <c r="H441" s="437" t="s">
        <v>1019</v>
      </c>
      <c r="I441" s="438"/>
      <c r="J441" s="438"/>
      <c r="K441" s="438"/>
      <c r="L441" s="438"/>
      <c r="M441" s="439"/>
      <c r="N441" s="440" t="s">
        <v>1018</v>
      </c>
      <c r="O441" s="441"/>
      <c r="P441" s="441"/>
      <c r="Q441" s="441"/>
      <c r="R441" s="441"/>
      <c r="S441" s="337"/>
      <c r="T441" s="338"/>
      <c r="U441" s="338"/>
      <c r="V441" s="339"/>
      <c r="W441" s="339"/>
      <c r="X441" s="339"/>
      <c r="Y441" s="339"/>
      <c r="Z441" s="339"/>
      <c r="AA441" s="339"/>
      <c r="AB441" s="340"/>
    </row>
    <row r="442" spans="3:29" ht="14.25" customHeight="1" thickBot="1" x14ac:dyDescent="0.75">
      <c r="H442" s="442"/>
      <c r="I442" s="442"/>
      <c r="J442" s="442"/>
      <c r="K442" s="442"/>
      <c r="L442" s="442"/>
      <c r="M442" s="442"/>
      <c r="N442" s="341"/>
      <c r="O442" s="341"/>
      <c r="P442" s="341"/>
      <c r="Q442" s="341"/>
      <c r="R442" s="341"/>
      <c r="S442" s="341"/>
      <c r="T442" s="341"/>
      <c r="U442" s="342"/>
      <c r="V442" s="342"/>
      <c r="W442" s="342"/>
      <c r="X442" s="342"/>
      <c r="Y442" s="342"/>
      <c r="Z442" s="342"/>
      <c r="AA442" s="342"/>
      <c r="AB442" s="342"/>
    </row>
    <row r="443" spans="3:29" ht="14.25" customHeight="1" x14ac:dyDescent="0.6">
      <c r="H443" s="419" t="s">
        <v>1020</v>
      </c>
      <c r="I443" s="420"/>
      <c r="J443" s="420"/>
      <c r="K443" s="420"/>
      <c r="L443" s="420"/>
      <c r="M443" s="429"/>
      <c r="N443" s="421" t="s">
        <v>1009</v>
      </c>
      <c r="O443" s="422"/>
      <c r="P443" s="422"/>
      <c r="Q443" s="422"/>
      <c r="R443" s="423"/>
      <c r="S443" s="318" t="s">
        <v>1010</v>
      </c>
      <c r="T443" s="318" t="s">
        <v>1011</v>
      </c>
      <c r="U443" s="343"/>
      <c r="V443" s="343"/>
      <c r="W443" s="343"/>
      <c r="X443" s="343"/>
      <c r="Y443" s="343"/>
      <c r="Z443" s="343"/>
      <c r="AA443" s="343"/>
      <c r="AB443" s="344"/>
    </row>
    <row r="444" spans="3:29" ht="14.25" customHeight="1" x14ac:dyDescent="0.6">
      <c r="H444" s="424" t="s">
        <v>977</v>
      </c>
      <c r="I444" s="425"/>
      <c r="J444" s="425"/>
      <c r="K444" s="425"/>
      <c r="L444" s="425"/>
      <c r="M444" s="426"/>
      <c r="N444" s="443" t="s">
        <v>1052</v>
      </c>
      <c r="O444" s="444"/>
      <c r="P444" s="444"/>
      <c r="Q444" s="444"/>
      <c r="R444" s="444"/>
      <c r="S444" s="334"/>
      <c r="T444" s="334"/>
      <c r="U444" s="335"/>
      <c r="V444" s="335"/>
      <c r="W444" s="335"/>
      <c r="X444" s="335"/>
      <c r="Y444" s="335"/>
      <c r="Z444" s="335"/>
      <c r="AA444" s="335"/>
      <c r="AB444" s="345"/>
    </row>
    <row r="445" spans="3:29" ht="14.25" customHeight="1" x14ac:dyDescent="0.6">
      <c r="H445" s="424" t="s">
        <v>981</v>
      </c>
      <c r="I445" s="425"/>
      <c r="J445" s="425"/>
      <c r="K445" s="425"/>
      <c r="L445" s="425"/>
      <c r="M445" s="426"/>
      <c r="N445" s="443" t="s">
        <v>1053</v>
      </c>
      <c r="O445" s="444"/>
      <c r="P445" s="444"/>
      <c r="Q445" s="444"/>
      <c r="R445" s="444"/>
      <c r="S445" s="334"/>
      <c r="T445" s="334"/>
      <c r="U445" s="335"/>
      <c r="V445" s="335"/>
      <c r="W445" s="335"/>
      <c r="X445" s="335"/>
      <c r="Y445" s="335"/>
      <c r="Z445" s="335"/>
      <c r="AA445" s="335"/>
      <c r="AB445" s="345"/>
    </row>
    <row r="446" spans="3:29" ht="30.4" customHeight="1" x14ac:dyDescent="0.75">
      <c r="H446" s="445" t="s">
        <v>1023</v>
      </c>
      <c r="I446" s="446"/>
      <c r="J446" s="446"/>
      <c r="K446" s="446"/>
      <c r="L446" s="446"/>
      <c r="M446" s="447"/>
      <c r="N446" s="432" t="s">
        <v>1050</v>
      </c>
      <c r="O446" s="433"/>
      <c r="P446" s="433"/>
      <c r="Q446" s="433"/>
      <c r="R446" s="434"/>
      <c r="S446" s="261"/>
      <c r="T446" s="268"/>
      <c r="U446" s="261"/>
      <c r="V446" s="261"/>
      <c r="W446" s="261"/>
      <c r="X446" s="261"/>
      <c r="Y446" s="261"/>
      <c r="Z446" s="261"/>
      <c r="AA446" s="261"/>
      <c r="AB446" s="262"/>
    </row>
    <row r="447" spans="3:29" ht="30.75" customHeight="1" x14ac:dyDescent="0.6">
      <c r="H447" s="424" t="s">
        <v>1016</v>
      </c>
      <c r="I447" s="425"/>
      <c r="J447" s="425"/>
      <c r="K447" s="425"/>
      <c r="L447" s="425"/>
      <c r="M447" s="426"/>
      <c r="N447" s="443" t="s">
        <v>1053</v>
      </c>
      <c r="O447" s="444"/>
      <c r="P447" s="444"/>
      <c r="Q447" s="444"/>
      <c r="R447" s="444"/>
      <c r="S447" s="334"/>
      <c r="T447" s="334"/>
      <c r="U447" s="335"/>
      <c r="V447" s="335"/>
      <c r="W447" s="335"/>
      <c r="X447" s="335"/>
      <c r="Y447" s="335"/>
      <c r="Z447" s="335"/>
      <c r="AA447" s="335"/>
      <c r="AB447" s="345"/>
    </row>
    <row r="448" spans="3:29" ht="13.5" customHeight="1" x14ac:dyDescent="0.6">
      <c r="H448" s="424" t="s">
        <v>1017</v>
      </c>
      <c r="I448" s="425"/>
      <c r="J448" s="425"/>
      <c r="K448" s="425"/>
      <c r="L448" s="425"/>
      <c r="M448" s="426"/>
      <c r="N448" s="435" t="s">
        <v>1018</v>
      </c>
      <c r="O448" s="436"/>
      <c r="P448" s="436"/>
      <c r="Q448" s="436"/>
      <c r="R448" s="436"/>
      <c r="S448" s="334"/>
      <c r="T448" s="334"/>
      <c r="U448" s="335"/>
      <c r="V448" s="335"/>
      <c r="W448" s="335"/>
      <c r="X448" s="335"/>
      <c r="Y448" s="335"/>
      <c r="Z448" s="335"/>
      <c r="AA448" s="335"/>
      <c r="AB448" s="345"/>
    </row>
    <row r="449" spans="8:28" ht="14.25" customHeight="1" thickBot="1" x14ac:dyDescent="0.75">
      <c r="H449" s="437" t="s">
        <v>1025</v>
      </c>
      <c r="I449" s="438"/>
      <c r="J449" s="438"/>
      <c r="K449" s="438"/>
      <c r="L449" s="438"/>
      <c r="M449" s="439"/>
      <c r="N449" s="440" t="s">
        <v>1018</v>
      </c>
      <c r="O449" s="441"/>
      <c r="P449" s="441"/>
      <c r="Q449" s="441"/>
      <c r="R449" s="441"/>
      <c r="S449" s="338"/>
      <c r="T449" s="338"/>
      <c r="U449" s="338"/>
      <c r="V449" s="339"/>
      <c r="W449" s="339"/>
      <c r="X449" s="339"/>
      <c r="Y449" s="339"/>
      <c r="Z449" s="339"/>
      <c r="AA449" s="339"/>
      <c r="AB449" s="340"/>
    </row>
    <row r="453" spans="8:28" ht="14.25" customHeight="1" x14ac:dyDescent="0.6">
      <c r="S453" s="137" t="s">
        <v>915</v>
      </c>
    </row>
    <row r="455" spans="8:28" ht="14.25" customHeight="1" x14ac:dyDescent="0.6">
      <c r="N455" s="346"/>
    </row>
    <row r="457" spans="8:28" ht="14.25" customHeight="1" x14ac:dyDescent="0.6">
      <c r="M457" s="346"/>
    </row>
    <row r="702" spans="13:44" ht="14.25" customHeight="1" x14ac:dyDescent="0.6">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H447:M447"/>
    <mergeCell ref="N447:R447"/>
    <mergeCell ref="H448:M448"/>
    <mergeCell ref="N448:R448"/>
    <mergeCell ref="H449:M449"/>
    <mergeCell ref="N449:R449"/>
    <mergeCell ref="H444:M444"/>
    <mergeCell ref="N444:R444"/>
    <mergeCell ref="H445:M445"/>
    <mergeCell ref="N445:R445"/>
    <mergeCell ref="H446:M446"/>
    <mergeCell ref="N446:R44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J415:J417"/>
    <mergeCell ref="G433:U433"/>
    <mergeCell ref="H435:M435"/>
    <mergeCell ref="N435:R435"/>
    <mergeCell ref="H436:M436"/>
    <mergeCell ref="N436:R436"/>
    <mergeCell ref="H314:H343"/>
    <mergeCell ref="J314:J343"/>
    <mergeCell ref="H347:H376"/>
    <mergeCell ref="J347:J376"/>
    <mergeCell ref="H379:H391"/>
    <mergeCell ref="J379:J391"/>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A1:J1"/>
    <mergeCell ref="U4:U5"/>
    <mergeCell ref="G7:Y7"/>
    <mergeCell ref="H9:H24"/>
    <mergeCell ref="J9:L9"/>
    <mergeCell ref="M9:R9"/>
    <mergeCell ref="J11:R11"/>
    <mergeCell ref="J12:R12"/>
    <mergeCell ref="J13:R13"/>
    <mergeCell ref="J14:R14"/>
    <mergeCell ref="J15:R15"/>
    <mergeCell ref="J16:R18"/>
    <mergeCell ref="J19:R19"/>
    <mergeCell ref="M20:R24"/>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53125" defaultRowHeight="14.25" customHeight="1" x14ac:dyDescent="0.6"/>
  <cols>
    <col min="1" max="1" width="9.453125" style="137"/>
    <col min="2" max="7" width="1.453125" style="137" customWidth="1"/>
    <col min="8" max="8" width="5.453125" style="137" customWidth="1"/>
    <col min="9" max="9" width="7.453125" style="137" bestFit="1" customWidth="1"/>
    <col min="10" max="10" width="16.453125" style="137" customWidth="1"/>
    <col min="11" max="11" width="55" style="137" bestFit="1" customWidth="1"/>
    <col min="12" max="12" width="22.453125" style="137" customWidth="1"/>
    <col min="13" max="16" width="11.453125" style="137" customWidth="1"/>
    <col min="17" max="17" width="12.453125" style="137" customWidth="1"/>
    <col min="18" max="18" width="13.453125" style="137" customWidth="1"/>
    <col min="19" max="19" width="14" style="137" customWidth="1"/>
    <col min="20" max="24" width="11.453125" style="137" customWidth="1"/>
    <col min="25" max="25" width="9.453125" style="137" bestFit="1" customWidth="1"/>
    <col min="26" max="45" width="11.453125" style="137" customWidth="1"/>
    <col min="46" max="16384" width="9.453125" style="137"/>
  </cols>
  <sheetData>
    <row r="1" spans="1:110" ht="18" x14ac:dyDescent="0.8">
      <c r="A1" s="135" t="s">
        <v>864</v>
      </c>
      <c r="B1" s="135"/>
      <c r="C1" s="135"/>
      <c r="D1" s="135"/>
      <c r="E1" s="135"/>
      <c r="F1" s="135"/>
      <c r="G1" s="135"/>
      <c r="H1" s="135"/>
      <c r="I1" s="136"/>
      <c r="M1" s="138" t="s">
        <v>887</v>
      </c>
    </row>
    <row r="2" spans="1:110" ht="14.25" customHeight="1" x14ac:dyDescent="0.75">
      <c r="A2"/>
      <c r="B2"/>
      <c r="C2"/>
      <c r="D2"/>
      <c r="E2"/>
      <c r="F2" s="139"/>
      <c r="G2" s="139"/>
      <c r="H2" s="139"/>
      <c r="I2" s="139"/>
      <c r="J2" s="139"/>
      <c r="K2" s="139"/>
      <c r="L2" s="139"/>
      <c r="M2" s="139"/>
      <c r="N2" s="139"/>
      <c r="O2" s="139"/>
      <c r="P2" s="139"/>
      <c r="Q2" s="139"/>
      <c r="R2" s="139"/>
      <c r="S2" s="139"/>
      <c r="T2" s="139"/>
      <c r="U2" s="140" t="s">
        <v>888</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75">
      <c r="A3"/>
      <c r="B3"/>
      <c r="C3"/>
      <c r="D3"/>
      <c r="E3"/>
      <c r="U3" s="141" t="s">
        <v>889</v>
      </c>
    </row>
    <row r="4" spans="1:110" ht="14.25" customHeight="1" x14ac:dyDescent="0.6">
      <c r="J4" s="142"/>
      <c r="U4" s="354" t="s">
        <v>890</v>
      </c>
    </row>
    <row r="5" spans="1:110" ht="14.25" customHeight="1" x14ac:dyDescent="0.6">
      <c r="U5" s="355"/>
    </row>
    <row r="7" spans="1:110" ht="14.25" customHeight="1" x14ac:dyDescent="0.75">
      <c r="B7" s="143" t="s">
        <v>891</v>
      </c>
      <c r="G7" s="356" t="s">
        <v>892</v>
      </c>
      <c r="H7" s="448"/>
      <c r="I7" s="448"/>
      <c r="J7" s="448"/>
      <c r="K7" s="448"/>
      <c r="L7" s="448"/>
      <c r="M7" s="448"/>
      <c r="N7" s="448"/>
      <c r="O7" s="448"/>
      <c r="P7" s="448"/>
      <c r="Q7" s="448"/>
      <c r="R7" s="448"/>
      <c r="S7" s="448"/>
      <c r="T7" s="448"/>
      <c r="U7" s="448"/>
      <c r="V7" s="448"/>
      <c r="W7" s="448"/>
      <c r="X7" s="449"/>
    </row>
    <row r="8" spans="1:110" ht="14.25" customHeight="1" thickBot="1" x14ac:dyDescent="0.75">
      <c r="G8" s="145"/>
      <c r="X8" s="146"/>
    </row>
    <row r="9" spans="1:110" ht="14.25" customHeight="1" thickBot="1" x14ac:dyDescent="0.75">
      <c r="G9" s="145"/>
      <c r="H9" s="450" t="s">
        <v>893</v>
      </c>
      <c r="J9" s="360" t="s">
        <v>894</v>
      </c>
      <c r="K9" s="361"/>
      <c r="L9" s="362"/>
      <c r="M9" s="452">
        <v>2021</v>
      </c>
      <c r="N9" s="453"/>
      <c r="O9" s="453"/>
      <c r="P9" s="454"/>
      <c r="R9" s="147"/>
      <c r="X9" s="146"/>
    </row>
    <row r="10" spans="1:110" ht="14.25" customHeight="1" thickBot="1" x14ac:dyDescent="0.9">
      <c r="G10" s="145"/>
      <c r="H10" s="451"/>
      <c r="J10" s="148" t="s">
        <v>895</v>
      </c>
      <c r="P10" s="146"/>
      <c r="R10"/>
      <c r="S10"/>
      <c r="T10"/>
      <c r="U10"/>
      <c r="V10"/>
      <c r="X10" s="146"/>
      <c r="AB10"/>
      <c r="AC10"/>
    </row>
    <row r="11" spans="1:110" ht="14.25" customHeight="1" x14ac:dyDescent="0.75">
      <c r="G11" s="145"/>
      <c r="H11" s="451"/>
      <c r="J11" s="149" t="s">
        <v>896</v>
      </c>
      <c r="K11" s="150"/>
      <c r="L11" s="150"/>
      <c r="M11" s="150"/>
      <c r="N11" s="150"/>
      <c r="P11"/>
      <c r="Q11"/>
      <c r="R11"/>
      <c r="S11"/>
      <c r="T11"/>
      <c r="X11" s="146"/>
    </row>
    <row r="12" spans="1:110" ht="13.5" customHeight="1" thickBot="1" x14ac:dyDescent="0.75">
      <c r="G12" s="145"/>
      <c r="H12" s="451"/>
      <c r="X12" s="146"/>
    </row>
    <row r="13" spans="1:110" ht="45.75" customHeight="1" thickBot="1" x14ac:dyDescent="0.75">
      <c r="G13" s="145"/>
      <c r="H13" s="451"/>
      <c r="J13" s="397" t="s">
        <v>897</v>
      </c>
      <c r="K13" s="152" t="s">
        <v>898</v>
      </c>
      <c r="L13" s="152" t="s">
        <v>899</v>
      </c>
      <c r="M13" s="152" t="s">
        <v>900</v>
      </c>
      <c r="N13" s="152" t="s">
        <v>901</v>
      </c>
      <c r="O13" s="152" t="s">
        <v>902</v>
      </c>
      <c r="P13" s="152" t="s">
        <v>903</v>
      </c>
      <c r="Q13" s="152" t="s">
        <v>904</v>
      </c>
      <c r="R13" s="152" t="s">
        <v>905</v>
      </c>
      <c r="X13" s="146"/>
    </row>
    <row r="14" spans="1:110" ht="14.25" customHeight="1" x14ac:dyDescent="0.6">
      <c r="G14" s="145"/>
      <c r="H14" s="451"/>
      <c r="J14" s="397"/>
      <c r="K14" s="153" t="s">
        <v>906</v>
      </c>
      <c r="L14" s="153" t="s">
        <v>907</v>
      </c>
      <c r="M14" s="153" t="s">
        <v>908</v>
      </c>
      <c r="N14" s="153" t="s">
        <v>909</v>
      </c>
      <c r="O14" s="153" t="s">
        <v>910</v>
      </c>
      <c r="P14" s="153" t="s">
        <v>908</v>
      </c>
      <c r="Q14" s="153" t="s">
        <v>911</v>
      </c>
      <c r="R14" s="154">
        <v>9.5</v>
      </c>
      <c r="S14" s="155"/>
      <c r="X14" s="146"/>
    </row>
    <row r="15" spans="1:110" ht="14.25" customHeight="1" x14ac:dyDescent="0.6">
      <c r="G15" s="145"/>
      <c r="H15" s="451"/>
      <c r="J15" s="397"/>
      <c r="K15" s="156" t="s">
        <v>912</v>
      </c>
      <c r="L15" s="156" t="s">
        <v>907</v>
      </c>
      <c r="M15" s="156" t="s">
        <v>913</v>
      </c>
      <c r="N15" s="156" t="s">
        <v>909</v>
      </c>
      <c r="O15" s="156" t="s">
        <v>910</v>
      </c>
      <c r="P15" s="156" t="s">
        <v>913</v>
      </c>
      <c r="Q15" s="156" t="s">
        <v>914</v>
      </c>
      <c r="R15" s="157">
        <v>8.9</v>
      </c>
      <c r="X15" s="146"/>
      <c r="AA15" s="137" t="s">
        <v>915</v>
      </c>
    </row>
    <row r="16" spans="1:110" ht="14.25" customHeight="1" x14ac:dyDescent="0.6">
      <c r="G16" s="145"/>
      <c r="H16" s="451"/>
      <c r="J16" s="397"/>
      <c r="K16" s="158" t="s">
        <v>916</v>
      </c>
      <c r="L16" s="158" t="s">
        <v>907</v>
      </c>
      <c r="M16" s="158" t="s">
        <v>917</v>
      </c>
      <c r="N16" s="158" t="s">
        <v>909</v>
      </c>
      <c r="O16" s="158" t="s">
        <v>910</v>
      </c>
      <c r="P16" s="158" t="s">
        <v>917</v>
      </c>
      <c r="Q16" s="158" t="s">
        <v>918</v>
      </c>
      <c r="R16" s="159">
        <v>8.6999999999999993</v>
      </c>
      <c r="X16" s="146"/>
    </row>
    <row r="17" spans="7:29" ht="14.25" customHeight="1" x14ac:dyDescent="0.6">
      <c r="G17" s="145"/>
      <c r="H17" s="451"/>
      <c r="J17" s="397"/>
      <c r="K17" s="156" t="s">
        <v>919</v>
      </c>
      <c r="L17" s="156" t="s">
        <v>907</v>
      </c>
      <c r="M17" s="156" t="s">
        <v>920</v>
      </c>
      <c r="N17" s="156" t="s">
        <v>909</v>
      </c>
      <c r="O17" s="156" t="s">
        <v>910</v>
      </c>
      <c r="P17" s="156" t="s">
        <v>920</v>
      </c>
      <c r="Q17" s="156" t="s">
        <v>921</v>
      </c>
      <c r="R17" s="157">
        <v>8.5</v>
      </c>
      <c r="X17" s="146"/>
    </row>
    <row r="18" spans="7:29" ht="14.25" customHeight="1" x14ac:dyDescent="0.6">
      <c r="G18" s="145"/>
      <c r="H18" s="451"/>
      <c r="J18" s="397"/>
      <c r="K18" s="158" t="s">
        <v>922</v>
      </c>
      <c r="L18" s="158" t="s">
        <v>907</v>
      </c>
      <c r="M18" s="158" t="s">
        <v>923</v>
      </c>
      <c r="N18" s="158" t="s">
        <v>909</v>
      </c>
      <c r="O18" s="158" t="s">
        <v>910</v>
      </c>
      <c r="P18" s="158" t="s">
        <v>923</v>
      </c>
      <c r="Q18" s="158" t="s">
        <v>924</v>
      </c>
      <c r="R18" s="159">
        <v>8.1999999999999993</v>
      </c>
    </row>
    <row r="19" spans="7:29" ht="14.25" customHeight="1" x14ac:dyDescent="0.6">
      <c r="G19" s="145"/>
      <c r="H19" s="451"/>
      <c r="J19" s="397"/>
      <c r="K19" s="160" t="s">
        <v>925</v>
      </c>
      <c r="L19" s="160" t="s">
        <v>907</v>
      </c>
      <c r="M19" s="160" t="s">
        <v>926</v>
      </c>
      <c r="N19" s="160" t="s">
        <v>909</v>
      </c>
      <c r="O19" s="160" t="s">
        <v>910</v>
      </c>
      <c r="P19" s="160" t="s">
        <v>926</v>
      </c>
      <c r="Q19" s="160" t="s">
        <v>927</v>
      </c>
      <c r="R19" s="161">
        <v>7.8</v>
      </c>
    </row>
    <row r="20" spans="7:29" ht="14.25" customHeight="1" x14ac:dyDescent="0.6">
      <c r="G20" s="145"/>
      <c r="H20" s="451"/>
      <c r="J20" s="397"/>
      <c r="K20" s="158" t="s">
        <v>928</v>
      </c>
      <c r="L20" s="158" t="s">
        <v>907</v>
      </c>
      <c r="M20" s="158" t="s">
        <v>929</v>
      </c>
      <c r="N20" s="158" t="s">
        <v>909</v>
      </c>
      <c r="O20" s="158" t="s">
        <v>910</v>
      </c>
      <c r="P20" s="158" t="s">
        <v>929</v>
      </c>
      <c r="Q20" s="158" t="s">
        <v>930</v>
      </c>
      <c r="R20" s="159">
        <v>7.4</v>
      </c>
    </row>
    <row r="21" spans="7:29" ht="14.25" customHeight="1" x14ac:dyDescent="0.6">
      <c r="G21" s="145"/>
      <c r="H21" s="451"/>
      <c r="J21" s="397"/>
      <c r="K21" s="156" t="s">
        <v>931</v>
      </c>
      <c r="L21" s="156" t="s">
        <v>932</v>
      </c>
      <c r="M21" s="156" t="s">
        <v>933</v>
      </c>
      <c r="N21" s="156" t="s">
        <v>909</v>
      </c>
      <c r="O21" s="156" t="s">
        <v>910</v>
      </c>
      <c r="P21" s="156" t="s">
        <v>933</v>
      </c>
      <c r="Q21" s="156" t="s">
        <v>934</v>
      </c>
      <c r="R21" s="157">
        <v>6.8</v>
      </c>
    </row>
    <row r="22" spans="7:29" ht="14.25" customHeight="1" x14ac:dyDescent="0.6">
      <c r="G22" s="145"/>
      <c r="H22" s="451"/>
      <c r="J22" s="397"/>
      <c r="K22" s="158" t="s">
        <v>935</v>
      </c>
      <c r="L22" s="158" t="s">
        <v>936</v>
      </c>
      <c r="M22" s="158" t="s">
        <v>937</v>
      </c>
      <c r="N22" s="158" t="s">
        <v>909</v>
      </c>
      <c r="O22" s="158" t="s">
        <v>910</v>
      </c>
      <c r="P22" s="158" t="s">
        <v>937</v>
      </c>
      <c r="Q22" s="158" t="s">
        <v>938</v>
      </c>
      <c r="R22" s="159">
        <v>6.2</v>
      </c>
    </row>
    <row r="23" spans="7:29" ht="14.25" customHeight="1" thickBot="1" x14ac:dyDescent="0.75">
      <c r="G23" s="145"/>
      <c r="H23" s="451"/>
      <c r="J23" s="397"/>
      <c r="K23" s="162" t="s">
        <v>939</v>
      </c>
      <c r="L23" s="162" t="s">
        <v>940</v>
      </c>
      <c r="M23" s="162" t="s">
        <v>941</v>
      </c>
      <c r="N23" s="162" t="s">
        <v>909</v>
      </c>
      <c r="O23" s="162" t="s">
        <v>910</v>
      </c>
      <c r="P23" s="162" t="s">
        <v>941</v>
      </c>
      <c r="Q23" s="162" t="s">
        <v>942</v>
      </c>
      <c r="R23" s="163">
        <v>5.2</v>
      </c>
    </row>
    <row r="24" spans="7:29" ht="14.25" customHeight="1" x14ac:dyDescent="0.6">
      <c r="G24" s="145"/>
      <c r="H24" s="451"/>
      <c r="J24" s="397"/>
    </row>
    <row r="25" spans="7:29" ht="14.25" customHeight="1" x14ac:dyDescent="0.6">
      <c r="G25" s="145"/>
      <c r="H25" s="451"/>
      <c r="J25" s="397"/>
      <c r="P25" s="137" t="s">
        <v>943</v>
      </c>
      <c r="U25" s="146"/>
    </row>
    <row r="26" spans="7:29" ht="14.25" customHeight="1" x14ac:dyDescent="0.6">
      <c r="G26" s="145"/>
    </row>
    <row r="27" spans="7:29" ht="14.25" customHeight="1" thickBot="1" x14ac:dyDescent="0.75">
      <c r="G27" s="145"/>
      <c r="Q27" s="137" t="s">
        <v>944</v>
      </c>
      <c r="S27" s="164" t="s">
        <v>1063</v>
      </c>
    </row>
    <row r="28" spans="7:29" ht="14.25" customHeight="1" x14ac:dyDescent="0.6">
      <c r="G28" s="145"/>
      <c r="H28" s="455" t="s">
        <v>945</v>
      </c>
      <c r="J28" s="402" t="s">
        <v>946</v>
      </c>
      <c r="K28" s="403"/>
      <c r="L28" s="403"/>
      <c r="M28" s="403"/>
      <c r="N28" s="403"/>
      <c r="O28" s="404"/>
      <c r="Q28" s="137" t="s">
        <v>947</v>
      </c>
      <c r="S28" s="165">
        <v>20</v>
      </c>
    </row>
    <row r="29" spans="7:29" ht="14.25" customHeight="1" thickBot="1" x14ac:dyDescent="0.75">
      <c r="G29" s="145"/>
      <c r="H29" s="456"/>
      <c r="J29" s="166" t="s">
        <v>948</v>
      </c>
      <c r="K29" s="167"/>
      <c r="L29" s="167"/>
      <c r="M29" s="167"/>
      <c r="N29" s="167"/>
      <c r="O29" s="168">
        <v>20</v>
      </c>
      <c r="Z29" s="169"/>
      <c r="AA29" s="169"/>
      <c r="AB29" s="169"/>
      <c r="AC29" s="169"/>
    </row>
    <row r="30" spans="7:29" ht="14.25" customHeight="1" x14ac:dyDescent="0.6">
      <c r="G30" s="145"/>
      <c r="H30" s="456"/>
      <c r="J30" s="170" t="s">
        <v>949</v>
      </c>
      <c r="K30" s="171"/>
      <c r="L30" s="171"/>
      <c r="M30" s="171"/>
      <c r="N30" s="171"/>
      <c r="O30" s="172">
        <v>5</v>
      </c>
    </row>
    <row r="31" spans="7:29" ht="14.25" customHeight="1" thickBot="1" x14ac:dyDescent="0.75">
      <c r="G31" s="145"/>
      <c r="H31" s="456"/>
      <c r="J31" s="457" t="s">
        <v>950</v>
      </c>
      <c r="K31" s="458"/>
      <c r="L31" s="458"/>
      <c r="M31" s="458"/>
      <c r="N31" s="458"/>
      <c r="O31" s="173">
        <v>0.02</v>
      </c>
    </row>
    <row r="32" spans="7:29" ht="14.25" customHeight="1" x14ac:dyDescent="0.6">
      <c r="G32" s="145"/>
      <c r="H32" s="456"/>
      <c r="J32" s="174" t="s">
        <v>951</v>
      </c>
      <c r="K32" s="175"/>
      <c r="L32" s="175"/>
      <c r="N32" s="176"/>
      <c r="O32" s="177">
        <v>3</v>
      </c>
    </row>
    <row r="33" spans="7:42" ht="26.25" customHeight="1" x14ac:dyDescent="0.6">
      <c r="G33" s="145"/>
      <c r="H33" s="456"/>
      <c r="J33" s="178" t="s">
        <v>172</v>
      </c>
      <c r="K33" s="179" t="s">
        <v>952</v>
      </c>
      <c r="L33" s="459" t="s">
        <v>953</v>
      </c>
      <c r="M33" s="461" t="s">
        <v>954</v>
      </c>
    </row>
    <row r="34" spans="7:42" ht="26.25" customHeight="1" x14ac:dyDescent="0.6">
      <c r="G34" s="145"/>
      <c r="H34" s="456"/>
      <c r="J34" s="180" t="s">
        <v>955</v>
      </c>
      <c r="K34" s="181" t="s">
        <v>956</v>
      </c>
      <c r="L34" s="460"/>
      <c r="M34" s="462"/>
    </row>
    <row r="35" spans="7:42" ht="14.25" customHeight="1" x14ac:dyDescent="0.6">
      <c r="G35" s="145"/>
      <c r="H35" s="456"/>
      <c r="J35" s="182">
        <v>0</v>
      </c>
      <c r="K35" s="183">
        <v>0.8</v>
      </c>
      <c r="L35" s="183">
        <v>0.8</v>
      </c>
      <c r="M35" s="184">
        <v>0.19999999999999996</v>
      </c>
    </row>
    <row r="36" spans="7:42" ht="14.25" customHeight="1" x14ac:dyDescent="0.6">
      <c r="G36" s="145"/>
      <c r="H36" s="456"/>
      <c r="J36" s="185">
        <v>1</v>
      </c>
      <c r="K36" s="186">
        <v>0.1</v>
      </c>
      <c r="L36" s="186">
        <v>0.8</v>
      </c>
      <c r="M36" s="184">
        <v>0.19999999999999996</v>
      </c>
      <c r="O36" s="187"/>
    </row>
    <row r="37" spans="7:42" ht="14.25" customHeight="1" thickBot="1" x14ac:dyDescent="0.75">
      <c r="G37" s="145"/>
      <c r="H37" s="456"/>
      <c r="J37" s="188">
        <v>2</v>
      </c>
      <c r="K37" s="189">
        <v>0.1</v>
      </c>
      <c r="L37" s="189">
        <v>0.8</v>
      </c>
      <c r="M37" s="190">
        <v>0.19999999999999996</v>
      </c>
    </row>
    <row r="38" spans="7:42" ht="14.25" customHeight="1" x14ac:dyDescent="0.6">
      <c r="G38" s="145"/>
      <c r="H38" s="456"/>
      <c r="M38" s="191"/>
    </row>
    <row r="39" spans="7:42" ht="14.25" customHeight="1" x14ac:dyDescent="0.75">
      <c r="H39" s="456"/>
      <c r="P39"/>
      <c r="Q39"/>
      <c r="R39"/>
      <c r="S39"/>
      <c r="T39"/>
    </row>
    <row r="40" spans="7:42" ht="14.25" customHeight="1" x14ac:dyDescent="0.6">
      <c r="H40" s="456"/>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6">
      <c r="H41" s="456"/>
      <c r="J41" s="397" t="s">
        <v>957</v>
      </c>
      <c r="K41" s="192" t="s">
        <v>958</v>
      </c>
      <c r="L41" s="192" t="s">
        <v>959</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6">
      <c r="H42" s="456"/>
      <c r="J42" s="397"/>
      <c r="K42" s="192" t="s">
        <v>960</v>
      </c>
      <c r="L42" s="192" t="s">
        <v>961</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6">
      <c r="H43" s="456"/>
      <c r="J43" s="397"/>
      <c r="K43" s="192" t="s">
        <v>960</v>
      </c>
      <c r="L43" s="192" t="s">
        <v>962</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6">
      <c r="H44" s="456"/>
      <c r="J44" s="397"/>
      <c r="K44" s="192" t="s">
        <v>960</v>
      </c>
      <c r="L44" s="192" t="s">
        <v>963</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75">
      <c r="H45" s="456"/>
      <c r="J45" s="397"/>
      <c r="K45" s="192" t="s">
        <v>964</v>
      </c>
      <c r="L45" s="192" t="s">
        <v>961</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75">
      <c r="H46" s="456"/>
      <c r="J46" s="397"/>
      <c r="K46" s="192" t="s">
        <v>964</v>
      </c>
      <c r="L46" s="192" t="s">
        <v>962</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75">
      <c r="H47" s="456"/>
      <c r="J47" s="397"/>
      <c r="K47" s="192" t="s">
        <v>964</v>
      </c>
      <c r="L47" s="192" t="s">
        <v>963</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6">
      <c r="H48" s="456"/>
      <c r="J48" s="397"/>
      <c r="K48" s="192" t="s">
        <v>965</v>
      </c>
      <c r="L48" s="192" t="s">
        <v>959</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6">
      <c r="H49" s="456"/>
      <c r="J49" s="397"/>
      <c r="K49" s="192" t="s">
        <v>966</v>
      </c>
      <c r="L49" s="192" t="s">
        <v>961</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6">
      <c r="H50" s="456"/>
      <c r="J50" s="397"/>
      <c r="K50" s="192" t="s">
        <v>966</v>
      </c>
      <c r="L50" s="192" t="s">
        <v>962</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6">
      <c r="H51" s="456"/>
      <c r="J51" s="397"/>
      <c r="K51" s="192" t="s">
        <v>966</v>
      </c>
      <c r="L51" s="192" t="s">
        <v>963</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75">
      <c r="H52" s="456"/>
      <c r="J52" s="397"/>
      <c r="K52" s="192" t="s">
        <v>967</v>
      </c>
      <c r="L52" s="192" t="s">
        <v>961</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75">
      <c r="H53" s="456"/>
      <c r="J53" s="397"/>
      <c r="K53" s="192" t="s">
        <v>967</v>
      </c>
      <c r="L53" s="192" t="s">
        <v>962</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75">
      <c r="H54" s="456"/>
      <c r="J54" s="397"/>
      <c r="K54" s="192" t="s">
        <v>967</v>
      </c>
      <c r="L54" s="192" t="s">
        <v>963</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6">
      <c r="H55" s="456"/>
      <c r="J55" s="397"/>
      <c r="K55" s="192" t="s">
        <v>968</v>
      </c>
      <c r="L55" s="192" t="s">
        <v>961</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6">
      <c r="H56" s="456"/>
      <c r="J56" s="397"/>
      <c r="K56" s="192" t="s">
        <v>968</v>
      </c>
      <c r="L56" s="192" t="s">
        <v>962</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6">
      <c r="H57" s="456"/>
      <c r="J57" s="397"/>
      <c r="K57" s="192" t="s">
        <v>968</v>
      </c>
      <c r="L57" s="192" t="s">
        <v>963</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6">
      <c r="H58" s="456"/>
      <c r="J58" s="397"/>
      <c r="K58" s="192" t="s">
        <v>969</v>
      </c>
      <c r="L58" s="192" t="s">
        <v>959</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6">
      <c r="H59" s="456"/>
      <c r="J59" s="397"/>
      <c r="K59" s="192" t="s">
        <v>970</v>
      </c>
      <c r="L59" s="192" t="s">
        <v>961</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6">
      <c r="H60" s="456"/>
      <c r="J60" s="397"/>
      <c r="K60" s="192" t="s">
        <v>970</v>
      </c>
      <c r="L60" s="192" t="s">
        <v>962</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6">
      <c r="H61" s="456"/>
      <c r="J61" s="397"/>
      <c r="K61" s="192" t="s">
        <v>970</v>
      </c>
      <c r="L61" s="192" t="s">
        <v>963</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75">
      <c r="H62" s="456"/>
      <c r="J62" s="397"/>
      <c r="K62" s="192" t="s">
        <v>971</v>
      </c>
      <c r="L62" s="192" t="s">
        <v>961</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75">
      <c r="H63" s="456"/>
      <c r="J63" s="397"/>
      <c r="K63" s="192" t="s">
        <v>971</v>
      </c>
      <c r="L63" s="192" t="s">
        <v>962</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75">
      <c r="H64" s="456"/>
      <c r="J64" s="397"/>
      <c r="K64" s="192" t="s">
        <v>971</v>
      </c>
      <c r="L64" s="192" t="s">
        <v>963</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6">
      <c r="H65" s="456"/>
      <c r="J65" s="397"/>
      <c r="K65" s="196" t="s">
        <v>972</v>
      </c>
      <c r="L65" s="192" t="s">
        <v>961</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6">
      <c r="H66" s="456"/>
      <c r="J66" s="397"/>
      <c r="K66" s="196" t="s">
        <v>972</v>
      </c>
      <c r="L66" s="192" t="s">
        <v>962</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6">
      <c r="H67" s="456"/>
      <c r="J67" s="397"/>
      <c r="K67" s="196" t="s">
        <v>972</v>
      </c>
      <c r="L67" s="192" t="s">
        <v>963</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6">
      <c r="H68" s="456"/>
      <c r="J68" s="397"/>
      <c r="K68" s="196" t="s">
        <v>973</v>
      </c>
      <c r="L68" s="192" t="s">
        <v>961</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6">
      <c r="H69" s="456"/>
      <c r="J69" s="151"/>
      <c r="K69" s="196" t="s">
        <v>973</v>
      </c>
      <c r="L69" s="192" t="s">
        <v>962</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6">
      <c r="H70" s="456"/>
      <c r="J70" s="151"/>
      <c r="K70" s="196" t="s">
        <v>973</v>
      </c>
      <c r="L70" s="192" t="s">
        <v>963</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6">
      <c r="X71" s="197"/>
    </row>
    <row r="72" spans="4:44" ht="14.25" customHeight="1" x14ac:dyDescent="0.6">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6">
      <c r="D73" s="143" t="s">
        <v>891</v>
      </c>
      <c r="G73" s="356" t="s">
        <v>974</v>
      </c>
      <c r="H73" s="356"/>
      <c r="I73" s="356"/>
      <c r="J73" s="356"/>
      <c r="K73" s="356"/>
      <c r="L73" s="356"/>
      <c r="M73" s="356"/>
      <c r="N73" s="356"/>
      <c r="O73" s="356"/>
      <c r="P73" s="356"/>
      <c r="Q73" s="356"/>
      <c r="R73" s="356"/>
      <c r="S73" s="356"/>
      <c r="T73" s="356"/>
      <c r="U73" s="356"/>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6">
      <c r="G74" s="145"/>
      <c r="M74" s="137" t="s">
        <v>975</v>
      </c>
    </row>
    <row r="75" spans="4:44" ht="14.25" customHeight="1" thickBot="1" x14ac:dyDescent="0.7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6">
      <c r="G76" s="145"/>
      <c r="H76" s="398" t="s">
        <v>976</v>
      </c>
      <c r="J76" s="351" t="s">
        <v>977</v>
      </c>
      <c r="K76" s="201" t="s">
        <v>906</v>
      </c>
      <c r="L76" s="201" t="s">
        <v>961</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6">
      <c r="G77" s="145"/>
      <c r="H77" s="398"/>
      <c r="J77" s="352"/>
      <c r="K77" s="142" t="s">
        <v>906</v>
      </c>
      <c r="L77" s="192" t="s">
        <v>962</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75">
      <c r="G78" s="145"/>
      <c r="H78" s="398"/>
      <c r="J78" s="352"/>
      <c r="K78" s="203" t="s">
        <v>906</v>
      </c>
      <c r="L78" s="203" t="s">
        <v>963</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6">
      <c r="G79" s="145"/>
      <c r="H79" s="398"/>
      <c r="J79" s="352"/>
      <c r="K79" s="201" t="s">
        <v>912</v>
      </c>
      <c r="L79" s="201" t="s">
        <v>961</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6">
      <c r="G80" s="145"/>
      <c r="H80" s="398"/>
      <c r="J80" s="352"/>
      <c r="K80" s="142" t="s">
        <v>912</v>
      </c>
      <c r="L80" s="192" t="s">
        <v>962</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75">
      <c r="G81" s="145"/>
      <c r="H81" s="398"/>
      <c r="J81" s="352"/>
      <c r="K81" s="203" t="s">
        <v>912</v>
      </c>
      <c r="L81" s="203" t="s">
        <v>963</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6">
      <c r="G82" s="145"/>
      <c r="H82" s="398"/>
      <c r="J82" s="352"/>
      <c r="K82" s="201" t="s">
        <v>916</v>
      </c>
      <c r="L82" s="201" t="s">
        <v>961</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6">
      <c r="G83" s="145"/>
      <c r="H83" s="398"/>
      <c r="J83" s="352"/>
      <c r="K83" s="142" t="s">
        <v>916</v>
      </c>
      <c r="L83" s="192" t="s">
        <v>962</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75">
      <c r="G84" s="145"/>
      <c r="H84" s="398"/>
      <c r="J84" s="352"/>
      <c r="K84" s="203" t="s">
        <v>916</v>
      </c>
      <c r="L84" s="203" t="s">
        <v>963</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6">
      <c r="G85" s="145"/>
      <c r="H85" s="398"/>
      <c r="J85" s="352"/>
      <c r="K85" s="201" t="s">
        <v>919</v>
      </c>
      <c r="L85" s="201" t="s">
        <v>961</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6">
      <c r="G86" s="145"/>
      <c r="H86" s="398"/>
      <c r="J86" s="352"/>
      <c r="K86" s="142" t="s">
        <v>919</v>
      </c>
      <c r="L86" s="192" t="s">
        <v>962</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75">
      <c r="G87" s="145"/>
      <c r="H87" s="398"/>
      <c r="J87" s="352"/>
      <c r="K87" s="203" t="s">
        <v>919</v>
      </c>
      <c r="L87" s="203" t="s">
        <v>963</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6">
      <c r="G88" s="145"/>
      <c r="H88" s="398"/>
      <c r="J88" s="352"/>
      <c r="K88" s="201" t="s">
        <v>922</v>
      </c>
      <c r="L88" s="201" t="s">
        <v>961</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6">
      <c r="G89" s="145"/>
      <c r="H89" s="398"/>
      <c r="J89" s="352"/>
      <c r="K89" s="142" t="s">
        <v>922</v>
      </c>
      <c r="L89" s="192" t="s">
        <v>962</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75">
      <c r="G90" s="145"/>
      <c r="H90" s="398"/>
      <c r="J90" s="352"/>
      <c r="K90" s="203" t="s">
        <v>922</v>
      </c>
      <c r="L90" s="203" t="s">
        <v>963</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6">
      <c r="G91" s="145"/>
      <c r="H91" s="398"/>
      <c r="J91" s="352"/>
      <c r="K91" s="201" t="s">
        <v>925</v>
      </c>
      <c r="L91" s="201" t="s">
        <v>961</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6">
      <c r="G92" s="145"/>
      <c r="H92" s="398"/>
      <c r="J92" s="352"/>
      <c r="K92" s="142" t="s">
        <v>925</v>
      </c>
      <c r="L92" s="192" t="s">
        <v>962</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75">
      <c r="G93" s="145"/>
      <c r="H93" s="398"/>
      <c r="J93" s="352"/>
      <c r="K93" s="203" t="s">
        <v>925</v>
      </c>
      <c r="L93" s="203" t="s">
        <v>963</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6">
      <c r="G94" s="145"/>
      <c r="H94" s="398"/>
      <c r="J94" s="352"/>
      <c r="K94" s="201" t="s">
        <v>928</v>
      </c>
      <c r="L94" s="201" t="s">
        <v>961</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6">
      <c r="G95" s="145"/>
      <c r="H95" s="398"/>
      <c r="J95" s="352"/>
      <c r="K95" s="142" t="s">
        <v>928</v>
      </c>
      <c r="L95" s="192" t="s">
        <v>962</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75">
      <c r="G96" s="145"/>
      <c r="H96" s="398"/>
      <c r="J96" s="352"/>
      <c r="K96" s="203" t="s">
        <v>928</v>
      </c>
      <c r="L96" s="203" t="s">
        <v>963</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6">
      <c r="G97" s="145"/>
      <c r="H97" s="398"/>
      <c r="J97" s="352"/>
      <c r="K97" s="201" t="s">
        <v>931</v>
      </c>
      <c r="L97" s="201" t="s">
        <v>961</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6">
      <c r="G98" s="145"/>
      <c r="H98" s="398"/>
      <c r="J98" s="352"/>
      <c r="K98" s="142" t="s">
        <v>931</v>
      </c>
      <c r="L98" s="192" t="s">
        <v>962</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75">
      <c r="G99" s="145"/>
      <c r="H99" s="398"/>
      <c r="J99" s="352"/>
      <c r="K99" s="203" t="s">
        <v>931</v>
      </c>
      <c r="L99" s="203" t="s">
        <v>963</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6">
      <c r="G100" s="145"/>
      <c r="H100" s="398"/>
      <c r="J100" s="352"/>
      <c r="K100" s="201" t="s">
        <v>935</v>
      </c>
      <c r="L100" s="201" t="s">
        <v>961</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75">
      <c r="G101" s="145"/>
      <c r="H101" s="398"/>
      <c r="J101" s="352"/>
      <c r="K101" s="142" t="s">
        <v>935</v>
      </c>
      <c r="L101" s="192" t="s">
        <v>962</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75">
      <c r="G102" s="145"/>
      <c r="H102" s="398"/>
      <c r="J102" s="352"/>
      <c r="K102" s="203" t="s">
        <v>935</v>
      </c>
      <c r="L102" s="203" t="s">
        <v>963</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6">
      <c r="G103" s="145"/>
      <c r="H103" s="398"/>
      <c r="J103" s="352"/>
      <c r="K103" s="201" t="s">
        <v>939</v>
      </c>
      <c r="L103" s="201" t="s">
        <v>961</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6">
      <c r="G104" s="145"/>
      <c r="H104" s="398"/>
      <c r="J104" s="352"/>
      <c r="K104" s="142" t="s">
        <v>939</v>
      </c>
      <c r="L104" s="192" t="s">
        <v>962</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6">
      <c r="G105" s="145"/>
      <c r="H105" s="398"/>
      <c r="J105" s="399"/>
      <c r="K105" s="203" t="s">
        <v>939</v>
      </c>
      <c r="L105" s="203" t="s">
        <v>963</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6">
      <c r="G106" s="145"/>
      <c r="H106" s="398"/>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6">
      <c r="G107" s="145"/>
      <c r="H107" s="398"/>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6">
      <c r="G108" s="145"/>
      <c r="H108" s="398"/>
      <c r="J108" s="351" t="s">
        <v>978</v>
      </c>
      <c r="K108" s="201" t="s">
        <v>906</v>
      </c>
      <c r="L108" s="201" t="s">
        <v>961</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6">
      <c r="G109" s="145"/>
      <c r="H109" s="398"/>
      <c r="J109" s="352"/>
      <c r="K109" s="142" t="s">
        <v>906</v>
      </c>
      <c r="L109" s="192" t="s">
        <v>962</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75">
      <c r="G110" s="145"/>
      <c r="H110" s="398"/>
      <c r="J110" s="352"/>
      <c r="K110" s="203" t="s">
        <v>906</v>
      </c>
      <c r="L110" s="203" t="s">
        <v>963</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6">
      <c r="G111" s="145"/>
      <c r="H111" s="398"/>
      <c r="J111" s="352"/>
      <c r="K111" s="201" t="s">
        <v>912</v>
      </c>
      <c r="L111" s="201" t="s">
        <v>961</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6">
      <c r="G112" s="145"/>
      <c r="H112" s="398"/>
      <c r="J112" s="352"/>
      <c r="K112" s="142" t="s">
        <v>912</v>
      </c>
      <c r="L112" s="192" t="s">
        <v>962</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75">
      <c r="G113" s="145"/>
      <c r="H113" s="398"/>
      <c r="J113" s="352"/>
      <c r="K113" s="203" t="s">
        <v>912</v>
      </c>
      <c r="L113" s="203" t="s">
        <v>963</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6">
      <c r="G114" s="145"/>
      <c r="H114" s="398"/>
      <c r="J114" s="352"/>
      <c r="K114" s="201" t="s">
        <v>916</v>
      </c>
      <c r="L114" s="201" t="s">
        <v>961</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6">
      <c r="G115" s="145"/>
      <c r="H115" s="398"/>
      <c r="J115" s="352"/>
      <c r="K115" s="142" t="s">
        <v>916</v>
      </c>
      <c r="L115" s="192" t="s">
        <v>962</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75">
      <c r="G116" s="145"/>
      <c r="H116" s="398"/>
      <c r="J116" s="352"/>
      <c r="K116" s="203" t="s">
        <v>916</v>
      </c>
      <c r="L116" s="203" t="s">
        <v>963</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6">
      <c r="G117" s="145"/>
      <c r="H117" s="398"/>
      <c r="J117" s="352"/>
      <c r="K117" s="201" t="s">
        <v>919</v>
      </c>
      <c r="L117" s="201" t="s">
        <v>961</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6">
      <c r="G118" s="145"/>
      <c r="H118" s="398"/>
      <c r="J118" s="352"/>
      <c r="K118" s="142" t="s">
        <v>919</v>
      </c>
      <c r="L118" s="192" t="s">
        <v>962</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75">
      <c r="G119" s="145"/>
      <c r="H119" s="398"/>
      <c r="J119" s="352"/>
      <c r="K119" s="203" t="s">
        <v>919</v>
      </c>
      <c r="L119" s="203" t="s">
        <v>963</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6">
      <c r="G120" s="145"/>
      <c r="H120" s="398"/>
      <c r="J120" s="352"/>
      <c r="K120" s="201" t="s">
        <v>922</v>
      </c>
      <c r="L120" s="201" t="s">
        <v>961</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6">
      <c r="G121" s="145"/>
      <c r="H121" s="398"/>
      <c r="J121" s="352"/>
      <c r="K121" s="142" t="s">
        <v>922</v>
      </c>
      <c r="L121" s="192" t="s">
        <v>962</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75">
      <c r="G122" s="145"/>
      <c r="H122" s="398"/>
      <c r="J122" s="352"/>
      <c r="K122" s="203" t="s">
        <v>922</v>
      </c>
      <c r="L122" s="203" t="s">
        <v>963</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6">
      <c r="G123" s="145"/>
      <c r="H123" s="398"/>
      <c r="J123" s="352"/>
      <c r="K123" s="201" t="s">
        <v>925</v>
      </c>
      <c r="L123" s="201" t="s">
        <v>961</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75">
      <c r="A124" s="137"/>
      <c r="B124" s="137"/>
      <c r="C124" s="137"/>
      <c r="D124" s="137"/>
      <c r="E124" s="137"/>
      <c r="F124" s="137"/>
      <c r="G124" s="145"/>
      <c r="H124" s="398"/>
      <c r="I124" s="137"/>
      <c r="J124" s="352"/>
      <c r="K124" s="142" t="s">
        <v>925</v>
      </c>
      <c r="L124" s="192" t="s">
        <v>962</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75">
      <c r="A125" s="137"/>
      <c r="B125" s="137"/>
      <c r="C125" s="137"/>
      <c r="D125" s="137"/>
      <c r="E125" s="137"/>
      <c r="F125" s="137"/>
      <c r="G125" s="145"/>
      <c r="H125" s="398"/>
      <c r="I125" s="137"/>
      <c r="J125" s="352"/>
      <c r="K125" s="203" t="s">
        <v>925</v>
      </c>
      <c r="L125" s="203" t="s">
        <v>963</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6">
      <c r="G126" s="145"/>
      <c r="H126" s="398"/>
      <c r="J126" s="352"/>
      <c r="K126" s="201" t="s">
        <v>928</v>
      </c>
      <c r="L126" s="201" t="s">
        <v>961</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6">
      <c r="G127" s="145"/>
      <c r="H127" s="398"/>
      <c r="J127" s="352"/>
      <c r="K127" s="142" t="s">
        <v>928</v>
      </c>
      <c r="L127" s="192" t="s">
        <v>962</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75">
      <c r="G128" s="145"/>
      <c r="H128" s="398"/>
      <c r="J128" s="352"/>
      <c r="K128" s="203" t="s">
        <v>928</v>
      </c>
      <c r="L128" s="203" t="s">
        <v>963</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6">
      <c r="G129" s="145"/>
      <c r="H129" s="398"/>
      <c r="J129" s="352"/>
      <c r="K129" s="201" t="s">
        <v>931</v>
      </c>
      <c r="L129" s="201" t="s">
        <v>961</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6">
      <c r="G130" s="145"/>
      <c r="H130" s="398"/>
      <c r="J130" s="352"/>
      <c r="K130" s="142" t="s">
        <v>931</v>
      </c>
      <c r="L130" s="192" t="s">
        <v>962</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75">
      <c r="G131" s="145"/>
      <c r="H131" s="398"/>
      <c r="J131" s="352"/>
      <c r="K131" s="203" t="s">
        <v>931</v>
      </c>
      <c r="L131" s="203" t="s">
        <v>963</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6">
      <c r="G132" s="145"/>
      <c r="H132" s="398"/>
      <c r="J132" s="352"/>
      <c r="K132" s="201" t="s">
        <v>935</v>
      </c>
      <c r="L132" s="201" t="s">
        <v>961</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6">
      <c r="G133" s="145"/>
      <c r="H133" s="398"/>
      <c r="J133" s="352"/>
      <c r="K133" s="142" t="s">
        <v>935</v>
      </c>
      <c r="L133" s="192" t="s">
        <v>962</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75">
      <c r="G134" s="145"/>
      <c r="H134" s="398"/>
      <c r="J134" s="352"/>
      <c r="K134" s="203" t="s">
        <v>935</v>
      </c>
      <c r="L134" s="203" t="s">
        <v>963</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6">
      <c r="G135" s="145"/>
      <c r="H135" s="398"/>
      <c r="J135" s="352"/>
      <c r="K135" s="201" t="s">
        <v>939</v>
      </c>
      <c r="L135" s="201" t="s">
        <v>961</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6">
      <c r="G136" s="145"/>
      <c r="H136" s="398"/>
      <c r="J136" s="352"/>
      <c r="K136" s="142" t="s">
        <v>939</v>
      </c>
      <c r="L136" s="192" t="s">
        <v>962</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6">
      <c r="G137" s="145"/>
      <c r="H137" s="398"/>
      <c r="J137" s="399"/>
      <c r="K137" s="203" t="s">
        <v>939</v>
      </c>
      <c r="L137" s="203" t="s">
        <v>963</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6">
      <c r="G138" s="145"/>
      <c r="H138" s="398"/>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6">
      <c r="G139" s="145"/>
      <c r="H139" s="398"/>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6">
      <c r="G140" s="145"/>
      <c r="H140" s="398"/>
      <c r="J140" s="351" t="s">
        <v>979</v>
      </c>
      <c r="K140" s="201" t="s">
        <v>906</v>
      </c>
      <c r="L140" s="201" t="s">
        <v>961</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6">
      <c r="G141" s="145"/>
      <c r="H141" s="398"/>
      <c r="J141" s="352"/>
      <c r="K141" s="142" t="s">
        <v>906</v>
      </c>
      <c r="L141" s="192" t="s">
        <v>962</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75">
      <c r="G142" s="145"/>
      <c r="H142" s="398"/>
      <c r="J142" s="352"/>
      <c r="K142" s="203" t="s">
        <v>906</v>
      </c>
      <c r="L142" s="203" t="s">
        <v>963</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6">
      <c r="G143" s="145"/>
      <c r="H143" s="398"/>
      <c r="J143" s="352"/>
      <c r="K143" s="201" t="s">
        <v>912</v>
      </c>
      <c r="L143" s="201" t="s">
        <v>961</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6">
      <c r="G144" s="145"/>
      <c r="H144" s="398"/>
      <c r="J144" s="352"/>
      <c r="K144" s="142" t="s">
        <v>912</v>
      </c>
      <c r="L144" s="192" t="s">
        <v>962</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75">
      <c r="G145" s="145"/>
      <c r="H145" s="398"/>
      <c r="J145" s="352"/>
      <c r="K145" s="203" t="s">
        <v>912</v>
      </c>
      <c r="L145" s="203" t="s">
        <v>963</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6">
      <c r="G146" s="145"/>
      <c r="H146" s="398"/>
      <c r="J146" s="352"/>
      <c r="K146" s="201" t="s">
        <v>916</v>
      </c>
      <c r="L146" s="201" t="s">
        <v>961</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6">
      <c r="G147" s="145"/>
      <c r="H147" s="398"/>
      <c r="J147" s="352"/>
      <c r="K147" s="142" t="s">
        <v>916</v>
      </c>
      <c r="L147" s="192" t="s">
        <v>962</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75">
      <c r="G148" s="145"/>
      <c r="H148" s="398"/>
      <c r="J148" s="352"/>
      <c r="K148" s="203" t="s">
        <v>916</v>
      </c>
      <c r="L148" s="203" t="s">
        <v>963</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6">
      <c r="G149" s="145"/>
      <c r="H149" s="398"/>
      <c r="J149" s="352"/>
      <c r="K149" s="201" t="s">
        <v>919</v>
      </c>
      <c r="L149" s="201" t="s">
        <v>961</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6">
      <c r="G150" s="145"/>
      <c r="H150" s="398"/>
      <c r="J150" s="352"/>
      <c r="K150" s="142" t="s">
        <v>919</v>
      </c>
      <c r="L150" s="192" t="s">
        <v>962</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75">
      <c r="G151" s="145"/>
      <c r="H151" s="398"/>
      <c r="J151" s="352"/>
      <c r="K151" s="203" t="s">
        <v>919</v>
      </c>
      <c r="L151" s="203" t="s">
        <v>963</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6">
      <c r="G152" s="145"/>
      <c r="H152" s="398"/>
      <c r="J152" s="352"/>
      <c r="K152" s="201" t="s">
        <v>922</v>
      </c>
      <c r="L152" s="201" t="s">
        <v>961</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6">
      <c r="G153" s="145"/>
      <c r="H153" s="398"/>
      <c r="J153" s="352"/>
      <c r="K153" s="142" t="s">
        <v>922</v>
      </c>
      <c r="L153" s="192" t="s">
        <v>962</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75">
      <c r="G154" s="145"/>
      <c r="H154" s="398"/>
      <c r="J154" s="352"/>
      <c r="K154" s="203" t="s">
        <v>922</v>
      </c>
      <c r="L154" s="203" t="s">
        <v>963</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6">
      <c r="G155" s="145"/>
      <c r="H155" s="398"/>
      <c r="J155" s="352"/>
      <c r="K155" s="201" t="s">
        <v>925</v>
      </c>
      <c r="L155" s="201" t="s">
        <v>961</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6">
      <c r="G156" s="145"/>
      <c r="H156" s="398"/>
      <c r="J156" s="352"/>
      <c r="K156" s="142" t="s">
        <v>925</v>
      </c>
      <c r="L156" s="192" t="s">
        <v>962</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75">
      <c r="G157" s="145"/>
      <c r="H157" s="398"/>
      <c r="J157" s="352"/>
      <c r="K157" s="203" t="s">
        <v>925</v>
      </c>
      <c r="L157" s="203" t="s">
        <v>963</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6">
      <c r="G158" s="145"/>
      <c r="H158" s="398"/>
      <c r="J158" s="352"/>
      <c r="K158" s="201" t="s">
        <v>928</v>
      </c>
      <c r="L158" s="201" t="s">
        <v>961</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6">
      <c r="G159" s="145"/>
      <c r="H159" s="398"/>
      <c r="J159" s="352"/>
      <c r="K159" s="142" t="s">
        <v>928</v>
      </c>
      <c r="L159" s="192" t="s">
        <v>962</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75">
      <c r="G160" s="145"/>
      <c r="H160" s="398"/>
      <c r="J160" s="352"/>
      <c r="K160" s="203" t="s">
        <v>928</v>
      </c>
      <c r="L160" s="203" t="s">
        <v>963</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6">
      <c r="G161" s="145"/>
      <c r="H161" s="398"/>
      <c r="J161" s="352"/>
      <c r="K161" s="201" t="s">
        <v>931</v>
      </c>
      <c r="L161" s="201" t="s">
        <v>961</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6">
      <c r="G162" s="145"/>
      <c r="H162" s="398"/>
      <c r="J162" s="352"/>
      <c r="K162" s="142" t="s">
        <v>931</v>
      </c>
      <c r="L162" s="192" t="s">
        <v>962</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75">
      <c r="G163" s="145"/>
      <c r="H163" s="398"/>
      <c r="J163" s="352"/>
      <c r="K163" s="203" t="s">
        <v>931</v>
      </c>
      <c r="L163" s="203" t="s">
        <v>963</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6">
      <c r="G164" s="145"/>
      <c r="H164" s="398"/>
      <c r="J164" s="352"/>
      <c r="K164" s="201" t="s">
        <v>935</v>
      </c>
      <c r="L164" s="201" t="s">
        <v>961</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6">
      <c r="G165" s="145"/>
      <c r="H165" s="398"/>
      <c r="J165" s="352"/>
      <c r="K165" s="142" t="s">
        <v>935</v>
      </c>
      <c r="L165" s="192" t="s">
        <v>962</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75">
      <c r="G166" s="145"/>
      <c r="H166" s="398"/>
      <c r="J166" s="352"/>
      <c r="K166" s="203" t="s">
        <v>935</v>
      </c>
      <c r="L166" s="203" t="s">
        <v>963</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6">
      <c r="G167" s="145"/>
      <c r="H167" s="398"/>
      <c r="J167" s="352"/>
      <c r="K167" s="201" t="s">
        <v>939</v>
      </c>
      <c r="L167" s="201" t="s">
        <v>961</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6">
      <c r="G168" s="145"/>
      <c r="H168" s="398"/>
      <c r="J168" s="352"/>
      <c r="K168" s="142" t="s">
        <v>939</v>
      </c>
      <c r="L168" s="192" t="s">
        <v>962</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6">
      <c r="G169" s="145"/>
      <c r="H169" s="398"/>
      <c r="J169" s="399"/>
      <c r="K169" s="203" t="s">
        <v>939</v>
      </c>
      <c r="L169" s="203" t="s">
        <v>963</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6">
      <c r="G170" s="145"/>
      <c r="H170" s="398"/>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6">
      <c r="G171" s="145"/>
      <c r="H171" s="398"/>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6">
      <c r="G172" s="145"/>
      <c r="H172" s="398"/>
      <c r="J172" s="351" t="s">
        <v>980</v>
      </c>
      <c r="K172" s="201" t="s">
        <v>906</v>
      </c>
      <c r="L172" s="201" t="s">
        <v>961</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6">
      <c r="G173" s="145"/>
      <c r="H173" s="398"/>
      <c r="J173" s="352"/>
      <c r="K173" s="142" t="s">
        <v>906</v>
      </c>
      <c r="L173" s="192" t="s">
        <v>962</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75">
      <c r="G174" s="145"/>
      <c r="H174" s="398"/>
      <c r="J174" s="352"/>
      <c r="K174" s="203" t="s">
        <v>906</v>
      </c>
      <c r="L174" s="203" t="s">
        <v>963</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6">
      <c r="G175" s="145"/>
      <c r="H175" s="398"/>
      <c r="J175" s="352"/>
      <c r="K175" s="201" t="s">
        <v>912</v>
      </c>
      <c r="L175" s="201" t="s">
        <v>961</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6">
      <c r="G176" s="145"/>
      <c r="H176" s="398"/>
      <c r="J176" s="352"/>
      <c r="K176" s="142" t="s">
        <v>912</v>
      </c>
      <c r="L176" s="192" t="s">
        <v>962</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75">
      <c r="G177" s="145"/>
      <c r="H177" s="398"/>
      <c r="J177" s="352"/>
      <c r="K177" s="203" t="s">
        <v>912</v>
      </c>
      <c r="L177" s="203" t="s">
        <v>963</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6">
      <c r="G178" s="145"/>
      <c r="H178" s="398"/>
      <c r="J178" s="352"/>
      <c r="K178" s="201" t="s">
        <v>916</v>
      </c>
      <c r="L178" s="201" t="s">
        <v>961</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6">
      <c r="G179" s="145"/>
      <c r="H179" s="398"/>
      <c r="J179" s="352"/>
      <c r="K179" s="142" t="s">
        <v>916</v>
      </c>
      <c r="L179" s="192" t="s">
        <v>962</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75">
      <c r="G180" s="145"/>
      <c r="H180" s="398"/>
      <c r="J180" s="352"/>
      <c r="K180" s="203" t="s">
        <v>916</v>
      </c>
      <c r="L180" s="203" t="s">
        <v>963</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6">
      <c r="G181" s="145"/>
      <c r="H181" s="398"/>
      <c r="J181" s="352"/>
      <c r="K181" s="201" t="s">
        <v>919</v>
      </c>
      <c r="L181" s="201" t="s">
        <v>961</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6">
      <c r="G182" s="145"/>
      <c r="H182" s="398"/>
      <c r="J182" s="352"/>
      <c r="K182" s="142" t="s">
        <v>919</v>
      </c>
      <c r="L182" s="192" t="s">
        <v>962</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75">
      <c r="G183" s="145"/>
      <c r="H183" s="398"/>
      <c r="J183" s="352"/>
      <c r="K183" s="203" t="s">
        <v>919</v>
      </c>
      <c r="L183" s="203" t="s">
        <v>963</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6">
      <c r="G184" s="145"/>
      <c r="H184" s="398"/>
      <c r="J184" s="352"/>
      <c r="K184" s="201" t="s">
        <v>922</v>
      </c>
      <c r="L184" s="201" t="s">
        <v>961</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6">
      <c r="G185" s="145"/>
      <c r="H185" s="398"/>
      <c r="J185" s="352"/>
      <c r="K185" s="142" t="s">
        <v>922</v>
      </c>
      <c r="L185" s="192" t="s">
        <v>962</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75">
      <c r="G186" s="145"/>
      <c r="H186" s="398"/>
      <c r="J186" s="352"/>
      <c r="K186" s="203" t="s">
        <v>922</v>
      </c>
      <c r="L186" s="203" t="s">
        <v>963</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6">
      <c r="G187" s="145"/>
      <c r="H187" s="398"/>
      <c r="J187" s="352"/>
      <c r="K187" s="201" t="s">
        <v>925</v>
      </c>
      <c r="L187" s="201" t="s">
        <v>961</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6">
      <c r="G188" s="145"/>
      <c r="H188" s="398"/>
      <c r="J188" s="352"/>
      <c r="K188" s="142" t="s">
        <v>925</v>
      </c>
      <c r="L188" s="192" t="s">
        <v>962</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75">
      <c r="G189" s="145"/>
      <c r="H189" s="398"/>
      <c r="J189" s="352"/>
      <c r="K189" s="203" t="s">
        <v>925</v>
      </c>
      <c r="L189" s="203" t="s">
        <v>963</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6">
      <c r="G190" s="145"/>
      <c r="H190" s="398"/>
      <c r="J190" s="352"/>
      <c r="K190" s="201" t="s">
        <v>928</v>
      </c>
      <c r="L190" s="201" t="s">
        <v>961</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6">
      <c r="G191" s="145"/>
      <c r="H191" s="398"/>
      <c r="J191" s="352"/>
      <c r="K191" s="142" t="s">
        <v>928</v>
      </c>
      <c r="L191" s="192" t="s">
        <v>962</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75">
      <c r="G192" s="145"/>
      <c r="H192" s="398"/>
      <c r="J192" s="352"/>
      <c r="K192" s="203" t="s">
        <v>928</v>
      </c>
      <c r="L192" s="203" t="s">
        <v>963</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6">
      <c r="G193" s="145"/>
      <c r="H193" s="398"/>
      <c r="J193" s="352"/>
      <c r="K193" s="201" t="s">
        <v>931</v>
      </c>
      <c r="L193" s="201" t="s">
        <v>961</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6">
      <c r="G194" s="145"/>
      <c r="H194" s="398"/>
      <c r="J194" s="352"/>
      <c r="K194" s="142" t="s">
        <v>931</v>
      </c>
      <c r="L194" s="192" t="s">
        <v>962</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75">
      <c r="G195" s="145"/>
      <c r="H195" s="398"/>
      <c r="J195" s="352"/>
      <c r="K195" s="203" t="s">
        <v>931</v>
      </c>
      <c r="L195" s="203" t="s">
        <v>963</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6">
      <c r="G196" s="145"/>
      <c r="H196" s="398"/>
      <c r="J196" s="352"/>
      <c r="K196" s="201" t="s">
        <v>935</v>
      </c>
      <c r="L196" s="201" t="s">
        <v>961</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6">
      <c r="G197" s="145"/>
      <c r="H197" s="398"/>
      <c r="J197" s="352"/>
      <c r="K197" s="142" t="s">
        <v>935</v>
      </c>
      <c r="L197" s="192" t="s">
        <v>962</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75">
      <c r="G198" s="145"/>
      <c r="H198" s="398"/>
      <c r="J198" s="352"/>
      <c r="K198" s="203" t="s">
        <v>935</v>
      </c>
      <c r="L198" s="203" t="s">
        <v>963</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6">
      <c r="G199" s="145"/>
      <c r="H199" s="398"/>
      <c r="J199" s="352"/>
      <c r="K199" s="201" t="s">
        <v>939</v>
      </c>
      <c r="L199" s="201" t="s">
        <v>961</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6">
      <c r="G200" s="145"/>
      <c r="H200" s="398"/>
      <c r="J200" s="352"/>
      <c r="K200" s="142" t="s">
        <v>939</v>
      </c>
      <c r="L200" s="192" t="s">
        <v>962</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6">
      <c r="G201" s="145"/>
      <c r="H201" s="398"/>
      <c r="J201" s="399"/>
      <c r="K201" s="203" t="s">
        <v>939</v>
      </c>
      <c r="L201" s="203" t="s">
        <v>963</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6">
      <c r="G202" s="145"/>
      <c r="H202" s="398"/>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6">
      <c r="G203" s="145"/>
      <c r="H203" s="398"/>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6">
      <c r="G204" s="145"/>
      <c r="H204" s="398"/>
      <c r="J204" s="351" t="s">
        <v>981</v>
      </c>
      <c r="K204" s="201" t="s">
        <v>906</v>
      </c>
      <c r="L204" s="201" t="s">
        <v>961</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6">
      <c r="G205" s="145"/>
      <c r="H205" s="398"/>
      <c r="J205" s="352"/>
      <c r="K205" s="142" t="s">
        <v>906</v>
      </c>
      <c r="L205" s="192" t="s">
        <v>962</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75">
      <c r="G206" s="145"/>
      <c r="H206" s="398"/>
      <c r="J206" s="352"/>
      <c r="K206" s="203" t="s">
        <v>906</v>
      </c>
      <c r="L206" s="203" t="s">
        <v>963</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6">
      <c r="G207" s="145"/>
      <c r="H207" s="398"/>
      <c r="J207" s="352"/>
      <c r="K207" s="201" t="s">
        <v>912</v>
      </c>
      <c r="L207" s="201" t="s">
        <v>961</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6">
      <c r="G208" s="145"/>
      <c r="H208" s="398"/>
      <c r="J208" s="352"/>
      <c r="K208" s="142" t="s">
        <v>912</v>
      </c>
      <c r="L208" s="192" t="s">
        <v>962</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75">
      <c r="G209" s="145"/>
      <c r="H209" s="398"/>
      <c r="J209" s="352"/>
      <c r="K209" s="203" t="s">
        <v>912</v>
      </c>
      <c r="L209" s="203" t="s">
        <v>963</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6">
      <c r="G210" s="145"/>
      <c r="H210" s="398"/>
      <c r="J210" s="352"/>
      <c r="K210" s="201" t="s">
        <v>916</v>
      </c>
      <c r="L210" s="201" t="s">
        <v>961</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6">
      <c r="G211" s="145"/>
      <c r="H211" s="398"/>
      <c r="J211" s="352"/>
      <c r="K211" s="142" t="s">
        <v>916</v>
      </c>
      <c r="L211" s="192" t="s">
        <v>962</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75">
      <c r="G212" s="145"/>
      <c r="H212" s="398"/>
      <c r="J212" s="352"/>
      <c r="K212" s="203" t="s">
        <v>916</v>
      </c>
      <c r="L212" s="203" t="s">
        <v>963</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6">
      <c r="G213" s="145"/>
      <c r="H213" s="398"/>
      <c r="J213" s="352"/>
      <c r="K213" s="201" t="s">
        <v>919</v>
      </c>
      <c r="L213" s="201" t="s">
        <v>961</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6">
      <c r="G214" s="145"/>
      <c r="H214" s="398"/>
      <c r="J214" s="352"/>
      <c r="K214" s="142" t="s">
        <v>919</v>
      </c>
      <c r="L214" s="192" t="s">
        <v>962</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75">
      <c r="G215" s="145"/>
      <c r="H215" s="398"/>
      <c r="J215" s="352"/>
      <c r="K215" s="203" t="s">
        <v>919</v>
      </c>
      <c r="L215" s="203" t="s">
        <v>963</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6">
      <c r="G216" s="145"/>
      <c r="H216" s="398"/>
      <c r="J216" s="352"/>
      <c r="K216" s="201" t="s">
        <v>922</v>
      </c>
      <c r="L216" s="201" t="s">
        <v>961</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6">
      <c r="G217" s="145"/>
      <c r="H217" s="398"/>
      <c r="J217" s="352"/>
      <c r="K217" s="142" t="s">
        <v>922</v>
      </c>
      <c r="L217" s="192" t="s">
        <v>962</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75">
      <c r="G218" s="145"/>
      <c r="H218" s="398"/>
      <c r="J218" s="352"/>
      <c r="K218" s="203" t="s">
        <v>922</v>
      </c>
      <c r="L218" s="203" t="s">
        <v>963</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6">
      <c r="G219" s="145"/>
      <c r="H219" s="398"/>
      <c r="J219" s="352"/>
      <c r="K219" s="201" t="s">
        <v>925</v>
      </c>
      <c r="L219" s="201" t="s">
        <v>961</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6">
      <c r="G220" s="145"/>
      <c r="H220" s="398"/>
      <c r="J220" s="352"/>
      <c r="K220" s="142" t="s">
        <v>925</v>
      </c>
      <c r="L220" s="192" t="s">
        <v>962</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75">
      <c r="G221" s="145"/>
      <c r="H221" s="398"/>
      <c r="J221" s="352"/>
      <c r="K221" s="203" t="s">
        <v>925</v>
      </c>
      <c r="L221" s="203" t="s">
        <v>963</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6">
      <c r="G222" s="145"/>
      <c r="H222" s="398"/>
      <c r="J222" s="352"/>
      <c r="K222" s="201" t="s">
        <v>928</v>
      </c>
      <c r="L222" s="201" t="s">
        <v>961</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6">
      <c r="G223" s="145"/>
      <c r="H223" s="398"/>
      <c r="J223" s="352"/>
      <c r="K223" s="142" t="s">
        <v>928</v>
      </c>
      <c r="L223" s="192" t="s">
        <v>962</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75">
      <c r="G224" s="145"/>
      <c r="H224" s="398"/>
      <c r="J224" s="352"/>
      <c r="K224" s="203" t="s">
        <v>928</v>
      </c>
      <c r="L224" s="203" t="s">
        <v>963</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6">
      <c r="G225" s="145"/>
      <c r="H225" s="398"/>
      <c r="J225" s="352"/>
      <c r="K225" s="201" t="s">
        <v>931</v>
      </c>
      <c r="L225" s="201" t="s">
        <v>961</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6">
      <c r="G226" s="145"/>
      <c r="H226" s="398"/>
      <c r="J226" s="352"/>
      <c r="K226" s="142" t="s">
        <v>931</v>
      </c>
      <c r="L226" s="192" t="s">
        <v>962</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75">
      <c r="G227" s="145"/>
      <c r="H227" s="398"/>
      <c r="J227" s="352"/>
      <c r="K227" s="203" t="s">
        <v>931</v>
      </c>
      <c r="L227" s="203" t="s">
        <v>963</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6">
      <c r="G228" s="145"/>
      <c r="H228" s="398"/>
      <c r="J228" s="352"/>
      <c r="K228" s="201" t="s">
        <v>935</v>
      </c>
      <c r="L228" s="201" t="s">
        <v>961</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6">
      <c r="G229" s="145"/>
      <c r="H229" s="398"/>
      <c r="J229" s="352"/>
      <c r="K229" s="142" t="s">
        <v>935</v>
      </c>
      <c r="L229" s="192" t="s">
        <v>962</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75">
      <c r="G230" s="145"/>
      <c r="H230" s="398"/>
      <c r="J230" s="352"/>
      <c r="K230" s="203" t="s">
        <v>935</v>
      </c>
      <c r="L230" s="203" t="s">
        <v>963</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6">
      <c r="G231" s="145"/>
      <c r="H231" s="398"/>
      <c r="J231" s="352"/>
      <c r="K231" s="201" t="s">
        <v>939</v>
      </c>
      <c r="L231" s="201" t="s">
        <v>961</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6">
      <c r="G232" s="145"/>
      <c r="H232" s="398"/>
      <c r="J232" s="352"/>
      <c r="K232" s="142" t="s">
        <v>939</v>
      </c>
      <c r="L232" s="192" t="s">
        <v>962</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75">
      <c r="G233" s="145"/>
      <c r="H233" s="398"/>
      <c r="J233" s="399"/>
      <c r="K233" s="203" t="s">
        <v>939</v>
      </c>
      <c r="L233" s="203" t="s">
        <v>963</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6">
      <c r="G234" s="145"/>
      <c r="H234" s="398"/>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6">
      <c r="G235" s="145"/>
      <c r="H235" s="398"/>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6">
      <c r="G236" s="145"/>
      <c r="H236" s="398"/>
      <c r="J236" s="351" t="s">
        <v>982</v>
      </c>
      <c r="K236" s="201" t="s">
        <v>906</v>
      </c>
      <c r="L236" s="201" t="s">
        <v>961</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6">
      <c r="G237" s="145"/>
      <c r="H237" s="398"/>
      <c r="J237" s="352"/>
      <c r="K237" s="142" t="s">
        <v>906</v>
      </c>
      <c r="L237" s="192" t="s">
        <v>962</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75">
      <c r="G238" s="145"/>
      <c r="H238" s="398"/>
      <c r="J238" s="352"/>
      <c r="K238" s="203" t="s">
        <v>906</v>
      </c>
      <c r="L238" s="203" t="s">
        <v>963</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6">
      <c r="G239" s="145"/>
      <c r="H239" s="398"/>
      <c r="J239" s="352"/>
      <c r="K239" s="201" t="s">
        <v>912</v>
      </c>
      <c r="L239" s="201" t="s">
        <v>961</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6">
      <c r="G240" s="145"/>
      <c r="H240" s="398"/>
      <c r="J240" s="352"/>
      <c r="K240" s="142" t="s">
        <v>912</v>
      </c>
      <c r="L240" s="192" t="s">
        <v>962</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75">
      <c r="G241" s="145"/>
      <c r="H241" s="398"/>
      <c r="J241" s="352"/>
      <c r="K241" s="203" t="s">
        <v>912</v>
      </c>
      <c r="L241" s="203" t="s">
        <v>963</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6">
      <c r="G242" s="145"/>
      <c r="H242" s="398"/>
      <c r="J242" s="352"/>
      <c r="K242" s="201" t="s">
        <v>916</v>
      </c>
      <c r="L242" s="201" t="s">
        <v>961</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6">
      <c r="G243" s="145"/>
      <c r="H243" s="398"/>
      <c r="J243" s="352"/>
      <c r="K243" s="142" t="s">
        <v>916</v>
      </c>
      <c r="L243" s="192" t="s">
        <v>962</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75">
      <c r="G244" s="145"/>
      <c r="H244" s="398"/>
      <c r="J244" s="352"/>
      <c r="K244" s="203" t="s">
        <v>916</v>
      </c>
      <c r="L244" s="203" t="s">
        <v>963</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6">
      <c r="G245" s="145"/>
      <c r="H245" s="398"/>
      <c r="J245" s="352"/>
      <c r="K245" s="201" t="s">
        <v>919</v>
      </c>
      <c r="L245" s="201" t="s">
        <v>961</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6">
      <c r="G246" s="145"/>
      <c r="H246" s="398"/>
      <c r="J246" s="352"/>
      <c r="K246" s="142" t="s">
        <v>919</v>
      </c>
      <c r="L246" s="192" t="s">
        <v>962</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75">
      <c r="G247" s="145"/>
      <c r="H247" s="398"/>
      <c r="J247" s="352"/>
      <c r="K247" s="203" t="s">
        <v>919</v>
      </c>
      <c r="L247" s="203" t="s">
        <v>963</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6">
      <c r="G248" s="145"/>
      <c r="H248" s="398"/>
      <c r="J248" s="352"/>
      <c r="K248" s="201" t="s">
        <v>922</v>
      </c>
      <c r="L248" s="201" t="s">
        <v>961</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6">
      <c r="G249" s="145"/>
      <c r="H249" s="398"/>
      <c r="J249" s="352"/>
      <c r="K249" s="142" t="s">
        <v>922</v>
      </c>
      <c r="L249" s="192" t="s">
        <v>962</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75">
      <c r="G250" s="145"/>
      <c r="H250" s="398"/>
      <c r="J250" s="352"/>
      <c r="K250" s="203" t="s">
        <v>922</v>
      </c>
      <c r="L250" s="203" t="s">
        <v>963</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6">
      <c r="G251" s="145"/>
      <c r="H251" s="398"/>
      <c r="J251" s="352"/>
      <c r="K251" s="201" t="s">
        <v>925</v>
      </c>
      <c r="L251" s="201" t="s">
        <v>961</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6">
      <c r="G252" s="145"/>
      <c r="H252" s="398"/>
      <c r="J252" s="352"/>
      <c r="K252" s="142" t="s">
        <v>925</v>
      </c>
      <c r="L252" s="192" t="s">
        <v>962</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75">
      <c r="G253" s="145"/>
      <c r="H253" s="398"/>
      <c r="J253" s="352"/>
      <c r="K253" s="203" t="s">
        <v>925</v>
      </c>
      <c r="L253" s="203" t="s">
        <v>963</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6">
      <c r="G254" s="145"/>
      <c r="H254" s="398"/>
      <c r="J254" s="352"/>
      <c r="K254" s="201" t="s">
        <v>928</v>
      </c>
      <c r="L254" s="201" t="s">
        <v>961</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6">
      <c r="G255" s="145"/>
      <c r="H255" s="398"/>
      <c r="J255" s="352"/>
      <c r="K255" s="142" t="s">
        <v>928</v>
      </c>
      <c r="L255" s="192" t="s">
        <v>962</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75">
      <c r="G256" s="145"/>
      <c r="H256" s="398"/>
      <c r="J256" s="352"/>
      <c r="K256" s="203" t="s">
        <v>928</v>
      </c>
      <c r="L256" s="203" t="s">
        <v>963</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6">
      <c r="G257" s="145"/>
      <c r="H257" s="398"/>
      <c r="J257" s="352"/>
      <c r="K257" s="201" t="s">
        <v>931</v>
      </c>
      <c r="L257" s="201" t="s">
        <v>961</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6">
      <c r="G258" s="145"/>
      <c r="H258" s="398"/>
      <c r="J258" s="352"/>
      <c r="K258" s="142" t="s">
        <v>931</v>
      </c>
      <c r="L258" s="192" t="s">
        <v>962</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75">
      <c r="G259" s="145"/>
      <c r="H259" s="398"/>
      <c r="J259" s="352"/>
      <c r="K259" s="203" t="s">
        <v>931</v>
      </c>
      <c r="L259" s="203" t="s">
        <v>963</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6">
      <c r="G260" s="145"/>
      <c r="H260" s="398"/>
      <c r="J260" s="352"/>
      <c r="K260" s="201" t="s">
        <v>935</v>
      </c>
      <c r="L260" s="201" t="s">
        <v>961</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6">
      <c r="G261" s="145"/>
      <c r="H261" s="398"/>
      <c r="J261" s="352"/>
      <c r="K261" s="142" t="s">
        <v>935</v>
      </c>
      <c r="L261" s="192" t="s">
        <v>962</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75">
      <c r="G262" s="145"/>
      <c r="H262" s="398"/>
      <c r="J262" s="352"/>
      <c r="K262" s="203" t="s">
        <v>935</v>
      </c>
      <c r="L262" s="203" t="s">
        <v>963</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6">
      <c r="G263" s="145"/>
      <c r="H263" s="398"/>
      <c r="J263" s="352"/>
      <c r="K263" s="201" t="s">
        <v>939</v>
      </c>
      <c r="L263" s="201" t="s">
        <v>961</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6">
      <c r="G264" s="145"/>
      <c r="H264" s="398"/>
      <c r="J264" s="352"/>
      <c r="K264" s="142" t="s">
        <v>939</v>
      </c>
      <c r="L264" s="192" t="s">
        <v>962</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75">
      <c r="G265" s="145"/>
      <c r="H265" s="398"/>
      <c r="J265" s="399"/>
      <c r="K265" s="203" t="s">
        <v>939</v>
      </c>
      <c r="L265" s="203" t="s">
        <v>963</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6">
      <c r="G266" s="145"/>
      <c r="H266" s="398"/>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6">
      <c r="G267" s="145"/>
      <c r="H267" s="398"/>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6">
      <c r="G268" s="145"/>
      <c r="H268" s="398"/>
      <c r="J268" s="351" t="s">
        <v>983</v>
      </c>
      <c r="K268" s="201" t="s">
        <v>906</v>
      </c>
      <c r="L268" s="201" t="s">
        <v>961</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6">
      <c r="G269" s="145"/>
      <c r="H269" s="398"/>
      <c r="J269" s="352"/>
      <c r="K269" s="142" t="s">
        <v>906</v>
      </c>
      <c r="L269" s="192" t="s">
        <v>962</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75">
      <c r="G270" s="145"/>
      <c r="H270" s="398"/>
      <c r="J270" s="352"/>
      <c r="K270" s="203" t="s">
        <v>906</v>
      </c>
      <c r="L270" s="203" t="s">
        <v>963</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6">
      <c r="G271" s="145"/>
      <c r="H271" s="398"/>
      <c r="J271" s="352"/>
      <c r="K271" s="201" t="s">
        <v>912</v>
      </c>
      <c r="L271" s="201" t="s">
        <v>961</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6">
      <c r="G272" s="145"/>
      <c r="H272" s="398"/>
      <c r="J272" s="352"/>
      <c r="K272" s="142" t="s">
        <v>912</v>
      </c>
      <c r="L272" s="192" t="s">
        <v>962</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75">
      <c r="G273" s="145"/>
      <c r="H273" s="398"/>
      <c r="J273" s="352"/>
      <c r="K273" s="203" t="s">
        <v>912</v>
      </c>
      <c r="L273" s="203" t="s">
        <v>963</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6">
      <c r="G274" s="145"/>
      <c r="H274" s="398"/>
      <c r="J274" s="352"/>
      <c r="K274" s="201" t="s">
        <v>916</v>
      </c>
      <c r="L274" s="201" t="s">
        <v>961</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6">
      <c r="G275" s="145"/>
      <c r="H275" s="398"/>
      <c r="J275" s="352"/>
      <c r="K275" s="142" t="s">
        <v>916</v>
      </c>
      <c r="L275" s="192" t="s">
        <v>962</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75">
      <c r="G276" s="145"/>
      <c r="H276" s="398"/>
      <c r="J276" s="352"/>
      <c r="K276" s="203" t="s">
        <v>916</v>
      </c>
      <c r="L276" s="203" t="s">
        <v>963</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6">
      <c r="G277" s="145"/>
      <c r="H277" s="398"/>
      <c r="J277" s="352"/>
      <c r="K277" s="201" t="s">
        <v>919</v>
      </c>
      <c r="L277" s="201" t="s">
        <v>961</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6">
      <c r="G278" s="145"/>
      <c r="H278" s="398"/>
      <c r="J278" s="352"/>
      <c r="K278" s="142" t="s">
        <v>919</v>
      </c>
      <c r="L278" s="192" t="s">
        <v>962</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75">
      <c r="G279" s="145"/>
      <c r="H279" s="398"/>
      <c r="J279" s="352"/>
      <c r="K279" s="203" t="s">
        <v>919</v>
      </c>
      <c r="L279" s="203" t="s">
        <v>963</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6">
      <c r="G280" s="145"/>
      <c r="H280" s="398"/>
      <c r="J280" s="352"/>
      <c r="K280" s="201" t="s">
        <v>922</v>
      </c>
      <c r="L280" s="201" t="s">
        <v>961</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6">
      <c r="G281" s="145"/>
      <c r="H281" s="398"/>
      <c r="J281" s="352"/>
      <c r="K281" s="142" t="s">
        <v>922</v>
      </c>
      <c r="L281" s="192" t="s">
        <v>962</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75">
      <c r="G282" s="145"/>
      <c r="H282" s="398"/>
      <c r="J282" s="352"/>
      <c r="K282" s="203" t="s">
        <v>922</v>
      </c>
      <c r="L282" s="203" t="s">
        <v>963</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6">
      <c r="G283" s="145"/>
      <c r="H283" s="398"/>
      <c r="J283" s="352"/>
      <c r="K283" s="201" t="s">
        <v>925</v>
      </c>
      <c r="L283" s="201" t="s">
        <v>961</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6">
      <c r="G284" s="145"/>
      <c r="H284" s="398"/>
      <c r="J284" s="352"/>
      <c r="K284" s="142" t="s">
        <v>925</v>
      </c>
      <c r="L284" s="192" t="s">
        <v>962</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75">
      <c r="G285" s="145"/>
      <c r="H285" s="398"/>
      <c r="J285" s="352"/>
      <c r="K285" s="203" t="s">
        <v>925</v>
      </c>
      <c r="L285" s="203" t="s">
        <v>963</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6">
      <c r="G286" s="145"/>
      <c r="H286" s="398"/>
      <c r="J286" s="352"/>
      <c r="K286" s="201" t="s">
        <v>928</v>
      </c>
      <c r="L286" s="201" t="s">
        <v>961</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6">
      <c r="G287" s="145"/>
      <c r="H287" s="398"/>
      <c r="J287" s="352"/>
      <c r="K287" s="142" t="s">
        <v>928</v>
      </c>
      <c r="L287" s="192" t="s">
        <v>962</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75">
      <c r="G288" s="145"/>
      <c r="H288" s="398"/>
      <c r="J288" s="352"/>
      <c r="K288" s="203" t="s">
        <v>928</v>
      </c>
      <c r="L288" s="203" t="s">
        <v>963</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6">
      <c r="G289" s="145"/>
      <c r="H289" s="398"/>
      <c r="J289" s="352"/>
      <c r="K289" s="201" t="s">
        <v>931</v>
      </c>
      <c r="L289" s="201" t="s">
        <v>961</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6">
      <c r="G290" s="145"/>
      <c r="H290" s="398"/>
      <c r="J290" s="352"/>
      <c r="K290" s="142" t="s">
        <v>931</v>
      </c>
      <c r="L290" s="192" t="s">
        <v>962</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75">
      <c r="G291" s="145"/>
      <c r="H291" s="398"/>
      <c r="J291" s="352"/>
      <c r="K291" s="203" t="s">
        <v>931</v>
      </c>
      <c r="L291" s="203" t="s">
        <v>963</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6">
      <c r="G292" s="145"/>
      <c r="H292" s="398"/>
      <c r="J292" s="352"/>
      <c r="K292" s="201" t="s">
        <v>935</v>
      </c>
      <c r="L292" s="201" t="s">
        <v>961</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6">
      <c r="G293" s="145"/>
      <c r="H293" s="398"/>
      <c r="J293" s="352"/>
      <c r="K293" s="142" t="s">
        <v>935</v>
      </c>
      <c r="L293" s="192" t="s">
        <v>962</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75">
      <c r="G294" s="145"/>
      <c r="H294" s="398"/>
      <c r="J294" s="352"/>
      <c r="K294" s="203" t="s">
        <v>935</v>
      </c>
      <c r="L294" s="203" t="s">
        <v>963</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6">
      <c r="G295" s="145"/>
      <c r="H295" s="398"/>
      <c r="J295" s="352"/>
      <c r="K295" s="201" t="s">
        <v>939</v>
      </c>
      <c r="L295" s="201" t="s">
        <v>961</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6">
      <c r="G296" s="145"/>
      <c r="H296" s="398"/>
      <c r="J296" s="352"/>
      <c r="K296" s="142" t="s">
        <v>939</v>
      </c>
      <c r="L296" s="192" t="s">
        <v>962</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6">
      <c r="G297" s="145"/>
      <c r="H297" s="398"/>
      <c r="J297" s="399"/>
      <c r="K297" s="203" t="s">
        <v>939</v>
      </c>
      <c r="L297" s="203" t="s">
        <v>963</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7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6">
      <c r="G299" s="145"/>
      <c r="H299" s="238"/>
      <c r="I299" s="238"/>
    </row>
    <row r="300" spans="7:42" ht="14.25" customHeight="1" x14ac:dyDescent="0.6">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6">
      <c r="G301" s="145"/>
      <c r="H301" s="465" t="s">
        <v>984</v>
      </c>
      <c r="J301" s="351" t="s">
        <v>985</v>
      </c>
      <c r="K301" s="201" t="s">
        <v>906</v>
      </c>
      <c r="L301" s="201" t="s">
        <v>961</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6">
      <c r="G302" s="145"/>
      <c r="H302" s="465"/>
      <c r="J302" s="352"/>
      <c r="K302" s="142" t="s">
        <v>906</v>
      </c>
      <c r="L302" s="192" t="s">
        <v>962</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75">
      <c r="G303" s="145"/>
      <c r="H303" s="465"/>
      <c r="J303" s="352"/>
      <c r="K303" s="203" t="s">
        <v>906</v>
      </c>
      <c r="L303" s="203" t="s">
        <v>963</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6">
      <c r="G304" s="145"/>
      <c r="H304" s="465"/>
      <c r="J304" s="352"/>
      <c r="K304" s="201" t="s">
        <v>912</v>
      </c>
      <c r="L304" s="201" t="s">
        <v>961</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6">
      <c r="G305" s="145"/>
      <c r="H305" s="465"/>
      <c r="J305" s="352"/>
      <c r="K305" s="142" t="s">
        <v>912</v>
      </c>
      <c r="L305" s="192" t="s">
        <v>962</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75">
      <c r="G306" s="145"/>
      <c r="H306" s="465"/>
      <c r="J306" s="352"/>
      <c r="K306" s="203" t="s">
        <v>912</v>
      </c>
      <c r="L306" s="203" t="s">
        <v>963</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6">
      <c r="G307" s="145"/>
      <c r="H307" s="465"/>
      <c r="J307" s="352"/>
      <c r="K307" s="201" t="s">
        <v>916</v>
      </c>
      <c r="L307" s="201" t="s">
        <v>961</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6">
      <c r="G308" s="145"/>
      <c r="H308" s="465"/>
      <c r="J308" s="352"/>
      <c r="K308" s="142" t="s">
        <v>916</v>
      </c>
      <c r="L308" s="192" t="s">
        <v>962</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75">
      <c r="G309" s="145"/>
      <c r="H309" s="465"/>
      <c r="J309" s="352"/>
      <c r="K309" s="203" t="s">
        <v>916</v>
      </c>
      <c r="L309" s="203" t="s">
        <v>963</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6">
      <c r="G310" s="145"/>
      <c r="H310" s="465"/>
      <c r="J310" s="352"/>
      <c r="K310" s="201" t="s">
        <v>919</v>
      </c>
      <c r="L310" s="201" t="s">
        <v>961</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6">
      <c r="G311" s="145"/>
      <c r="H311" s="465"/>
      <c r="J311" s="352"/>
      <c r="K311" s="142" t="s">
        <v>919</v>
      </c>
      <c r="L311" s="192" t="s">
        <v>962</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75">
      <c r="G312" s="145"/>
      <c r="H312" s="465"/>
      <c r="J312" s="352"/>
      <c r="K312" s="203" t="s">
        <v>919</v>
      </c>
      <c r="L312" s="203" t="s">
        <v>963</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6">
      <c r="G313" s="145"/>
      <c r="H313" s="465"/>
      <c r="J313" s="352"/>
      <c r="K313" s="201" t="s">
        <v>922</v>
      </c>
      <c r="L313" s="201" t="s">
        <v>961</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6">
      <c r="G314" s="145"/>
      <c r="H314" s="465"/>
      <c r="J314" s="352"/>
      <c r="K314" s="142" t="s">
        <v>922</v>
      </c>
      <c r="L314" s="192" t="s">
        <v>962</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75">
      <c r="G315" s="145"/>
      <c r="H315" s="465"/>
      <c r="J315" s="352"/>
      <c r="K315" s="203" t="s">
        <v>922</v>
      </c>
      <c r="L315" s="203" t="s">
        <v>963</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6">
      <c r="G316" s="145"/>
      <c r="H316" s="465"/>
      <c r="J316" s="352"/>
      <c r="K316" s="201" t="s">
        <v>925</v>
      </c>
      <c r="L316" s="201" t="s">
        <v>961</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6">
      <c r="G317" s="145"/>
      <c r="H317" s="465"/>
      <c r="J317" s="352"/>
      <c r="K317" s="142" t="s">
        <v>925</v>
      </c>
      <c r="L317" s="192" t="s">
        <v>962</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75">
      <c r="G318" s="145"/>
      <c r="H318" s="465"/>
      <c r="J318" s="352"/>
      <c r="K318" s="203" t="s">
        <v>925</v>
      </c>
      <c r="L318" s="203" t="s">
        <v>963</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6">
      <c r="G319" s="145"/>
      <c r="H319" s="465"/>
      <c r="J319" s="352"/>
      <c r="K319" s="201" t="s">
        <v>928</v>
      </c>
      <c r="L319" s="201" t="s">
        <v>961</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6">
      <c r="G320" s="145"/>
      <c r="H320" s="465"/>
      <c r="J320" s="352"/>
      <c r="K320" s="142" t="s">
        <v>928</v>
      </c>
      <c r="L320" s="192" t="s">
        <v>962</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75">
      <c r="G321" s="145"/>
      <c r="H321" s="465"/>
      <c r="J321" s="352"/>
      <c r="K321" s="203" t="s">
        <v>928</v>
      </c>
      <c r="L321" s="203" t="s">
        <v>963</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6">
      <c r="G322" s="145"/>
      <c r="H322" s="465"/>
      <c r="J322" s="352"/>
      <c r="K322" s="201" t="s">
        <v>931</v>
      </c>
      <c r="L322" s="201" t="s">
        <v>961</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6">
      <c r="G323" s="145"/>
      <c r="H323" s="465"/>
      <c r="J323" s="352"/>
      <c r="K323" s="142" t="s">
        <v>931</v>
      </c>
      <c r="L323" s="192" t="s">
        <v>962</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75">
      <c r="G324" s="145"/>
      <c r="H324" s="465"/>
      <c r="J324" s="352"/>
      <c r="K324" s="203" t="s">
        <v>931</v>
      </c>
      <c r="L324" s="203" t="s">
        <v>963</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6">
      <c r="G325" s="145"/>
      <c r="H325" s="465"/>
      <c r="J325" s="352"/>
      <c r="K325" s="201" t="s">
        <v>935</v>
      </c>
      <c r="L325" s="201" t="s">
        <v>961</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6">
      <c r="G326" s="145"/>
      <c r="H326" s="465"/>
      <c r="J326" s="352"/>
      <c r="K326" s="142" t="s">
        <v>935</v>
      </c>
      <c r="L326" s="192" t="s">
        <v>962</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75">
      <c r="G327" s="145"/>
      <c r="H327" s="465"/>
      <c r="J327" s="352"/>
      <c r="K327" s="203" t="s">
        <v>935</v>
      </c>
      <c r="L327" s="203" t="s">
        <v>963</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6">
      <c r="G328" s="145"/>
      <c r="H328" s="465"/>
      <c r="J328" s="352"/>
      <c r="K328" s="201" t="s">
        <v>939</v>
      </c>
      <c r="L328" s="201" t="s">
        <v>961</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6">
      <c r="G329" s="145"/>
      <c r="H329" s="465"/>
      <c r="J329" s="352"/>
      <c r="K329" s="142" t="s">
        <v>939</v>
      </c>
      <c r="L329" s="192" t="s">
        <v>962</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6">
      <c r="G330" s="145"/>
      <c r="H330" s="465"/>
      <c r="J330" s="399"/>
      <c r="K330" s="203" t="s">
        <v>939</v>
      </c>
      <c r="L330" s="203" t="s">
        <v>963</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7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6">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7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6">
      <c r="G334" s="145"/>
      <c r="H334" s="414" t="s">
        <v>986</v>
      </c>
      <c r="J334" s="351" t="s">
        <v>987</v>
      </c>
      <c r="K334" s="201" t="s">
        <v>906</v>
      </c>
      <c r="L334" s="201" t="s">
        <v>961</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6">
      <c r="G335" s="145"/>
      <c r="H335" s="414"/>
      <c r="J335" s="352"/>
      <c r="K335" s="142" t="s">
        <v>906</v>
      </c>
      <c r="L335" s="192" t="s">
        <v>962</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75">
      <c r="G336" s="145"/>
      <c r="H336" s="414"/>
      <c r="J336" s="352"/>
      <c r="K336" s="203" t="s">
        <v>906</v>
      </c>
      <c r="L336" s="203" t="s">
        <v>963</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6">
      <c r="G337" s="145"/>
      <c r="H337" s="414"/>
      <c r="J337" s="352"/>
      <c r="K337" s="201" t="s">
        <v>912</v>
      </c>
      <c r="L337" s="201" t="s">
        <v>961</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6">
      <c r="G338" s="145"/>
      <c r="H338" s="414"/>
      <c r="J338" s="352"/>
      <c r="K338" s="142" t="s">
        <v>912</v>
      </c>
      <c r="L338" s="192" t="s">
        <v>962</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75">
      <c r="G339" s="145"/>
      <c r="H339" s="414"/>
      <c r="J339" s="352"/>
      <c r="K339" s="203" t="s">
        <v>912</v>
      </c>
      <c r="L339" s="203" t="s">
        <v>963</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6">
      <c r="G340" s="145"/>
      <c r="H340" s="414"/>
      <c r="J340" s="352"/>
      <c r="K340" s="201" t="s">
        <v>916</v>
      </c>
      <c r="L340" s="201" t="s">
        <v>961</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6">
      <c r="G341" s="145"/>
      <c r="H341" s="414"/>
      <c r="J341" s="352"/>
      <c r="K341" s="142" t="s">
        <v>916</v>
      </c>
      <c r="L341" s="192" t="s">
        <v>962</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75">
      <c r="G342" s="145"/>
      <c r="H342" s="414"/>
      <c r="J342" s="352"/>
      <c r="K342" s="203" t="s">
        <v>916</v>
      </c>
      <c r="L342" s="203" t="s">
        <v>963</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6">
      <c r="G343" s="145"/>
      <c r="H343" s="414"/>
      <c r="J343" s="352"/>
      <c r="K343" s="201" t="s">
        <v>919</v>
      </c>
      <c r="L343" s="201" t="s">
        <v>961</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6">
      <c r="G344" s="145"/>
      <c r="H344" s="414"/>
      <c r="J344" s="352"/>
      <c r="K344" s="142" t="s">
        <v>919</v>
      </c>
      <c r="L344" s="192" t="s">
        <v>962</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75">
      <c r="G345" s="145"/>
      <c r="H345" s="414"/>
      <c r="J345" s="352"/>
      <c r="K345" s="203" t="s">
        <v>919</v>
      </c>
      <c r="L345" s="203" t="s">
        <v>963</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6">
      <c r="G346" s="145"/>
      <c r="H346" s="414"/>
      <c r="J346" s="352"/>
      <c r="K346" s="201" t="s">
        <v>922</v>
      </c>
      <c r="L346" s="201" t="s">
        <v>961</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6">
      <c r="G347" s="145"/>
      <c r="H347" s="414"/>
      <c r="J347" s="352"/>
      <c r="K347" s="142" t="s">
        <v>922</v>
      </c>
      <c r="L347" s="192" t="s">
        <v>962</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75">
      <c r="G348" s="145"/>
      <c r="H348" s="414"/>
      <c r="J348" s="352"/>
      <c r="K348" s="203" t="s">
        <v>922</v>
      </c>
      <c r="L348" s="203" t="s">
        <v>963</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6">
      <c r="G349" s="145"/>
      <c r="H349" s="414"/>
      <c r="J349" s="352"/>
      <c r="K349" s="201" t="s">
        <v>925</v>
      </c>
      <c r="L349" s="201" t="s">
        <v>961</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6">
      <c r="G350" s="145"/>
      <c r="H350" s="414"/>
      <c r="J350" s="352"/>
      <c r="K350" s="142" t="s">
        <v>925</v>
      </c>
      <c r="L350" s="192" t="s">
        <v>962</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75">
      <c r="G351" s="145"/>
      <c r="H351" s="414"/>
      <c r="J351" s="352"/>
      <c r="K351" s="203" t="s">
        <v>925</v>
      </c>
      <c r="L351" s="203" t="s">
        <v>963</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6">
      <c r="G352" s="145"/>
      <c r="H352" s="414"/>
      <c r="J352" s="352"/>
      <c r="K352" s="201" t="s">
        <v>928</v>
      </c>
      <c r="L352" s="201" t="s">
        <v>961</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6">
      <c r="G353" s="145"/>
      <c r="H353" s="414"/>
      <c r="J353" s="352"/>
      <c r="K353" s="142" t="s">
        <v>928</v>
      </c>
      <c r="L353" s="192" t="s">
        <v>962</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75">
      <c r="G354" s="145"/>
      <c r="H354" s="414"/>
      <c r="J354" s="352"/>
      <c r="K354" s="203" t="s">
        <v>928</v>
      </c>
      <c r="L354" s="203" t="s">
        <v>963</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6">
      <c r="G355" s="145"/>
      <c r="H355" s="414"/>
      <c r="J355" s="352"/>
      <c r="K355" s="201" t="s">
        <v>931</v>
      </c>
      <c r="L355" s="201" t="s">
        <v>961</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6">
      <c r="G356" s="145"/>
      <c r="H356" s="414"/>
      <c r="J356" s="352"/>
      <c r="K356" s="142" t="s">
        <v>931</v>
      </c>
      <c r="L356" s="192" t="s">
        <v>962</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75">
      <c r="G357" s="145"/>
      <c r="H357" s="414"/>
      <c r="J357" s="352"/>
      <c r="K357" s="203" t="s">
        <v>931</v>
      </c>
      <c r="L357" s="203" t="s">
        <v>963</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6">
      <c r="G358" s="145"/>
      <c r="H358" s="414"/>
      <c r="J358" s="352"/>
      <c r="K358" s="201" t="s">
        <v>935</v>
      </c>
      <c r="L358" s="201" t="s">
        <v>961</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6">
      <c r="G359" s="145"/>
      <c r="H359" s="414"/>
      <c r="J359" s="352"/>
      <c r="K359" s="142" t="s">
        <v>935</v>
      </c>
      <c r="L359" s="192" t="s">
        <v>962</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75">
      <c r="G360" s="145"/>
      <c r="H360" s="414"/>
      <c r="J360" s="352"/>
      <c r="K360" s="203" t="s">
        <v>935</v>
      </c>
      <c r="L360" s="203" t="s">
        <v>963</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6">
      <c r="G361" s="145"/>
      <c r="H361" s="414"/>
      <c r="J361" s="352"/>
      <c r="K361" s="201" t="s">
        <v>939</v>
      </c>
      <c r="L361" s="201" t="s">
        <v>961</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6">
      <c r="G362" s="145"/>
      <c r="H362" s="414"/>
      <c r="J362" s="352"/>
      <c r="K362" s="142" t="s">
        <v>939</v>
      </c>
      <c r="L362" s="192" t="s">
        <v>962</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6">
      <c r="G363" s="145"/>
      <c r="H363" s="414"/>
      <c r="J363" s="399"/>
      <c r="K363" s="203" t="s">
        <v>939</v>
      </c>
      <c r="L363" s="203" t="s">
        <v>963</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7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6">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6">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6">
      <c r="G367" s="145"/>
      <c r="H367" s="417" t="s">
        <v>988</v>
      </c>
      <c r="J367" s="351" t="s">
        <v>989</v>
      </c>
      <c r="K367" s="142" t="s">
        <v>990</v>
      </c>
      <c r="L367" s="142" t="s">
        <v>961</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6">
      <c r="G368" s="145"/>
      <c r="H368" s="417"/>
      <c r="J368" s="352"/>
      <c r="K368" s="142" t="s">
        <v>990</v>
      </c>
      <c r="L368" s="142" t="s">
        <v>962</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6">
      <c r="G369" s="145"/>
      <c r="H369" s="417"/>
      <c r="J369" s="352"/>
      <c r="K369" s="142" t="s">
        <v>990</v>
      </c>
      <c r="L369" s="142" t="s">
        <v>963</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6">
      <c r="G370" s="145"/>
      <c r="H370" s="417"/>
      <c r="J370" s="352"/>
      <c r="K370" s="142" t="s">
        <v>991</v>
      </c>
      <c r="L370" s="142" t="s">
        <v>959</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6">
      <c r="G371" s="145"/>
      <c r="H371" s="417"/>
      <c r="J371" s="352"/>
      <c r="K371" s="142" t="s">
        <v>730</v>
      </c>
      <c r="L371" s="142" t="s">
        <v>961</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6">
      <c r="G372" s="145"/>
      <c r="H372" s="417"/>
      <c r="J372" s="352"/>
      <c r="K372" s="142" t="s">
        <v>730</v>
      </c>
      <c r="L372" s="142" t="s">
        <v>962</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6">
      <c r="G373" s="145"/>
      <c r="H373" s="417"/>
      <c r="J373" s="352"/>
      <c r="K373" s="142" t="s">
        <v>730</v>
      </c>
      <c r="L373" s="142" t="s">
        <v>963</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6">
      <c r="G374" s="145"/>
      <c r="H374" s="243"/>
      <c r="J374" s="244"/>
      <c r="K374" s="142" t="s">
        <v>992</v>
      </c>
      <c r="L374" s="142" t="s">
        <v>961</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6">
      <c r="G375" s="145"/>
      <c r="H375" s="243"/>
      <c r="J375" s="244"/>
      <c r="K375" s="142" t="s">
        <v>992</v>
      </c>
      <c r="L375" s="142" t="s">
        <v>962</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6">
      <c r="G376" s="145"/>
      <c r="H376" s="243"/>
      <c r="J376" s="244"/>
      <c r="K376" s="142" t="s">
        <v>992</v>
      </c>
      <c r="L376" s="142" t="s">
        <v>963</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6">
      <c r="G377" s="145"/>
      <c r="H377" s="243"/>
      <c r="J377" s="244"/>
      <c r="K377" s="142" t="s">
        <v>993</v>
      </c>
      <c r="L377" s="142" t="s">
        <v>961</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6">
      <c r="G378" s="145"/>
      <c r="H378" s="243"/>
      <c r="J378" s="244"/>
      <c r="K378" s="142" t="s">
        <v>993</v>
      </c>
      <c r="L378" s="142" t="s">
        <v>962</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6">
      <c r="G379" s="145"/>
      <c r="H379" s="243"/>
      <c r="J379" s="244"/>
      <c r="K379" s="142" t="s">
        <v>993</v>
      </c>
      <c r="L379" s="142" t="s">
        <v>963</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6">
      <c r="G380" s="145"/>
      <c r="H380" s="240"/>
      <c r="I380" s="246" t="s">
        <v>994</v>
      </c>
      <c r="J380" s="466" t="s">
        <v>995</v>
      </c>
      <c r="K380" s="248" t="s">
        <v>996</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6">
      <c r="G381" s="145"/>
      <c r="H381" s="240"/>
      <c r="I381" s="137">
        <v>0.2</v>
      </c>
      <c r="J381" s="466"/>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6">
      <c r="G382" s="145"/>
      <c r="H382" s="240"/>
      <c r="I382" s="137">
        <v>0.32</v>
      </c>
      <c r="J382" s="466"/>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6">
      <c r="G383" s="145"/>
      <c r="H383" s="240"/>
      <c r="I383" s="137">
        <v>0.192</v>
      </c>
      <c r="J383" s="466"/>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6">
      <c r="G384" s="145"/>
      <c r="H384" s="240"/>
      <c r="I384" s="137">
        <v>0.1152</v>
      </c>
      <c r="J384" s="466"/>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6">
      <c r="G385" s="145"/>
      <c r="H385" s="240"/>
      <c r="I385" s="137">
        <v>0.1152</v>
      </c>
      <c r="J385" s="466"/>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6">
      <c r="G386" s="145"/>
      <c r="H386" s="240"/>
      <c r="I386" s="137">
        <v>5.7599999999999998E-2</v>
      </c>
      <c r="J386" s="466"/>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6">
      <c r="G387" s="145"/>
      <c r="H387" s="240"/>
      <c r="J387" s="251"/>
      <c r="K387" s="248" t="s">
        <v>997</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6">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6">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6">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6">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6">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6">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6">
      <c r="G394" s="145"/>
      <c r="H394" s="240"/>
      <c r="J394" s="251"/>
      <c r="K394" s="249" t="s">
        <v>998</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6">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6">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6">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6">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6">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6">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6">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7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6">
      <c r="G403" s="255"/>
      <c r="H403" s="240"/>
      <c r="J403" s="351" t="s">
        <v>999</v>
      </c>
      <c r="K403" s="142" t="s">
        <v>1000</v>
      </c>
      <c r="L403" s="142" t="s">
        <v>961</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6">
      <c r="F404" s="257"/>
      <c r="H404" s="240"/>
      <c r="J404" s="352"/>
      <c r="K404" s="142" t="s">
        <v>1000</v>
      </c>
      <c r="L404" s="142" t="s">
        <v>962</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6">
      <c r="F405" s="257"/>
      <c r="H405" s="240"/>
      <c r="J405" s="352"/>
      <c r="K405" s="142" t="s">
        <v>1000</v>
      </c>
      <c r="L405" s="142" t="s">
        <v>963</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75">
      <c r="F406" s="257"/>
      <c r="H406" s="240"/>
      <c r="J406" s="132"/>
    </row>
    <row r="407" spans="6:42" ht="14.25" customHeight="1" thickTop="1" thickBot="1" x14ac:dyDescent="0.75">
      <c r="F407" s="257"/>
      <c r="H407" s="240"/>
      <c r="J407" s="251"/>
      <c r="K407" s="142" t="s">
        <v>1001</v>
      </c>
      <c r="L407" s="142" t="s">
        <v>959</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75">
      <c r="F408" s="257"/>
      <c r="H408" s="240"/>
      <c r="J408" s="251"/>
      <c r="K408" s="142" t="s">
        <v>1002</v>
      </c>
      <c r="L408" s="142" t="s">
        <v>959</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75">
      <c r="F409" s="257"/>
      <c r="H409" s="240"/>
      <c r="J409" s="251"/>
      <c r="K409" s="142" t="s">
        <v>1003</v>
      </c>
      <c r="L409" s="142" t="s">
        <v>959</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75">
      <c r="F410" s="257"/>
      <c r="H410" s="240"/>
      <c r="J410" s="251"/>
      <c r="K410" s="142" t="s">
        <v>1004</v>
      </c>
      <c r="L410" s="142" t="s">
        <v>961</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75">
      <c r="F411" s="257"/>
      <c r="H411" s="240"/>
      <c r="J411" s="251"/>
      <c r="K411" s="142" t="s">
        <v>1005</v>
      </c>
      <c r="L411" s="142" t="s">
        <v>961</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75">
      <c r="F412" s="257"/>
      <c r="H412" s="240"/>
      <c r="J412" s="251"/>
      <c r="K412" s="142" t="s">
        <v>1006</v>
      </c>
      <c r="L412" s="142" t="s">
        <v>961</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75">
      <c r="F413" s="257"/>
      <c r="H413" s="240"/>
      <c r="J413" s="251"/>
      <c r="K413" s="142" t="s">
        <v>1004</v>
      </c>
      <c r="L413" s="142" t="s">
        <v>962</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75">
      <c r="F414" s="257"/>
      <c r="H414" s="240"/>
      <c r="J414" s="251"/>
      <c r="K414" s="142" t="s">
        <v>1005</v>
      </c>
      <c r="L414" s="142" t="s">
        <v>962</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75">
      <c r="F415" s="257"/>
      <c r="H415" s="240"/>
      <c r="J415" s="251"/>
      <c r="K415" s="142" t="s">
        <v>1006</v>
      </c>
      <c r="L415" s="142" t="s">
        <v>962</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75">
      <c r="F416" s="257"/>
      <c r="H416" s="240"/>
      <c r="J416" s="251"/>
      <c r="K416" s="142" t="s">
        <v>1004</v>
      </c>
      <c r="L416" s="142" t="s">
        <v>963</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75">
      <c r="F417" s="257"/>
      <c r="H417" s="240"/>
      <c r="J417" s="251"/>
      <c r="K417" s="142" t="s">
        <v>1005</v>
      </c>
      <c r="L417" s="142" t="s">
        <v>963</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6">
      <c r="F418" s="257"/>
      <c r="H418" s="240"/>
      <c r="J418" s="251"/>
      <c r="K418" s="142" t="s">
        <v>1006</v>
      </c>
      <c r="L418" s="142" t="s">
        <v>963</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6">
      <c r="C420" s="143" t="s">
        <v>891</v>
      </c>
      <c r="G420" s="418" t="s">
        <v>1007</v>
      </c>
      <c r="H420" s="356"/>
      <c r="I420" s="356"/>
      <c r="J420" s="356"/>
      <c r="K420" s="356"/>
      <c r="L420" s="356"/>
      <c r="M420" s="356"/>
      <c r="N420" s="356"/>
      <c r="O420" s="356"/>
      <c r="P420" s="356"/>
      <c r="Q420" s="356"/>
      <c r="R420" s="356"/>
      <c r="S420" s="356"/>
      <c r="T420" s="356"/>
      <c r="U420" s="356"/>
      <c r="V420" s="144"/>
      <c r="W420" s="144"/>
      <c r="X420" s="144"/>
      <c r="Y420" s="144"/>
      <c r="Z420" s="144"/>
      <c r="AA420" s="144"/>
      <c r="AB420" s="144"/>
    </row>
    <row r="422" spans="3:42" ht="14.25" customHeight="1" x14ac:dyDescent="0.6">
      <c r="H422" s="467" t="s">
        <v>1008</v>
      </c>
      <c r="I422" s="468"/>
      <c r="J422" s="468"/>
      <c r="K422" s="468"/>
      <c r="L422" s="468"/>
      <c r="M422" s="468"/>
      <c r="N422" s="469" t="s">
        <v>1009</v>
      </c>
      <c r="O422" s="470"/>
      <c r="P422" s="470"/>
      <c r="Q422" s="470"/>
      <c r="R422" s="471"/>
      <c r="S422" s="260" t="s">
        <v>1010</v>
      </c>
      <c r="T422" s="260" t="s">
        <v>1011</v>
      </c>
      <c r="U422" s="261"/>
      <c r="V422" s="261"/>
      <c r="W422" s="261"/>
      <c r="X422" s="261"/>
      <c r="Y422" s="261"/>
      <c r="Z422" s="261"/>
      <c r="AA422" s="261"/>
      <c r="AB422" s="262"/>
    </row>
    <row r="423" spans="3:42" ht="14.25" customHeight="1" x14ac:dyDescent="0.75">
      <c r="H423" s="463" t="s">
        <v>1012</v>
      </c>
      <c r="I423" s="425"/>
      <c r="J423" s="425"/>
      <c r="K423" s="425"/>
      <c r="L423" s="425"/>
      <c r="M423" s="425"/>
      <c r="N423" s="464" t="s">
        <v>1013</v>
      </c>
      <c r="O423" s="433"/>
      <c r="P423" s="433"/>
      <c r="Q423" s="433"/>
      <c r="R423" s="433"/>
      <c r="S423" s="264"/>
      <c r="T423" s="264"/>
      <c r="U423" s="265"/>
      <c r="V423" s="265"/>
      <c r="W423" s="265"/>
      <c r="X423" s="265"/>
      <c r="Y423" s="265"/>
      <c r="Z423" s="265"/>
      <c r="AA423" s="265"/>
      <c r="AB423" s="266"/>
    </row>
    <row r="424" spans="3:42" ht="14.25" customHeight="1" x14ac:dyDescent="0.75">
      <c r="H424" s="463" t="s">
        <v>977</v>
      </c>
      <c r="I424" s="425"/>
      <c r="J424" s="425"/>
      <c r="K424" s="425"/>
      <c r="L424" s="425"/>
      <c r="M424" s="425"/>
      <c r="N424" s="464" t="s">
        <v>1014</v>
      </c>
      <c r="O424" s="433"/>
      <c r="P424" s="433"/>
      <c r="Q424" s="433"/>
      <c r="R424" s="433"/>
      <c r="S424" s="264"/>
      <c r="T424" s="264"/>
      <c r="U424" s="265"/>
      <c r="V424" s="265"/>
      <c r="W424" s="265"/>
      <c r="X424" s="265"/>
      <c r="Y424" s="265"/>
      <c r="Z424" s="265"/>
      <c r="AA424" s="265"/>
      <c r="AB424" s="266"/>
    </row>
    <row r="425" spans="3:42" ht="14.25" customHeight="1" x14ac:dyDescent="0.75">
      <c r="H425" s="463" t="s">
        <v>981</v>
      </c>
      <c r="I425" s="425"/>
      <c r="J425" s="425"/>
      <c r="K425" s="425"/>
      <c r="L425" s="425"/>
      <c r="M425" s="425"/>
      <c r="N425" s="464" t="s">
        <v>1015</v>
      </c>
      <c r="O425" s="433"/>
      <c r="P425" s="433"/>
      <c r="Q425" s="433"/>
      <c r="R425" s="433"/>
      <c r="S425" s="264"/>
      <c r="T425" s="264"/>
      <c r="U425" s="265"/>
      <c r="V425" s="265"/>
      <c r="W425" s="265"/>
      <c r="X425" s="265"/>
      <c r="Y425" s="265"/>
      <c r="Z425" s="265"/>
      <c r="AA425" s="265"/>
      <c r="AB425" s="266"/>
    </row>
    <row r="426" spans="3:42" ht="14.25" customHeight="1" x14ac:dyDescent="0.75">
      <c r="H426" s="463" t="s">
        <v>1016</v>
      </c>
      <c r="I426" s="425"/>
      <c r="J426" s="425"/>
      <c r="K426" s="425"/>
      <c r="L426" s="425"/>
      <c r="M426" s="425"/>
      <c r="N426" s="464" t="s">
        <v>1015</v>
      </c>
      <c r="O426" s="433"/>
      <c r="P426" s="433"/>
      <c r="Q426" s="433"/>
      <c r="R426" s="433"/>
      <c r="S426" s="267"/>
      <c r="T426" s="267"/>
      <c r="U426"/>
      <c r="V426"/>
      <c r="W426"/>
      <c r="X426"/>
      <c r="Y426"/>
      <c r="Z426"/>
      <c r="AA426"/>
      <c r="AB426"/>
    </row>
    <row r="427" spans="3:42" ht="14.25" customHeight="1" x14ac:dyDescent="0.6">
      <c r="H427" s="463" t="s">
        <v>1017</v>
      </c>
      <c r="I427" s="425"/>
      <c r="J427" s="425"/>
      <c r="K427" s="425"/>
      <c r="L427" s="425"/>
      <c r="M427" s="425"/>
      <c r="N427" s="472" t="s">
        <v>1018</v>
      </c>
      <c r="O427" s="473"/>
      <c r="P427" s="473"/>
      <c r="Q427" s="473"/>
      <c r="R427" s="473"/>
      <c r="S427" s="268"/>
      <c r="T427" s="268"/>
      <c r="U427" s="261"/>
      <c r="V427" s="261"/>
      <c r="W427" s="261"/>
      <c r="X427" s="261"/>
      <c r="Y427" s="261"/>
      <c r="Z427" s="261"/>
      <c r="AA427" s="261"/>
      <c r="AB427" s="262"/>
    </row>
    <row r="428" spans="3:42" ht="14.25" customHeight="1" x14ac:dyDescent="0.6">
      <c r="H428" s="463" t="s">
        <v>1019</v>
      </c>
      <c r="I428" s="425"/>
      <c r="J428" s="425"/>
      <c r="K428" s="425"/>
      <c r="L428" s="425"/>
      <c r="M428" s="425"/>
      <c r="N428" s="472" t="s">
        <v>1018</v>
      </c>
      <c r="O428" s="473"/>
      <c r="P428" s="473"/>
      <c r="Q428" s="473"/>
      <c r="R428" s="473"/>
      <c r="S428" s="268"/>
      <c r="T428" s="268"/>
      <c r="U428" s="261"/>
      <c r="V428" s="261"/>
      <c r="W428" s="261"/>
      <c r="X428" s="261"/>
      <c r="Y428" s="261"/>
      <c r="Z428" s="261"/>
      <c r="AA428" s="261"/>
      <c r="AB428" s="262"/>
    </row>
    <row r="429" spans="3:42" ht="14.25" customHeight="1" x14ac:dyDescent="0.6">
      <c r="H429" s="474"/>
      <c r="I429" s="474"/>
      <c r="J429" s="474"/>
      <c r="K429" s="474"/>
      <c r="L429" s="474"/>
      <c r="M429" s="474"/>
      <c r="O429" s="261"/>
      <c r="P429" s="261"/>
      <c r="Q429" s="261"/>
      <c r="R429" s="261"/>
      <c r="S429" s="261"/>
      <c r="T429" s="261"/>
      <c r="U429" s="261"/>
      <c r="V429" s="261"/>
      <c r="W429" s="261"/>
      <c r="X429" s="261"/>
      <c r="Y429" s="261"/>
      <c r="Z429" s="261"/>
      <c r="AA429" s="261"/>
      <c r="AB429" s="262"/>
    </row>
    <row r="430" spans="3:42" ht="14.25" customHeight="1" x14ac:dyDescent="0.6">
      <c r="H430" s="467" t="s">
        <v>1020</v>
      </c>
      <c r="I430" s="468"/>
      <c r="J430" s="468"/>
      <c r="K430" s="468"/>
      <c r="L430" s="468"/>
      <c r="M430" s="468"/>
      <c r="N430" s="469" t="s">
        <v>1009</v>
      </c>
      <c r="O430" s="470"/>
      <c r="P430" s="470"/>
      <c r="Q430" s="470"/>
      <c r="R430" s="471"/>
      <c r="S430" s="260" t="s">
        <v>1010</v>
      </c>
      <c r="T430" s="260" t="s">
        <v>1011</v>
      </c>
      <c r="U430" s="261"/>
      <c r="V430" s="261"/>
      <c r="W430" s="261"/>
      <c r="X430" s="261"/>
      <c r="Y430" s="261"/>
      <c r="Z430" s="261"/>
      <c r="AA430" s="261"/>
      <c r="AB430" s="262"/>
    </row>
    <row r="431" spans="3:42" ht="14.25" customHeight="1" x14ac:dyDescent="0.75">
      <c r="H431" s="463" t="s">
        <v>977</v>
      </c>
      <c r="I431" s="425"/>
      <c r="J431" s="425"/>
      <c r="K431" s="425"/>
      <c r="L431" s="425"/>
      <c r="M431" s="426"/>
      <c r="N431" s="464" t="s">
        <v>1014</v>
      </c>
      <c r="O431" s="433"/>
      <c r="P431" s="433"/>
      <c r="Q431" s="433"/>
      <c r="R431" s="433"/>
      <c r="S431" s="264"/>
      <c r="T431" s="264"/>
      <c r="U431" s="265"/>
      <c r="V431" s="265"/>
      <c r="W431" s="265"/>
      <c r="X431" s="265"/>
      <c r="Y431" s="265"/>
      <c r="Z431" s="265"/>
      <c r="AA431" s="265"/>
      <c r="AB431" s="266"/>
    </row>
    <row r="432" spans="3:42" ht="14.25" customHeight="1" x14ac:dyDescent="0.75">
      <c r="H432" s="463" t="s">
        <v>981</v>
      </c>
      <c r="I432" s="425"/>
      <c r="J432" s="425"/>
      <c r="K432" s="425"/>
      <c r="L432" s="425"/>
      <c r="M432" s="426"/>
      <c r="N432" s="263" t="s">
        <v>1021</v>
      </c>
      <c r="Q432" s="269" t="s">
        <v>1022</v>
      </c>
      <c r="R432" s="261"/>
      <c r="S432" s="268"/>
      <c r="T432" s="268"/>
      <c r="U432" s="261"/>
      <c r="V432" s="261"/>
      <c r="W432" s="261"/>
      <c r="X432" s="261"/>
      <c r="Y432" s="261"/>
      <c r="Z432" s="261"/>
      <c r="AA432" s="261"/>
      <c r="AB432" s="262"/>
    </row>
    <row r="433" spans="8:28" ht="14.25" customHeight="1" x14ac:dyDescent="0.75">
      <c r="H433" s="445" t="s">
        <v>1023</v>
      </c>
      <c r="I433" s="446"/>
      <c r="J433" s="446"/>
      <c r="K433" s="446"/>
      <c r="L433" s="446"/>
      <c r="M433" s="447"/>
      <c r="N433" s="270"/>
      <c r="O433" s="271"/>
      <c r="P433" s="271"/>
      <c r="Q433" s="261"/>
      <c r="R433" s="262"/>
      <c r="S433" s="261"/>
      <c r="T433" s="268"/>
      <c r="U433" s="261"/>
      <c r="V433" s="261"/>
      <c r="W433" s="261"/>
      <c r="X433" s="261"/>
      <c r="Y433" s="261"/>
      <c r="Z433" s="261"/>
      <c r="AA433" s="261"/>
      <c r="AB433" s="262"/>
    </row>
    <row r="434" spans="8:28" ht="14.25" customHeight="1" x14ac:dyDescent="0.75">
      <c r="H434" s="463" t="s">
        <v>1016</v>
      </c>
      <c r="I434" s="425"/>
      <c r="J434" s="425"/>
      <c r="K434" s="425"/>
      <c r="L434" s="425"/>
      <c r="M434" s="426"/>
      <c r="N434" s="464" t="s">
        <v>1024</v>
      </c>
      <c r="O434" s="433"/>
      <c r="P434" s="433"/>
      <c r="Q434" s="433"/>
      <c r="R434" s="433"/>
      <c r="S434" s="264"/>
      <c r="T434" s="264"/>
      <c r="U434" s="265"/>
      <c r="V434" s="265"/>
      <c r="W434" s="265"/>
      <c r="X434" s="265"/>
      <c r="Y434" s="265"/>
      <c r="Z434" s="265"/>
      <c r="AA434" s="265"/>
      <c r="AB434" s="266"/>
    </row>
    <row r="435" spans="8:28" ht="14.25" customHeight="1" x14ac:dyDescent="0.6">
      <c r="H435" s="463" t="s">
        <v>1017</v>
      </c>
      <c r="I435" s="425"/>
      <c r="J435" s="425"/>
      <c r="K435" s="425"/>
      <c r="L435" s="425"/>
      <c r="M435" s="426"/>
      <c r="N435" s="472" t="s">
        <v>1018</v>
      </c>
      <c r="O435" s="473"/>
      <c r="P435" s="473"/>
      <c r="Q435" s="473"/>
      <c r="R435" s="473"/>
      <c r="S435" s="268"/>
      <c r="T435" s="268"/>
      <c r="U435" s="261"/>
      <c r="V435" s="261"/>
      <c r="W435" s="261"/>
      <c r="X435" s="261"/>
      <c r="Y435" s="261"/>
      <c r="Z435" s="261"/>
      <c r="AA435" s="261"/>
      <c r="AB435" s="262"/>
    </row>
    <row r="436" spans="8:28" ht="14.25" customHeight="1" x14ac:dyDescent="0.6">
      <c r="H436" s="463" t="s">
        <v>1025</v>
      </c>
      <c r="I436" s="425"/>
      <c r="J436" s="425"/>
      <c r="K436" s="425"/>
      <c r="L436" s="425"/>
      <c r="M436" s="426"/>
      <c r="N436" s="472" t="s">
        <v>1018</v>
      </c>
      <c r="O436" s="473"/>
      <c r="P436" s="473"/>
      <c r="Q436" s="473"/>
      <c r="R436" s="473"/>
      <c r="S436" s="268"/>
      <c r="T436" s="268"/>
      <c r="U436" s="261"/>
      <c r="V436" s="261"/>
      <c r="W436" s="261"/>
      <c r="X436" s="261"/>
      <c r="Y436" s="261"/>
      <c r="Z436" s="261"/>
      <c r="AA436" s="261"/>
      <c r="AB436" s="262"/>
    </row>
    <row r="437" spans="8:28" ht="14.25" customHeight="1" x14ac:dyDescent="0.6">
      <c r="H437" s="463" t="s">
        <v>1019</v>
      </c>
      <c r="I437" s="425"/>
      <c r="J437" s="425"/>
      <c r="K437" s="425"/>
      <c r="L437" s="425"/>
      <c r="M437" s="426"/>
      <c r="N437" s="472" t="s">
        <v>1018</v>
      </c>
      <c r="O437" s="473"/>
      <c r="P437" s="473"/>
      <c r="Q437" s="473"/>
      <c r="R437" s="473"/>
      <c r="S437" s="268"/>
      <c r="T437" s="268"/>
      <c r="U437" s="261"/>
      <c r="V437" s="261"/>
      <c r="W437" s="261"/>
      <c r="X437" s="261"/>
      <c r="Y437" s="261"/>
      <c r="Z437" s="261"/>
      <c r="AA437" s="261"/>
      <c r="AB437" s="262"/>
    </row>
    <row r="438" spans="8:28" ht="14.25" customHeight="1" x14ac:dyDescent="0.6">
      <c r="H438" s="137" t="s">
        <v>1026</v>
      </c>
    </row>
  </sheetData>
  <mergeCells count="59">
    <mergeCell ref="H435:M435"/>
    <mergeCell ref="N435:R435"/>
    <mergeCell ref="H436:M436"/>
    <mergeCell ref="N436:R436"/>
    <mergeCell ref="H437:M437"/>
    <mergeCell ref="N437:R437"/>
    <mergeCell ref="H431:M431"/>
    <mergeCell ref="N431:R431"/>
    <mergeCell ref="H432:M432"/>
    <mergeCell ref="H433:M433"/>
    <mergeCell ref="H434:M434"/>
    <mergeCell ref="N434:R434"/>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G73:U73"/>
    <mergeCell ref="H76:H297"/>
    <mergeCell ref="J76:J105"/>
    <mergeCell ref="J108:J137"/>
    <mergeCell ref="J140:J169"/>
    <mergeCell ref="J172:J201"/>
    <mergeCell ref="J204:J233"/>
    <mergeCell ref="J236:J265"/>
    <mergeCell ref="J268:J297"/>
    <mergeCell ref="H28:H70"/>
    <mergeCell ref="J28:O28"/>
    <mergeCell ref="J31:N31"/>
    <mergeCell ref="L33:L34"/>
    <mergeCell ref="M33:M34"/>
    <mergeCell ref="J41:J68"/>
    <mergeCell ref="U4:U5"/>
    <mergeCell ref="G7:X7"/>
    <mergeCell ref="H9:H25"/>
    <mergeCell ref="J9:L9"/>
    <mergeCell ref="M9:P9"/>
    <mergeCell ref="J13:J25"/>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6" sqref="C6"/>
    </sheetView>
  </sheetViews>
  <sheetFormatPr defaultColWidth="9.1796875" defaultRowHeight="14.75" x14ac:dyDescent="0.75"/>
  <cols>
    <col min="1" max="1" width="54" bestFit="1" customWidth="1"/>
    <col min="2" max="2" width="45.81640625" customWidth="1"/>
    <col min="3" max="3" width="89.1796875" customWidth="1"/>
    <col min="4" max="4" width="17.453125" customWidth="1"/>
    <col min="5" max="5" width="21.54296875" bestFit="1" customWidth="1"/>
    <col min="7" max="7" width="10.1796875" bestFit="1" customWidth="1"/>
    <col min="8" max="9" width="10" bestFit="1" customWidth="1"/>
    <col min="10" max="10" width="10.1796875" bestFit="1" customWidth="1"/>
    <col min="11" max="11" width="10" bestFit="1" customWidth="1"/>
    <col min="15" max="15" width="11" bestFit="1" customWidth="1"/>
  </cols>
  <sheetData>
    <row r="1" spans="1:24" s="1" customFormat="1" x14ac:dyDescent="0.7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7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7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7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7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7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7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7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7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7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7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7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7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7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7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7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7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7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7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7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265625" defaultRowHeight="12.25" x14ac:dyDescent="0.65"/>
  <cols>
    <col min="1" max="1" width="21.26953125" style="37" bestFit="1" customWidth="1"/>
    <col min="2" max="2" width="46.7265625" style="37" customWidth="1"/>
    <col min="3" max="16384" width="8.7265625" style="37"/>
  </cols>
  <sheetData>
    <row r="1" spans="1:33" ht="15" customHeight="1" thickBot="1" x14ac:dyDescent="0.8">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65"/>
    <row r="3" spans="1:33" ht="15" customHeight="1" x14ac:dyDescent="0.65">
      <c r="C3" s="55" t="s">
        <v>494</v>
      </c>
      <c r="D3" s="55" t="s">
        <v>622</v>
      </c>
      <c r="E3" s="55"/>
      <c r="F3" s="55"/>
      <c r="G3" s="55"/>
    </row>
    <row r="4" spans="1:33" ht="15" customHeight="1" x14ac:dyDescent="0.65">
      <c r="C4" s="55" t="s">
        <v>495</v>
      </c>
      <c r="D4" s="55" t="s">
        <v>621</v>
      </c>
      <c r="E4" s="55"/>
      <c r="F4" s="55"/>
      <c r="G4" s="55" t="s">
        <v>620</v>
      </c>
    </row>
    <row r="5" spans="1:33" ht="15" customHeight="1" x14ac:dyDescent="0.65">
      <c r="C5" s="55" t="s">
        <v>496</v>
      </c>
      <c r="D5" s="55" t="s">
        <v>619</v>
      </c>
      <c r="E5" s="55"/>
      <c r="F5" s="55"/>
      <c r="G5" s="55"/>
    </row>
    <row r="6" spans="1:33" ht="15" customHeight="1" x14ac:dyDescent="0.65">
      <c r="C6" s="55" t="s">
        <v>497</v>
      </c>
      <c r="D6" s="55"/>
      <c r="E6" s="55" t="s">
        <v>618</v>
      </c>
      <c r="F6" s="55"/>
      <c r="G6" s="55"/>
    </row>
    <row r="10" spans="1:33" ht="15" customHeight="1" x14ac:dyDescent="0.8">
      <c r="A10" s="43" t="s">
        <v>318</v>
      </c>
      <c r="B10" s="54" t="s">
        <v>43</v>
      </c>
      <c r="AG10" s="51" t="s">
        <v>617</v>
      </c>
    </row>
    <row r="11" spans="1:33" ht="15" customHeight="1" x14ac:dyDescent="0.65">
      <c r="B11" s="53" t="s">
        <v>44</v>
      </c>
      <c r="AG11" s="51" t="s">
        <v>616</v>
      </c>
    </row>
    <row r="12" spans="1:33" ht="15" customHeight="1" x14ac:dyDescent="0.65">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8">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65"/>
    <row r="15" spans="1:33" ht="15" customHeight="1" x14ac:dyDescent="0.7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7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7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7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7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7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7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7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7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7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65">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7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7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7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7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7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4.75" x14ac:dyDescent="0.7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65">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4.75" x14ac:dyDescent="0.75">
      <c r="B33"/>
      <c r="C33"/>
      <c r="D33"/>
      <c r="E33"/>
      <c r="F33"/>
      <c r="G33"/>
      <c r="H33"/>
      <c r="I33"/>
      <c r="J33"/>
      <c r="K33"/>
      <c r="L33"/>
      <c r="M33"/>
      <c r="N33"/>
      <c r="O33"/>
      <c r="P33"/>
      <c r="Q33"/>
      <c r="R33"/>
      <c r="S33"/>
      <c r="T33"/>
      <c r="U33"/>
      <c r="V33"/>
      <c r="W33"/>
      <c r="X33"/>
      <c r="Y33"/>
      <c r="Z33"/>
      <c r="AA33"/>
      <c r="AB33"/>
      <c r="AC33"/>
      <c r="AD33"/>
      <c r="AE33"/>
      <c r="AF33"/>
      <c r="AG33"/>
    </row>
    <row r="34" spans="1:33" ht="14.75" x14ac:dyDescent="0.75">
      <c r="B34" s="46" t="s">
        <v>59</v>
      </c>
      <c r="C34"/>
      <c r="D34"/>
      <c r="E34"/>
      <c r="F34"/>
      <c r="G34"/>
      <c r="H34"/>
      <c r="I34"/>
      <c r="J34"/>
      <c r="K34"/>
      <c r="L34"/>
      <c r="M34"/>
      <c r="N34"/>
      <c r="O34"/>
      <c r="P34"/>
      <c r="Q34"/>
      <c r="R34"/>
      <c r="S34"/>
      <c r="T34"/>
      <c r="U34"/>
      <c r="V34"/>
      <c r="W34"/>
      <c r="X34"/>
      <c r="Y34"/>
      <c r="Z34"/>
      <c r="AA34"/>
      <c r="AB34"/>
      <c r="AC34"/>
      <c r="AD34"/>
      <c r="AE34"/>
      <c r="AF34"/>
      <c r="AG34"/>
    </row>
    <row r="35" spans="1:33" ht="14.75" x14ac:dyDescent="0.7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4.75" x14ac:dyDescent="0.7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4.75" x14ac:dyDescent="0.7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65">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4.75" x14ac:dyDescent="0.75">
      <c r="B39"/>
      <c r="C39"/>
      <c r="D39"/>
      <c r="E39"/>
      <c r="F39"/>
      <c r="G39"/>
      <c r="H39"/>
      <c r="I39"/>
      <c r="J39"/>
      <c r="K39"/>
      <c r="L39"/>
      <c r="M39"/>
      <c r="N39"/>
      <c r="O39"/>
      <c r="P39"/>
      <c r="Q39"/>
      <c r="R39"/>
      <c r="S39"/>
      <c r="T39"/>
      <c r="U39"/>
      <c r="V39"/>
      <c r="W39"/>
      <c r="X39"/>
      <c r="Y39"/>
      <c r="Z39"/>
      <c r="AA39"/>
      <c r="AB39"/>
      <c r="AC39"/>
      <c r="AD39"/>
      <c r="AE39"/>
      <c r="AF39"/>
      <c r="AG39"/>
    </row>
    <row r="40" spans="1:33" x14ac:dyDescent="0.65">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4.75" x14ac:dyDescent="0.75">
      <c r="B41"/>
      <c r="C41"/>
      <c r="D41"/>
      <c r="E41"/>
      <c r="F41"/>
      <c r="G41"/>
      <c r="H41"/>
      <c r="I41"/>
      <c r="J41"/>
      <c r="K41"/>
      <c r="L41"/>
      <c r="M41"/>
      <c r="N41"/>
      <c r="O41"/>
      <c r="P41"/>
      <c r="Q41"/>
      <c r="R41"/>
      <c r="S41"/>
      <c r="T41"/>
      <c r="U41"/>
      <c r="V41"/>
      <c r="W41"/>
      <c r="X41"/>
      <c r="Y41"/>
      <c r="Z41"/>
      <c r="AA41"/>
      <c r="AB41"/>
      <c r="AC41"/>
      <c r="AD41"/>
      <c r="AE41"/>
      <c r="AF41"/>
      <c r="AG41"/>
    </row>
    <row r="42" spans="1:33" ht="14.75" x14ac:dyDescent="0.75">
      <c r="B42" s="46" t="s">
        <v>61</v>
      </c>
      <c r="C42"/>
      <c r="D42"/>
      <c r="E42"/>
      <c r="F42"/>
      <c r="G42"/>
      <c r="H42"/>
      <c r="I42"/>
      <c r="J42"/>
      <c r="K42"/>
      <c r="L42"/>
      <c r="M42"/>
      <c r="N42"/>
      <c r="O42"/>
      <c r="P42"/>
      <c r="Q42"/>
      <c r="R42"/>
      <c r="S42"/>
      <c r="T42"/>
      <c r="U42"/>
      <c r="V42"/>
      <c r="W42"/>
      <c r="X42"/>
      <c r="Y42"/>
      <c r="Z42"/>
      <c r="AA42"/>
      <c r="AB42"/>
      <c r="AC42"/>
      <c r="AD42"/>
      <c r="AE42"/>
      <c r="AF42"/>
      <c r="AG42"/>
    </row>
    <row r="43" spans="1:33" ht="14.75" x14ac:dyDescent="0.7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4.75" x14ac:dyDescent="0.7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4.75" x14ac:dyDescent="0.7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4.75" x14ac:dyDescent="0.7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4.75" x14ac:dyDescent="0.7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4.75" x14ac:dyDescent="0.7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4.75" x14ac:dyDescent="0.7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7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65">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7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7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7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7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7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7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7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7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7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7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7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7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7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7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4.75" x14ac:dyDescent="0.7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7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7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7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7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8"/>
    <row r="72" spans="1:33" ht="15" customHeight="1" x14ac:dyDescent="0.65">
      <c r="B72" s="39" t="s">
        <v>556</v>
      </c>
    </row>
    <row r="73" spans="1:33" x14ac:dyDescent="0.65">
      <c r="B73" s="38" t="s">
        <v>538</v>
      </c>
    </row>
    <row r="74" spans="1:33" ht="15" customHeight="1" x14ac:dyDescent="0.65">
      <c r="B74" s="38" t="s">
        <v>68</v>
      </c>
    </row>
    <row r="75" spans="1:33" ht="15" customHeight="1" x14ac:dyDescent="0.65">
      <c r="B75" s="38" t="s">
        <v>610</v>
      </c>
    </row>
    <row r="76" spans="1:33" ht="15" customHeight="1" x14ac:dyDescent="0.65">
      <c r="B76" s="38" t="s">
        <v>69</v>
      </c>
    </row>
    <row r="77" spans="1:33" ht="15" customHeight="1" x14ac:dyDescent="0.65">
      <c r="B77" s="38" t="s">
        <v>540</v>
      </c>
    </row>
    <row r="78" spans="1:33" ht="15" customHeight="1" x14ac:dyDescent="0.65">
      <c r="B78" s="38" t="s">
        <v>609</v>
      </c>
    </row>
    <row r="79" spans="1:33" x14ac:dyDescent="0.65">
      <c r="B79" s="38" t="s">
        <v>71</v>
      </c>
    </row>
    <row r="80" spans="1:33" ht="15" customHeight="1" x14ac:dyDescent="0.65">
      <c r="B80" s="38" t="s">
        <v>541</v>
      </c>
    </row>
    <row r="81" spans="2:2" x14ac:dyDescent="0.65">
      <c r="B81" s="38" t="s">
        <v>542</v>
      </c>
    </row>
    <row r="82" spans="2:2" ht="15" customHeight="1" x14ac:dyDescent="0.65">
      <c r="B82" s="38" t="s">
        <v>543</v>
      </c>
    </row>
    <row r="83" spans="2:2" ht="15" customHeight="1" x14ac:dyDescent="0.65">
      <c r="B83" s="38" t="s">
        <v>544</v>
      </c>
    </row>
    <row r="84" spans="2:2" ht="15" customHeight="1" x14ac:dyDescent="0.65">
      <c r="B84" s="38" t="s">
        <v>545</v>
      </c>
    </row>
    <row r="85" spans="2:2" ht="15" customHeight="1" x14ac:dyDescent="0.65">
      <c r="B85" s="38" t="s">
        <v>546</v>
      </c>
    </row>
    <row r="86" spans="2:2" ht="15" customHeight="1" x14ac:dyDescent="0.65">
      <c r="B86" s="38" t="s">
        <v>192</v>
      </c>
    </row>
    <row r="87" spans="2:2" ht="15" customHeight="1" x14ac:dyDescent="0.65">
      <c r="B87" s="38" t="s">
        <v>72</v>
      </c>
    </row>
    <row r="88" spans="2:2" ht="15" customHeight="1" x14ac:dyDescent="0.65">
      <c r="B88" s="38" t="s">
        <v>547</v>
      </c>
    </row>
    <row r="89" spans="2:2" ht="15" customHeight="1" x14ac:dyDescent="0.65">
      <c r="B89" s="38" t="s">
        <v>608</v>
      </c>
    </row>
    <row r="90" spans="2:2" ht="15" customHeight="1" x14ac:dyDescent="0.65">
      <c r="B90" s="38" t="s">
        <v>73</v>
      </c>
    </row>
    <row r="91" spans="2:2" ht="15" customHeight="1" x14ac:dyDescent="0.65">
      <c r="B91" s="38" t="s">
        <v>549</v>
      </c>
    </row>
    <row r="92" spans="2:2" x14ac:dyDescent="0.65">
      <c r="B92" s="38" t="s">
        <v>550</v>
      </c>
    </row>
    <row r="93" spans="2:2" ht="15" customHeight="1" x14ac:dyDescent="0.65">
      <c r="B93" s="38" t="s">
        <v>74</v>
      </c>
    </row>
    <row r="94" spans="2:2" ht="15" customHeight="1" x14ac:dyDescent="0.65">
      <c r="B94" s="38" t="s">
        <v>551</v>
      </c>
    </row>
    <row r="95" spans="2:2" ht="15" customHeight="1" x14ac:dyDescent="0.65">
      <c r="B95" s="38" t="s">
        <v>552</v>
      </c>
    </row>
    <row r="96" spans="2:2" ht="15" customHeight="1" x14ac:dyDescent="0.65">
      <c r="B96" s="38" t="s">
        <v>553</v>
      </c>
    </row>
    <row r="97" spans="2:33" ht="15" customHeight="1" x14ac:dyDescent="0.65">
      <c r="B97" s="38" t="s">
        <v>554</v>
      </c>
    </row>
    <row r="98" spans="2:33" ht="15" customHeight="1" x14ac:dyDescent="0.65">
      <c r="B98" s="38" t="s">
        <v>555</v>
      </c>
    </row>
    <row r="99" spans="2:33" ht="15" customHeight="1" x14ac:dyDescent="0.65">
      <c r="B99" s="38" t="s">
        <v>607</v>
      </c>
    </row>
    <row r="100" spans="2:33" ht="15" customHeight="1" x14ac:dyDescent="0.65">
      <c r="B100" s="38" t="s">
        <v>606</v>
      </c>
    </row>
    <row r="103" spans="2:33" ht="15" customHeight="1" x14ac:dyDescent="0.65"/>
    <row r="104" spans="2:33" ht="15" customHeight="1" x14ac:dyDescent="0.65"/>
    <row r="105" spans="2:33" ht="15" customHeight="1" x14ac:dyDescent="0.65"/>
    <row r="106" spans="2:33" ht="15" customHeight="1" x14ac:dyDescent="0.65"/>
    <row r="107" spans="2:33" ht="15" customHeight="1" x14ac:dyDescent="0.65"/>
    <row r="108" spans="2:33" ht="15" customHeight="1" x14ac:dyDescent="0.65"/>
    <row r="109" spans="2:33" ht="15" customHeight="1" x14ac:dyDescent="0.65"/>
    <row r="110" spans="2:33" ht="15" customHeight="1" x14ac:dyDescent="0.65"/>
    <row r="111" spans="2:33" ht="15" customHeight="1" x14ac:dyDescent="0.65"/>
    <row r="112" spans="2:33" ht="15" customHeight="1" x14ac:dyDescent="0.6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row>
    <row r="113" ht="15" customHeight="1" x14ac:dyDescent="0.65"/>
    <row r="114" ht="15" customHeight="1" x14ac:dyDescent="0.65"/>
    <row r="115" ht="15" customHeight="1" x14ac:dyDescent="0.65"/>
    <row r="116" ht="15" customHeight="1" x14ac:dyDescent="0.65"/>
    <row r="117" ht="15" customHeight="1" x14ac:dyDescent="0.65"/>
    <row r="118" ht="15" customHeight="1" x14ac:dyDescent="0.65"/>
    <row r="119" ht="15" customHeight="1" x14ac:dyDescent="0.65"/>
    <row r="120" ht="15" customHeight="1" x14ac:dyDescent="0.65"/>
    <row r="121" ht="15" customHeight="1" x14ac:dyDescent="0.65"/>
    <row r="122" ht="15" customHeight="1" x14ac:dyDescent="0.65"/>
    <row r="123" ht="15" customHeight="1" x14ac:dyDescent="0.65"/>
    <row r="124" ht="15" customHeight="1" x14ac:dyDescent="0.65"/>
    <row r="125" ht="15" customHeight="1" x14ac:dyDescent="0.65"/>
    <row r="126" ht="15" customHeight="1" x14ac:dyDescent="0.65"/>
    <row r="127" ht="15" customHeight="1" x14ac:dyDescent="0.65"/>
    <row r="128" ht="15" customHeight="1" x14ac:dyDescent="0.65"/>
    <row r="129" ht="15" customHeight="1" x14ac:dyDescent="0.65"/>
    <row r="130" ht="15" customHeight="1" x14ac:dyDescent="0.65"/>
    <row r="131" ht="15" customHeight="1" x14ac:dyDescent="0.65"/>
    <row r="132" ht="15" customHeight="1" x14ac:dyDescent="0.65"/>
    <row r="133" ht="15" customHeight="1" x14ac:dyDescent="0.65"/>
    <row r="134" ht="15" customHeight="1" x14ac:dyDescent="0.65"/>
    <row r="135" ht="15" customHeight="1" x14ac:dyDescent="0.65"/>
    <row r="136" ht="15" customHeight="1" x14ac:dyDescent="0.65"/>
    <row r="137" ht="15" customHeight="1" x14ac:dyDescent="0.65"/>
    <row r="138" ht="15" customHeight="1" x14ac:dyDescent="0.65"/>
    <row r="139" ht="15" customHeight="1" x14ac:dyDescent="0.65"/>
    <row r="140" ht="15" customHeight="1" x14ac:dyDescent="0.65"/>
    <row r="150" ht="15" customHeight="1" x14ac:dyDescent="0.65"/>
    <row r="151" ht="15" customHeight="1" x14ac:dyDescent="0.65"/>
    <row r="152" ht="15" customHeight="1" x14ac:dyDescent="0.65"/>
    <row r="153" ht="15" customHeight="1" x14ac:dyDescent="0.65"/>
    <row r="154" ht="15" customHeight="1" x14ac:dyDescent="0.65"/>
    <row r="155" ht="15" customHeight="1" x14ac:dyDescent="0.65"/>
    <row r="156" ht="15" customHeight="1" x14ac:dyDescent="0.65"/>
    <row r="157" ht="15" customHeight="1" x14ac:dyDescent="0.65"/>
    <row r="158" ht="15" customHeight="1" x14ac:dyDescent="0.65"/>
    <row r="159" ht="15" customHeight="1" x14ac:dyDescent="0.65"/>
    <row r="160" ht="15" customHeight="1" x14ac:dyDescent="0.65"/>
    <row r="161" ht="15" customHeight="1" x14ac:dyDescent="0.65"/>
    <row r="162" ht="15" customHeight="1" x14ac:dyDescent="0.65"/>
    <row r="163" ht="15" customHeight="1" x14ac:dyDescent="0.65"/>
    <row r="164" ht="15" customHeight="1" x14ac:dyDescent="0.65"/>
    <row r="166" ht="15" customHeight="1" x14ac:dyDescent="0.65"/>
    <row r="167" ht="15" customHeight="1" x14ac:dyDescent="0.65"/>
    <row r="168" ht="15" customHeight="1" x14ac:dyDescent="0.65"/>
    <row r="169" ht="15" customHeight="1" x14ac:dyDescent="0.65"/>
    <row r="170" ht="15" customHeight="1" x14ac:dyDescent="0.65"/>
    <row r="171" ht="15" customHeight="1" x14ac:dyDescent="0.65"/>
    <row r="172" ht="15" customHeight="1" x14ac:dyDescent="0.65"/>
    <row r="173" ht="15" customHeight="1" x14ac:dyDescent="0.65"/>
    <row r="174" ht="15" customHeight="1" x14ac:dyDescent="0.65"/>
    <row r="175" ht="15" customHeight="1" x14ac:dyDescent="0.65"/>
    <row r="176" ht="15" customHeight="1" x14ac:dyDescent="0.65"/>
    <row r="177" ht="15" customHeight="1" x14ac:dyDescent="0.65"/>
    <row r="178" ht="15" customHeight="1" x14ac:dyDescent="0.65"/>
    <row r="179" ht="15" customHeight="1" x14ac:dyDescent="0.65"/>
    <row r="181" ht="15" customHeight="1" x14ac:dyDescent="0.65"/>
    <row r="182" ht="15" customHeight="1" x14ac:dyDescent="0.65"/>
    <row r="183" ht="15" customHeight="1" x14ac:dyDescent="0.65"/>
    <row r="184" ht="15" customHeight="1" x14ac:dyDescent="0.65"/>
    <row r="185" ht="15" customHeight="1" x14ac:dyDescent="0.65"/>
    <row r="186" ht="15" customHeight="1" x14ac:dyDescent="0.65"/>
    <row r="187" ht="15" customHeight="1" x14ac:dyDescent="0.65"/>
    <row r="188" ht="15" customHeight="1" x14ac:dyDescent="0.65"/>
    <row r="189" ht="15" customHeight="1" x14ac:dyDescent="0.65"/>
    <row r="190" ht="15" customHeight="1" x14ac:dyDescent="0.65"/>
    <row r="191" ht="15" customHeight="1" x14ac:dyDescent="0.65"/>
    <row r="192" ht="15" customHeight="1" x14ac:dyDescent="0.65"/>
    <row r="193" ht="15" customHeight="1" x14ac:dyDescent="0.65"/>
    <row r="194" ht="15" customHeight="1" x14ac:dyDescent="0.65"/>
    <row r="195" ht="15" customHeight="1" x14ac:dyDescent="0.65"/>
    <row r="196" ht="15" customHeight="1" x14ac:dyDescent="0.65"/>
    <row r="197" ht="15" customHeight="1" x14ac:dyDescent="0.65"/>
    <row r="198" ht="15" customHeight="1" x14ac:dyDescent="0.65"/>
    <row r="199" ht="15" customHeight="1" x14ac:dyDescent="0.65"/>
    <row r="200" ht="15" customHeight="1" x14ac:dyDescent="0.65"/>
    <row r="201" ht="15" customHeight="1" x14ac:dyDescent="0.65"/>
    <row r="202" ht="15" customHeight="1" x14ac:dyDescent="0.65"/>
    <row r="203" ht="15" customHeight="1" x14ac:dyDescent="0.65"/>
    <row r="204" ht="15" customHeight="1" x14ac:dyDescent="0.65"/>
    <row r="207" ht="15" customHeight="1" x14ac:dyDescent="0.65"/>
    <row r="208" ht="15" customHeight="1" x14ac:dyDescent="0.65"/>
    <row r="209" ht="15" customHeight="1" x14ac:dyDescent="0.65"/>
    <row r="210" ht="15" customHeight="1" x14ac:dyDescent="0.65"/>
    <row r="211" ht="15" customHeight="1" x14ac:dyDescent="0.65"/>
    <row r="212" ht="15" customHeight="1" x14ac:dyDescent="0.65"/>
    <row r="213" ht="15" customHeight="1" x14ac:dyDescent="0.65"/>
    <row r="214" ht="15" customHeight="1" x14ac:dyDescent="0.65"/>
    <row r="215" ht="15" customHeight="1" x14ac:dyDescent="0.65"/>
    <row r="216" ht="15" customHeight="1" x14ac:dyDescent="0.65"/>
    <row r="217" ht="15" customHeight="1" x14ac:dyDescent="0.65"/>
    <row r="218" ht="15" customHeight="1" x14ac:dyDescent="0.65"/>
    <row r="219" ht="15" customHeight="1" x14ac:dyDescent="0.65"/>
    <row r="220" ht="15" customHeight="1" x14ac:dyDescent="0.65"/>
    <row r="221" ht="15" customHeight="1" x14ac:dyDescent="0.65"/>
    <row r="222" ht="15" customHeight="1" x14ac:dyDescent="0.65"/>
    <row r="224" ht="15" customHeight="1" x14ac:dyDescent="0.65"/>
    <row r="225" ht="15" customHeight="1" x14ac:dyDescent="0.65"/>
    <row r="227" ht="15" customHeight="1" x14ac:dyDescent="0.65"/>
    <row r="228" ht="15" customHeight="1" x14ac:dyDescent="0.65"/>
    <row r="229" ht="15" customHeight="1" x14ac:dyDescent="0.65"/>
    <row r="230" ht="15" customHeight="1" x14ac:dyDescent="0.65"/>
    <row r="231" ht="15" customHeight="1" x14ac:dyDescent="0.65"/>
    <row r="232" ht="15" customHeight="1" x14ac:dyDescent="0.65"/>
    <row r="233" ht="15" customHeight="1" x14ac:dyDescent="0.65"/>
    <row r="234" ht="15" customHeight="1" x14ac:dyDescent="0.65"/>
    <row r="235" ht="15" customHeight="1" x14ac:dyDescent="0.65"/>
    <row r="236" ht="15" customHeight="1" x14ac:dyDescent="0.65"/>
    <row r="237" ht="15" customHeight="1" x14ac:dyDescent="0.65"/>
    <row r="238" ht="15" customHeight="1" x14ac:dyDescent="0.65"/>
    <row r="239" ht="15" customHeight="1" x14ac:dyDescent="0.65"/>
    <row r="240" ht="15" customHeight="1" x14ac:dyDescent="0.65"/>
    <row r="241" ht="15" customHeight="1" x14ac:dyDescent="0.65"/>
    <row r="242" ht="15" customHeight="1" x14ac:dyDescent="0.65"/>
    <row r="243" ht="15" customHeight="1" x14ac:dyDescent="0.65"/>
    <row r="244" ht="15" customHeight="1" x14ac:dyDescent="0.65"/>
    <row r="245" ht="15" customHeight="1" x14ac:dyDescent="0.65"/>
    <row r="246" ht="15" customHeight="1" x14ac:dyDescent="0.65"/>
    <row r="247" ht="15" customHeight="1" x14ac:dyDescent="0.65"/>
    <row r="248" ht="15" customHeight="1" x14ac:dyDescent="0.65"/>
    <row r="249" ht="15" customHeight="1" x14ac:dyDescent="0.65"/>
    <row r="250" ht="15" customHeight="1" x14ac:dyDescent="0.65"/>
    <row r="251" ht="15" customHeight="1" x14ac:dyDescent="0.65"/>
    <row r="252" ht="15" customHeight="1" x14ac:dyDescent="0.65"/>
    <row r="253" ht="15" customHeight="1" x14ac:dyDescent="0.65"/>
    <row r="254" ht="15" customHeight="1" x14ac:dyDescent="0.65"/>
    <row r="255" ht="15" customHeight="1" x14ac:dyDescent="0.65"/>
    <row r="258" ht="15" customHeight="1" x14ac:dyDescent="0.65"/>
    <row r="259" ht="15" customHeight="1" x14ac:dyDescent="0.65"/>
    <row r="260" ht="15" customHeight="1" x14ac:dyDescent="0.65"/>
    <row r="261" ht="15" customHeight="1" x14ac:dyDescent="0.65"/>
    <row r="262" ht="15" customHeight="1" x14ac:dyDescent="0.65"/>
    <row r="263" ht="15" customHeight="1" x14ac:dyDescent="0.65"/>
    <row r="264" ht="15" customHeight="1" x14ac:dyDescent="0.65"/>
    <row r="265" ht="15" customHeight="1" x14ac:dyDescent="0.65"/>
    <row r="266" ht="15" customHeight="1" x14ac:dyDescent="0.65"/>
    <row r="267" ht="15" customHeight="1" x14ac:dyDescent="0.65"/>
    <row r="268" ht="15" customHeight="1" x14ac:dyDescent="0.65"/>
    <row r="270" ht="15" customHeight="1" x14ac:dyDescent="0.65"/>
    <row r="271" ht="15" customHeight="1" x14ac:dyDescent="0.65"/>
    <row r="272" ht="15" customHeight="1" x14ac:dyDescent="0.65"/>
    <row r="273" ht="15" customHeight="1" x14ac:dyDescent="0.65"/>
    <row r="274" ht="15" customHeight="1" x14ac:dyDescent="0.65"/>
    <row r="275" ht="15" customHeight="1" x14ac:dyDescent="0.65"/>
    <row r="276" ht="15" customHeight="1" x14ac:dyDescent="0.65"/>
    <row r="277" ht="15" customHeight="1" x14ac:dyDescent="0.65"/>
    <row r="278" ht="15" customHeight="1" x14ac:dyDescent="0.65"/>
    <row r="279" ht="15" customHeight="1" x14ac:dyDescent="0.65"/>
    <row r="280" ht="15" customHeight="1" x14ac:dyDescent="0.65"/>
    <row r="281" ht="15" customHeight="1" x14ac:dyDescent="0.65"/>
    <row r="282" ht="15" customHeight="1" x14ac:dyDescent="0.65"/>
    <row r="283" ht="15" customHeight="1" x14ac:dyDescent="0.65"/>
    <row r="284" ht="15" customHeight="1" x14ac:dyDescent="0.65"/>
    <row r="285" ht="15" customHeight="1" x14ac:dyDescent="0.65"/>
    <row r="286" ht="15" customHeight="1" x14ac:dyDescent="0.65"/>
    <row r="287" ht="15" customHeight="1" x14ac:dyDescent="0.65"/>
    <row r="288" ht="15" customHeight="1" x14ac:dyDescent="0.65"/>
    <row r="289" ht="15" customHeight="1" x14ac:dyDescent="0.65"/>
    <row r="290" ht="15" customHeight="1" x14ac:dyDescent="0.65"/>
    <row r="291" ht="15" customHeight="1" x14ac:dyDescent="0.65"/>
    <row r="292" ht="15" customHeight="1" x14ac:dyDescent="0.65"/>
    <row r="293" ht="15" customHeight="1" x14ac:dyDescent="0.65"/>
    <row r="294" ht="15" customHeight="1" x14ac:dyDescent="0.65"/>
    <row r="295" ht="15" customHeight="1" x14ac:dyDescent="0.65"/>
    <row r="296" ht="15" customHeight="1" x14ac:dyDescent="0.65"/>
    <row r="297" ht="15" customHeight="1" x14ac:dyDescent="0.65"/>
    <row r="298" ht="15" customHeight="1" x14ac:dyDescent="0.65"/>
    <row r="300" ht="15" customHeight="1" x14ac:dyDescent="0.65"/>
    <row r="301" ht="15" customHeight="1" x14ac:dyDescent="0.65"/>
    <row r="302" ht="15" customHeight="1" x14ac:dyDescent="0.65"/>
    <row r="303" ht="15" customHeight="1" x14ac:dyDescent="0.65"/>
    <row r="304" ht="15" customHeight="1" x14ac:dyDescent="0.65"/>
    <row r="305" spans="2:33" ht="15" customHeight="1" x14ac:dyDescent="0.65"/>
    <row r="306" spans="2:33" ht="15" customHeight="1" x14ac:dyDescent="0.65"/>
    <row r="307" spans="2:33" ht="15" customHeight="1" x14ac:dyDescent="0.65"/>
    <row r="308" spans="2:33" ht="15" customHeight="1" x14ac:dyDescent="0.65">
      <c r="B308" s="475"/>
      <c r="C308" s="475"/>
      <c r="D308" s="475"/>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c r="AA308" s="475"/>
      <c r="AB308" s="475"/>
      <c r="AC308" s="475"/>
      <c r="AD308" s="475"/>
      <c r="AE308" s="475"/>
      <c r="AF308" s="475"/>
      <c r="AG308" s="475"/>
    </row>
    <row r="309" spans="2:33" ht="15" customHeight="1" x14ac:dyDescent="0.65"/>
    <row r="310" spans="2:33" ht="15" customHeight="1" x14ac:dyDescent="0.65"/>
    <row r="311" spans="2:33" ht="15" customHeight="1" x14ac:dyDescent="0.65"/>
    <row r="312" spans="2:33" ht="15" customHeight="1" x14ac:dyDescent="0.65"/>
    <row r="313" spans="2:33" ht="15" customHeight="1" x14ac:dyDescent="0.65"/>
    <row r="314" spans="2:33" ht="15" customHeight="1" x14ac:dyDescent="0.65"/>
    <row r="315" spans="2:33" ht="15" customHeight="1" x14ac:dyDescent="0.65"/>
    <row r="316" spans="2:33" ht="15" customHeight="1" x14ac:dyDescent="0.65"/>
    <row r="317" spans="2:33" ht="15" customHeight="1" x14ac:dyDescent="0.65"/>
    <row r="318" spans="2:33" ht="15" customHeight="1" x14ac:dyDescent="0.65"/>
    <row r="319" spans="2:33" ht="15" customHeight="1" x14ac:dyDescent="0.65"/>
    <row r="320" spans="2:33" ht="15" customHeight="1" x14ac:dyDescent="0.65"/>
    <row r="321" ht="15" customHeight="1" x14ac:dyDescent="0.65"/>
    <row r="322" ht="15" customHeight="1" x14ac:dyDescent="0.65"/>
    <row r="323" ht="15" customHeight="1" x14ac:dyDescent="0.65"/>
    <row r="324" ht="15" customHeight="1" x14ac:dyDescent="0.65"/>
    <row r="325" ht="15" customHeight="1" x14ac:dyDescent="0.65"/>
    <row r="326" ht="15" customHeight="1" x14ac:dyDescent="0.65"/>
    <row r="327" ht="15" customHeight="1" x14ac:dyDescent="0.65"/>
    <row r="328" ht="15" customHeight="1" x14ac:dyDescent="0.65"/>
    <row r="329" ht="15" customHeight="1" x14ac:dyDescent="0.65"/>
    <row r="330" ht="15" customHeight="1" x14ac:dyDescent="0.65"/>
    <row r="331" ht="15" customHeight="1" x14ac:dyDescent="0.65"/>
    <row r="332" ht="15" customHeight="1" x14ac:dyDescent="0.65"/>
    <row r="333" ht="15" customHeight="1" x14ac:dyDescent="0.65"/>
    <row r="334" ht="15" customHeight="1" x14ac:dyDescent="0.65"/>
    <row r="335" ht="15" customHeight="1" x14ac:dyDescent="0.65"/>
    <row r="336" ht="15" customHeight="1" x14ac:dyDescent="0.65"/>
    <row r="337" ht="15" customHeight="1" x14ac:dyDescent="0.65"/>
    <row r="338" ht="15" customHeight="1" x14ac:dyDescent="0.65"/>
    <row r="339" ht="15" customHeight="1" x14ac:dyDescent="0.65"/>
    <row r="340" ht="15" customHeight="1" x14ac:dyDescent="0.65"/>
    <row r="341" ht="15" customHeight="1" x14ac:dyDescent="0.65"/>
    <row r="342" ht="15" customHeight="1" x14ac:dyDescent="0.65"/>
    <row r="343" ht="15" customHeight="1" x14ac:dyDescent="0.65"/>
    <row r="344" ht="15" customHeight="1" x14ac:dyDescent="0.65"/>
    <row r="345" ht="15" customHeight="1" x14ac:dyDescent="0.65"/>
    <row r="375" ht="15" customHeight="1" x14ac:dyDescent="0.65"/>
    <row r="376" ht="15" customHeight="1" x14ac:dyDescent="0.65"/>
    <row r="377" ht="15" customHeight="1" x14ac:dyDescent="0.65"/>
    <row r="378" ht="15" customHeight="1" x14ac:dyDescent="0.65"/>
    <row r="379" ht="15" customHeight="1" x14ac:dyDescent="0.65"/>
    <row r="380" ht="15" customHeight="1" x14ac:dyDescent="0.65"/>
    <row r="381" ht="15" customHeight="1" x14ac:dyDescent="0.65"/>
    <row r="382" ht="15" customHeight="1" x14ac:dyDescent="0.65"/>
    <row r="383" ht="15" customHeight="1" x14ac:dyDescent="0.65"/>
    <row r="384" ht="15" customHeight="1" x14ac:dyDescent="0.65"/>
    <row r="386" ht="15" customHeight="1" x14ac:dyDescent="0.65"/>
    <row r="387" ht="15" customHeight="1" x14ac:dyDescent="0.65"/>
    <row r="388" ht="15" customHeight="1" x14ac:dyDescent="0.65"/>
    <row r="389" ht="15" customHeight="1" x14ac:dyDescent="0.65"/>
    <row r="390" ht="15" customHeight="1" x14ac:dyDescent="0.65"/>
    <row r="391" ht="15" customHeight="1" x14ac:dyDescent="0.65"/>
    <row r="393" ht="15" customHeight="1" x14ac:dyDescent="0.65"/>
    <row r="394" ht="15" customHeight="1" x14ac:dyDescent="0.65"/>
    <row r="395" ht="15" customHeight="1" x14ac:dyDescent="0.65"/>
    <row r="396" ht="15" customHeight="1" x14ac:dyDescent="0.65"/>
    <row r="397" ht="15" customHeight="1" x14ac:dyDescent="0.65"/>
    <row r="398" ht="15" customHeight="1" x14ac:dyDescent="0.65"/>
    <row r="399" ht="15" customHeight="1" x14ac:dyDescent="0.65"/>
    <row r="400" ht="15" customHeight="1" x14ac:dyDescent="0.65"/>
    <row r="401" ht="15" customHeight="1" x14ac:dyDescent="0.65"/>
    <row r="403" ht="15" customHeight="1" x14ac:dyDescent="0.65"/>
    <row r="404" ht="15" customHeight="1" x14ac:dyDescent="0.65"/>
    <row r="405" ht="15" customHeight="1" x14ac:dyDescent="0.65"/>
    <row r="406" ht="15" customHeight="1" x14ac:dyDescent="0.65"/>
    <row r="407" ht="15" customHeight="1" x14ac:dyDescent="0.65"/>
    <row r="408" ht="15" customHeight="1" x14ac:dyDescent="0.65"/>
    <row r="409" ht="15" customHeight="1" x14ac:dyDescent="0.65"/>
    <row r="410" ht="15" customHeight="1" x14ac:dyDescent="0.65"/>
    <row r="411" ht="15" customHeight="1" x14ac:dyDescent="0.65"/>
    <row r="413" ht="15" customHeight="1" x14ac:dyDescent="0.65"/>
    <row r="414" ht="15" customHeight="1" x14ac:dyDescent="0.65"/>
    <row r="415" ht="15" customHeight="1" x14ac:dyDescent="0.65"/>
    <row r="416" ht="15" customHeight="1" x14ac:dyDescent="0.65"/>
    <row r="417" ht="15" customHeight="1" x14ac:dyDescent="0.65"/>
    <row r="418" ht="15" customHeight="1" x14ac:dyDescent="0.65"/>
    <row r="421" ht="15" customHeight="1" x14ac:dyDescent="0.65"/>
    <row r="422" ht="15" customHeight="1" x14ac:dyDescent="0.65"/>
    <row r="423" ht="15" customHeight="1" x14ac:dyDescent="0.65"/>
    <row r="424" ht="15" customHeight="1" x14ac:dyDescent="0.65"/>
    <row r="425" ht="15" customHeight="1" x14ac:dyDescent="0.65"/>
    <row r="426" ht="15" customHeight="1" x14ac:dyDescent="0.65"/>
    <row r="427" ht="15" customHeight="1" x14ac:dyDescent="0.65"/>
    <row r="428" ht="15" customHeight="1" x14ac:dyDescent="0.65"/>
    <row r="429" ht="15" customHeight="1" x14ac:dyDescent="0.65"/>
    <row r="430" ht="15" customHeight="1" x14ac:dyDescent="0.65"/>
    <row r="431" ht="15" customHeight="1" x14ac:dyDescent="0.65"/>
    <row r="432" ht="15" customHeight="1" x14ac:dyDescent="0.65"/>
    <row r="434" ht="15" customHeight="1" x14ac:dyDescent="0.65"/>
    <row r="435" ht="15" customHeight="1" x14ac:dyDescent="0.65"/>
    <row r="436" ht="15" customHeight="1" x14ac:dyDescent="0.65"/>
    <row r="437" ht="15" customHeight="1" x14ac:dyDescent="0.65"/>
    <row r="438" ht="15" customHeight="1" x14ac:dyDescent="0.65"/>
    <row r="439" ht="15" customHeight="1" x14ac:dyDescent="0.65"/>
    <row r="440" ht="15" customHeight="1" x14ac:dyDescent="0.65"/>
    <row r="441" ht="15" customHeight="1" x14ac:dyDescent="0.65"/>
    <row r="442" ht="15" customHeight="1" x14ac:dyDescent="0.65"/>
    <row r="445" ht="15" customHeight="1" x14ac:dyDescent="0.65"/>
    <row r="446" ht="15" customHeight="1" x14ac:dyDescent="0.65"/>
    <row r="447" ht="15" customHeight="1" x14ac:dyDescent="0.65"/>
    <row r="448" ht="15" customHeight="1" x14ac:dyDescent="0.65"/>
    <row r="449" ht="15" customHeight="1" x14ac:dyDescent="0.65"/>
    <row r="450" ht="15" customHeight="1" x14ac:dyDescent="0.65"/>
    <row r="452" ht="15" customHeight="1" x14ac:dyDescent="0.65"/>
    <row r="453" ht="15" customHeight="1" x14ac:dyDescent="0.65"/>
    <row r="454" ht="15" customHeight="1" x14ac:dyDescent="0.65"/>
    <row r="455" ht="15" customHeight="1" x14ac:dyDescent="0.65"/>
    <row r="456" ht="15" customHeight="1" x14ac:dyDescent="0.65"/>
    <row r="457" ht="15" customHeight="1" x14ac:dyDescent="0.65"/>
    <row r="459" ht="15" customHeight="1" x14ac:dyDescent="0.65"/>
    <row r="460" ht="15" customHeight="1" x14ac:dyDescent="0.65"/>
    <row r="461" ht="15" customHeight="1" x14ac:dyDescent="0.65"/>
    <row r="462" ht="15" customHeight="1" x14ac:dyDescent="0.65"/>
    <row r="463" ht="15" customHeight="1" x14ac:dyDescent="0.65"/>
    <row r="464" ht="15" customHeight="1" x14ac:dyDescent="0.65"/>
    <row r="465" ht="15" customHeight="1" x14ac:dyDescent="0.65"/>
    <row r="466" ht="15" customHeight="1" x14ac:dyDescent="0.65"/>
    <row r="467" ht="15" customHeight="1" x14ac:dyDescent="0.65"/>
    <row r="470" ht="15" customHeight="1" x14ac:dyDescent="0.65"/>
    <row r="471" ht="15" customHeight="1" x14ac:dyDescent="0.65"/>
    <row r="472" ht="15" customHeight="1" x14ac:dyDescent="0.65"/>
    <row r="473" ht="15" customHeight="1" x14ac:dyDescent="0.65"/>
    <row r="474" ht="15" customHeight="1" x14ac:dyDescent="0.65"/>
    <row r="475" ht="15" customHeight="1" x14ac:dyDescent="0.65"/>
    <row r="476" ht="15" customHeight="1" x14ac:dyDescent="0.65"/>
    <row r="477" ht="15" customHeight="1" x14ac:dyDescent="0.65"/>
    <row r="478" ht="15" customHeight="1" x14ac:dyDescent="0.65"/>
    <row r="480" ht="15" customHeight="1" x14ac:dyDescent="0.65"/>
    <row r="481" ht="15" customHeight="1" x14ac:dyDescent="0.65"/>
    <row r="482" ht="15" customHeight="1" x14ac:dyDescent="0.65"/>
    <row r="483" ht="15" customHeight="1" x14ac:dyDescent="0.65"/>
    <row r="484" ht="15" customHeight="1" x14ac:dyDescent="0.65"/>
    <row r="485" ht="15" customHeight="1" x14ac:dyDescent="0.65"/>
    <row r="487" ht="15" customHeight="1" x14ac:dyDescent="0.65"/>
    <row r="488" ht="15" customHeight="1" x14ac:dyDescent="0.65"/>
    <row r="489" ht="15" customHeight="1" x14ac:dyDescent="0.65"/>
    <row r="490" ht="15" customHeight="1" x14ac:dyDescent="0.65"/>
    <row r="491" ht="15" customHeight="1" x14ac:dyDescent="0.65"/>
    <row r="492" ht="15" customHeight="1" x14ac:dyDescent="0.65"/>
    <row r="493" ht="15" customHeight="1" x14ac:dyDescent="0.65"/>
    <row r="494" ht="15" customHeight="1" x14ac:dyDescent="0.65"/>
    <row r="495" ht="15" customHeight="1" x14ac:dyDescent="0.65"/>
    <row r="496" ht="15" customHeight="1" x14ac:dyDescent="0.65"/>
    <row r="497" spans="2:33" ht="15" customHeight="1" x14ac:dyDescent="0.65"/>
    <row r="498" spans="2:33" ht="15" customHeight="1" x14ac:dyDescent="0.65"/>
    <row r="500" spans="2:33" ht="15" customHeight="1" x14ac:dyDescent="0.65"/>
    <row r="501" spans="2:33" ht="15" customHeight="1" x14ac:dyDescent="0.65"/>
    <row r="502" spans="2:33" ht="15" customHeight="1" x14ac:dyDescent="0.65"/>
    <row r="503" spans="2:33" ht="15" customHeight="1" x14ac:dyDescent="0.65"/>
    <row r="504" spans="2:33" ht="15" customHeight="1" x14ac:dyDescent="0.65"/>
    <row r="505" spans="2:33" ht="15" customHeight="1" x14ac:dyDescent="0.65"/>
    <row r="506" spans="2:33" ht="15" customHeight="1" x14ac:dyDescent="0.65"/>
    <row r="507" spans="2:33" ht="15" customHeight="1" x14ac:dyDescent="0.65"/>
    <row r="508" spans="2:33" ht="15" customHeight="1" x14ac:dyDescent="0.65"/>
    <row r="510" spans="2:33" ht="15" customHeight="1" x14ac:dyDescent="0.65"/>
    <row r="511" spans="2:33" ht="15" customHeight="1" x14ac:dyDescent="0.65">
      <c r="B511" s="475"/>
      <c r="C511" s="475"/>
      <c r="D511" s="475"/>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c r="AA511" s="475"/>
      <c r="AB511" s="475"/>
      <c r="AC511" s="475"/>
      <c r="AD511" s="475"/>
      <c r="AE511" s="475"/>
      <c r="AF511" s="475"/>
      <c r="AG511" s="475"/>
    </row>
    <row r="512" spans="2:33" ht="15" customHeight="1" x14ac:dyDescent="0.65"/>
    <row r="513" ht="15" customHeight="1" x14ac:dyDescent="0.65"/>
    <row r="514" ht="15" customHeight="1" x14ac:dyDescent="0.65"/>
    <row r="515" ht="15" customHeight="1" x14ac:dyDescent="0.65"/>
    <row r="516" ht="15" customHeight="1" x14ac:dyDescent="0.65"/>
    <row r="517" ht="15" customHeight="1" x14ac:dyDescent="0.65"/>
    <row r="518" ht="15" customHeight="1" x14ac:dyDescent="0.65"/>
    <row r="519" ht="15" customHeight="1" x14ac:dyDescent="0.65"/>
    <row r="520" ht="15" customHeight="1" x14ac:dyDescent="0.65"/>
    <row r="521" ht="15" customHeight="1" x14ac:dyDescent="0.65"/>
    <row r="522" ht="15" customHeight="1" x14ac:dyDescent="0.65"/>
    <row r="523" ht="15" customHeight="1" x14ac:dyDescent="0.65"/>
    <row r="524" ht="15" customHeight="1" x14ac:dyDescent="0.65"/>
    <row r="525" ht="15" customHeight="1" x14ac:dyDescent="0.65"/>
    <row r="575" ht="15" customHeight="1" x14ac:dyDescent="0.65"/>
    <row r="576" ht="15" customHeight="1" x14ac:dyDescent="0.65"/>
    <row r="577" ht="15" customHeight="1" x14ac:dyDescent="0.65"/>
    <row r="578" ht="15" customHeight="1" x14ac:dyDescent="0.65"/>
    <row r="579" ht="15" customHeight="1" x14ac:dyDescent="0.65"/>
    <row r="580" ht="15" customHeight="1" x14ac:dyDescent="0.65"/>
    <row r="581" ht="15" customHeight="1" x14ac:dyDescent="0.65"/>
    <row r="582" ht="15" customHeight="1" x14ac:dyDescent="0.65"/>
    <row r="583" ht="15" customHeight="1" x14ac:dyDescent="0.65"/>
    <row r="584" ht="15" customHeight="1" x14ac:dyDescent="0.65"/>
    <row r="585" ht="15" customHeight="1" x14ac:dyDescent="0.65"/>
    <row r="587" ht="15" customHeight="1" x14ac:dyDescent="0.65"/>
    <row r="589" ht="15" customHeight="1" x14ac:dyDescent="0.65"/>
    <row r="590" ht="15" customHeight="1" x14ac:dyDescent="0.65"/>
    <row r="591" ht="15" customHeight="1" x14ac:dyDescent="0.65"/>
    <row r="592" ht="15" customHeight="1" x14ac:dyDescent="0.65"/>
    <row r="593" ht="15" customHeight="1" x14ac:dyDescent="0.65"/>
    <row r="594" ht="15" customHeight="1" x14ac:dyDescent="0.65"/>
    <row r="595" ht="15" customHeight="1" x14ac:dyDescent="0.65"/>
    <row r="597" ht="15" customHeight="1" x14ac:dyDescent="0.65"/>
    <row r="598" ht="15" customHeight="1" x14ac:dyDescent="0.65"/>
    <row r="599" ht="15" customHeight="1" x14ac:dyDescent="0.65"/>
    <row r="600" ht="15" customHeight="1" x14ac:dyDescent="0.65"/>
    <row r="601" ht="15" customHeight="1" x14ac:dyDescent="0.65"/>
    <row r="602" ht="15" customHeight="1" x14ac:dyDescent="0.65"/>
    <row r="603" ht="15" customHeight="1" x14ac:dyDescent="0.65"/>
    <row r="604" ht="15" customHeight="1" x14ac:dyDescent="0.65"/>
    <row r="605" ht="15" customHeight="1" x14ac:dyDescent="0.65"/>
    <row r="606" ht="15" customHeight="1" x14ac:dyDescent="0.65"/>
    <row r="607" ht="15" customHeight="1" x14ac:dyDescent="0.65"/>
    <row r="608" ht="15" customHeight="1" x14ac:dyDescent="0.65"/>
    <row r="609" ht="15" customHeight="1" x14ac:dyDescent="0.65"/>
    <row r="610" ht="15" customHeight="1" x14ac:dyDescent="0.65"/>
    <row r="611" ht="15" customHeight="1" x14ac:dyDescent="0.65"/>
    <row r="612" ht="15" customHeight="1" x14ac:dyDescent="0.65"/>
    <row r="613" ht="15" customHeight="1" x14ac:dyDescent="0.65"/>
    <row r="614" ht="15" customHeight="1" x14ac:dyDescent="0.65"/>
    <row r="615" ht="15" customHeight="1" x14ac:dyDescent="0.65"/>
    <row r="617" ht="15" customHeight="1" x14ac:dyDescent="0.65"/>
    <row r="618" ht="15" customHeight="1" x14ac:dyDescent="0.65"/>
    <row r="619" ht="15" customHeight="1" x14ac:dyDescent="0.65"/>
    <row r="620" ht="15" customHeight="1" x14ac:dyDescent="0.65"/>
    <row r="621" ht="15" customHeight="1" x14ac:dyDescent="0.65"/>
    <row r="622" ht="15" customHeight="1" x14ac:dyDescent="0.65"/>
    <row r="623" ht="15" customHeight="1" x14ac:dyDescent="0.65"/>
    <row r="624" ht="15" customHeight="1" x14ac:dyDescent="0.65"/>
    <row r="626" ht="15" customHeight="1" x14ac:dyDescent="0.65"/>
    <row r="627" ht="15" customHeight="1" x14ac:dyDescent="0.65"/>
    <row r="628" ht="15" customHeight="1" x14ac:dyDescent="0.65"/>
    <row r="629" ht="15" customHeight="1" x14ac:dyDescent="0.65"/>
    <row r="630" ht="15" customHeight="1" x14ac:dyDescent="0.65"/>
    <row r="632" ht="15" customHeight="1" x14ac:dyDescent="0.65"/>
    <row r="633" ht="15" customHeight="1" x14ac:dyDescent="0.65"/>
    <row r="634" ht="15" customHeight="1" x14ac:dyDescent="0.65"/>
    <row r="635" ht="15" customHeight="1" x14ac:dyDescent="0.65"/>
    <row r="636" ht="15" customHeight="1" x14ac:dyDescent="0.65"/>
    <row r="637" ht="15" customHeight="1" x14ac:dyDescent="0.65"/>
    <row r="639" ht="15" customHeight="1" x14ac:dyDescent="0.65"/>
    <row r="641" ht="15" customHeight="1" x14ac:dyDescent="0.65"/>
    <row r="642" ht="15" customHeight="1" x14ac:dyDescent="0.65"/>
    <row r="643" ht="15" customHeight="1" x14ac:dyDescent="0.65"/>
    <row r="644" ht="15" customHeight="1" x14ac:dyDescent="0.65"/>
    <row r="645" ht="15" customHeight="1" x14ac:dyDescent="0.65"/>
    <row r="646" ht="15" customHeight="1" x14ac:dyDescent="0.65"/>
    <row r="647" ht="15" customHeight="1" x14ac:dyDescent="0.65"/>
    <row r="648" ht="15" customHeight="1" x14ac:dyDescent="0.65"/>
    <row r="649" ht="15" customHeight="1" x14ac:dyDescent="0.65"/>
    <row r="650" ht="15" customHeight="1" x14ac:dyDescent="0.65"/>
    <row r="651" ht="15" customHeight="1" x14ac:dyDescent="0.65"/>
    <row r="652" ht="15" customHeight="1" x14ac:dyDescent="0.65"/>
    <row r="653" ht="15" customHeight="1" x14ac:dyDescent="0.65"/>
    <row r="654" ht="15" customHeight="1" x14ac:dyDescent="0.65"/>
    <row r="655" ht="15" customHeight="1" x14ac:dyDescent="0.65"/>
    <row r="656" ht="15" customHeight="1" x14ac:dyDescent="0.65"/>
    <row r="657" ht="15" customHeight="1" x14ac:dyDescent="0.65"/>
    <row r="658" ht="15" customHeight="1" x14ac:dyDescent="0.65"/>
    <row r="660" ht="15" customHeight="1" x14ac:dyDescent="0.65"/>
    <row r="662" ht="15" customHeight="1" x14ac:dyDescent="0.65"/>
    <row r="663" ht="15" customHeight="1" x14ac:dyDescent="0.65"/>
    <row r="664" ht="15" customHeight="1" x14ac:dyDescent="0.65"/>
    <row r="665" ht="15" customHeight="1" x14ac:dyDescent="0.65"/>
    <row r="666" ht="15" customHeight="1" x14ac:dyDescent="0.65"/>
    <row r="667" ht="15" customHeight="1" x14ac:dyDescent="0.65"/>
    <row r="668" ht="15" customHeight="1" x14ac:dyDescent="0.65"/>
    <row r="669" ht="15" customHeight="1" x14ac:dyDescent="0.65"/>
    <row r="670" ht="15" customHeight="1" x14ac:dyDescent="0.65"/>
    <row r="671" ht="15" customHeight="1" x14ac:dyDescent="0.65"/>
    <row r="672" ht="15" customHeight="1" x14ac:dyDescent="0.65"/>
    <row r="673" ht="15" customHeight="1" x14ac:dyDescent="0.65"/>
    <row r="674" ht="15" customHeight="1" x14ac:dyDescent="0.65"/>
    <row r="675" ht="15" customHeight="1" x14ac:dyDescent="0.65"/>
    <row r="676" ht="15" customHeight="1" x14ac:dyDescent="0.65"/>
    <row r="677" ht="15" customHeight="1" x14ac:dyDescent="0.65"/>
    <row r="678" ht="15" customHeight="1" x14ac:dyDescent="0.65"/>
    <row r="679" ht="15" customHeight="1" x14ac:dyDescent="0.65"/>
    <row r="681" ht="15" customHeight="1" x14ac:dyDescent="0.65"/>
    <row r="682" ht="15" customHeight="1" x14ac:dyDescent="0.65"/>
    <row r="683" ht="15" customHeight="1" x14ac:dyDescent="0.65"/>
    <row r="684" ht="15" customHeight="1" x14ac:dyDescent="0.65"/>
    <row r="685" ht="15" customHeight="1" x14ac:dyDescent="0.65"/>
    <row r="686" ht="15" customHeight="1" x14ac:dyDescent="0.65"/>
    <row r="688" ht="15" customHeight="1" x14ac:dyDescent="0.65"/>
    <row r="689" ht="15" customHeight="1" x14ac:dyDescent="0.65"/>
    <row r="690" ht="15" customHeight="1" x14ac:dyDescent="0.65"/>
    <row r="691" ht="15" customHeight="1" x14ac:dyDescent="0.65"/>
    <row r="692" ht="15" customHeight="1" x14ac:dyDescent="0.65"/>
    <row r="693" ht="15" customHeight="1" x14ac:dyDescent="0.65"/>
    <row r="694" ht="15" customHeight="1" x14ac:dyDescent="0.65"/>
    <row r="695" ht="15" customHeight="1" x14ac:dyDescent="0.65"/>
    <row r="696" ht="15" customHeight="1" x14ac:dyDescent="0.65"/>
    <row r="697" ht="15" customHeight="1" x14ac:dyDescent="0.65"/>
    <row r="698" ht="15" customHeight="1" x14ac:dyDescent="0.65"/>
    <row r="700" ht="15" customHeight="1" x14ac:dyDescent="0.65"/>
    <row r="701" ht="15" customHeight="1" x14ac:dyDescent="0.65"/>
    <row r="702" ht="15" customHeight="1" x14ac:dyDescent="0.65"/>
    <row r="703" ht="15" customHeight="1" x14ac:dyDescent="0.65"/>
    <row r="704" ht="15" customHeight="1" x14ac:dyDescent="0.65"/>
    <row r="705" spans="2:33" ht="15" customHeight="1" x14ac:dyDescent="0.65"/>
    <row r="706" spans="2:33" ht="15" customHeight="1" x14ac:dyDescent="0.65"/>
    <row r="707" spans="2:33" ht="15" customHeight="1" x14ac:dyDescent="0.65"/>
    <row r="708" spans="2:33" ht="15" customHeight="1" x14ac:dyDescent="0.65"/>
    <row r="709" spans="2:33" ht="15" customHeight="1" x14ac:dyDescent="0.65"/>
    <row r="710" spans="2:33" ht="15" customHeight="1" x14ac:dyDescent="0.65"/>
    <row r="711" spans="2:33" ht="15" customHeight="1" x14ac:dyDescent="0.65"/>
    <row r="712" spans="2:33" ht="15" customHeight="1" x14ac:dyDescent="0.65">
      <c r="B712" s="475"/>
      <c r="C712" s="475"/>
      <c r="D712" s="475"/>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c r="AA712" s="475"/>
      <c r="AB712" s="475"/>
      <c r="AC712" s="475"/>
      <c r="AD712" s="475"/>
      <c r="AE712" s="475"/>
      <c r="AF712" s="475"/>
      <c r="AG712" s="475"/>
    </row>
    <row r="713" spans="2:33" ht="15" customHeight="1" x14ac:dyDescent="0.65"/>
    <row r="714" spans="2:33" ht="15" customHeight="1" x14ac:dyDescent="0.65"/>
    <row r="715" spans="2:33" ht="15" customHeight="1" x14ac:dyDescent="0.65"/>
    <row r="716" spans="2:33" ht="15" customHeight="1" x14ac:dyDescent="0.65"/>
    <row r="717" spans="2:33" ht="15" customHeight="1" x14ac:dyDescent="0.65"/>
    <row r="718" spans="2:33" ht="15" customHeight="1" x14ac:dyDescent="0.65"/>
    <row r="719" spans="2:33" ht="15" customHeight="1" x14ac:dyDescent="0.65"/>
    <row r="720" spans="2:33" ht="15" customHeight="1" x14ac:dyDescent="0.65"/>
    <row r="721" ht="15" customHeight="1" x14ac:dyDescent="0.65"/>
    <row r="722" ht="15" customHeight="1" x14ac:dyDescent="0.65"/>
    <row r="723" ht="15" customHeight="1" x14ac:dyDescent="0.65"/>
    <row r="724" ht="15" customHeight="1" x14ac:dyDescent="0.65"/>
    <row r="725" ht="15" customHeight="1" x14ac:dyDescent="0.65"/>
    <row r="726" ht="15" customHeight="1" x14ac:dyDescent="0.65"/>
    <row r="727" ht="15" customHeight="1" x14ac:dyDescent="0.65"/>
    <row r="728" ht="15" customHeight="1" x14ac:dyDescent="0.65"/>
    <row r="729" ht="15" customHeight="1" x14ac:dyDescent="0.65"/>
    <row r="730" ht="15" customHeight="1" x14ac:dyDescent="0.65"/>
    <row r="731" ht="15" customHeight="1" x14ac:dyDescent="0.65"/>
    <row r="732" ht="15" customHeight="1" x14ac:dyDescent="0.65"/>
    <row r="775" ht="15" customHeight="1" x14ac:dyDescent="0.65"/>
    <row r="776" ht="15" customHeight="1" x14ac:dyDescent="0.65"/>
    <row r="777" ht="15" customHeight="1" x14ac:dyDescent="0.65"/>
    <row r="778" ht="15" customHeight="1" x14ac:dyDescent="0.65"/>
    <row r="779" ht="15" customHeight="1" x14ac:dyDescent="0.65"/>
    <row r="780" ht="15" customHeight="1" x14ac:dyDescent="0.65"/>
    <row r="782" ht="15" customHeight="1" x14ac:dyDescent="0.65"/>
    <row r="783" ht="15" customHeight="1" x14ac:dyDescent="0.65"/>
    <row r="784" ht="15" customHeight="1" x14ac:dyDescent="0.65"/>
    <row r="785" ht="15" customHeight="1" x14ac:dyDescent="0.65"/>
    <row r="787" ht="15" customHeight="1" x14ac:dyDescent="0.65"/>
    <row r="788" ht="15" customHeight="1" x14ac:dyDescent="0.65"/>
    <row r="789" ht="15" customHeight="1" x14ac:dyDescent="0.65"/>
    <row r="790" ht="15" customHeight="1" x14ac:dyDescent="0.65"/>
    <row r="792" ht="15" customHeight="1" x14ac:dyDescent="0.65"/>
    <row r="793" ht="15" customHeight="1" x14ac:dyDescent="0.65"/>
    <row r="794" ht="15" customHeight="1" x14ac:dyDescent="0.65"/>
    <row r="795" ht="15" customHeight="1" x14ac:dyDescent="0.65"/>
    <row r="796" ht="15" customHeight="1" x14ac:dyDescent="0.65"/>
    <row r="797" ht="15" customHeight="1" x14ac:dyDescent="0.65"/>
    <row r="798" ht="15" customHeight="1" x14ac:dyDescent="0.65"/>
    <row r="799" ht="15" customHeight="1" x14ac:dyDescent="0.65"/>
    <row r="800" ht="15" customHeight="1" x14ac:dyDescent="0.65"/>
    <row r="801" ht="15" customHeight="1" x14ac:dyDescent="0.65"/>
    <row r="802" ht="15" customHeight="1" x14ac:dyDescent="0.65"/>
    <row r="803" ht="15" customHeight="1" x14ac:dyDescent="0.65"/>
    <row r="804" ht="15" customHeight="1" x14ac:dyDescent="0.65"/>
    <row r="805" ht="15" customHeight="1" x14ac:dyDescent="0.65"/>
    <row r="806" ht="15" customHeight="1" x14ac:dyDescent="0.65"/>
    <row r="808" ht="15" customHeight="1" x14ac:dyDescent="0.65"/>
    <row r="809" ht="15" customHeight="1" x14ac:dyDescent="0.65"/>
    <row r="810" ht="15" customHeight="1" x14ac:dyDescent="0.65"/>
    <row r="811" ht="15" customHeight="1" x14ac:dyDescent="0.65"/>
    <row r="812" ht="15" customHeight="1" x14ac:dyDescent="0.65"/>
    <row r="813" ht="15" customHeight="1" x14ac:dyDescent="0.65"/>
    <row r="814" ht="15" customHeight="1" x14ac:dyDescent="0.65"/>
    <row r="816" ht="15" customHeight="1" x14ac:dyDescent="0.65"/>
    <row r="817" ht="15" customHeight="1" x14ac:dyDescent="0.65"/>
    <row r="818" ht="15" customHeight="1" x14ac:dyDescent="0.65"/>
    <row r="819" ht="15" customHeight="1" x14ac:dyDescent="0.65"/>
    <row r="820" ht="15" customHeight="1" x14ac:dyDescent="0.65"/>
    <row r="822" ht="15" customHeight="1" x14ac:dyDescent="0.65"/>
    <row r="823" ht="15" customHeight="1" x14ac:dyDescent="0.65"/>
    <row r="825" ht="15" customHeight="1" x14ac:dyDescent="0.65"/>
    <row r="826" ht="15" customHeight="1" x14ac:dyDescent="0.65"/>
    <row r="827" ht="15" customHeight="1" x14ac:dyDescent="0.65"/>
    <row r="828" ht="15" customHeight="1" x14ac:dyDescent="0.65"/>
    <row r="829" ht="15" customHeight="1" x14ac:dyDescent="0.65"/>
    <row r="830" ht="15" customHeight="1" x14ac:dyDescent="0.65"/>
    <row r="831" ht="15" customHeight="1" x14ac:dyDescent="0.65"/>
    <row r="832" ht="15" customHeight="1" x14ac:dyDescent="0.65"/>
    <row r="833" ht="15" customHeight="1" x14ac:dyDescent="0.65"/>
    <row r="834" ht="15" customHeight="1" x14ac:dyDescent="0.65"/>
    <row r="835" ht="15" customHeight="1" x14ac:dyDescent="0.65"/>
    <row r="836" ht="15" customHeight="1" x14ac:dyDescent="0.65"/>
    <row r="837" ht="15" customHeight="1" x14ac:dyDescent="0.65"/>
    <row r="838" ht="15" customHeight="1" x14ac:dyDescent="0.65"/>
    <row r="840" ht="15" customHeight="1" x14ac:dyDescent="0.65"/>
    <row r="842" ht="15" customHeight="1" x14ac:dyDescent="0.65"/>
    <row r="843" ht="15" customHeight="1" x14ac:dyDescent="0.65"/>
    <row r="844" ht="15" customHeight="1" x14ac:dyDescent="0.65"/>
    <row r="845" ht="15" customHeight="1" x14ac:dyDescent="0.65"/>
    <row r="846" ht="15" customHeight="1" x14ac:dyDescent="0.65"/>
    <row r="847" ht="15" customHeight="1" x14ac:dyDescent="0.65"/>
    <row r="848" ht="15" customHeight="1" x14ac:dyDescent="0.65"/>
    <row r="849" ht="15" customHeight="1" x14ac:dyDescent="0.65"/>
    <row r="850" ht="15" customHeight="1" x14ac:dyDescent="0.65"/>
    <row r="851" ht="15" customHeight="1" x14ac:dyDescent="0.65"/>
    <row r="852" ht="15" customHeight="1" x14ac:dyDescent="0.65"/>
    <row r="853" ht="15" customHeight="1" x14ac:dyDescent="0.65"/>
    <row r="854" ht="15" customHeight="1" x14ac:dyDescent="0.65"/>
    <row r="855" ht="15" customHeight="1" x14ac:dyDescent="0.65"/>
    <row r="857" ht="15" customHeight="1" x14ac:dyDescent="0.65"/>
    <row r="858" ht="15" customHeight="1" x14ac:dyDescent="0.65"/>
    <row r="859" ht="15" customHeight="1" x14ac:dyDescent="0.65"/>
    <row r="860" ht="15" customHeight="1" x14ac:dyDescent="0.65"/>
    <row r="861" ht="15" customHeight="1" x14ac:dyDescent="0.65"/>
    <row r="863" ht="15" customHeight="1" x14ac:dyDescent="0.65"/>
    <row r="864" ht="15" customHeight="1" x14ac:dyDescent="0.65"/>
    <row r="865" ht="15" customHeight="1" x14ac:dyDescent="0.65"/>
    <row r="866" ht="15" customHeight="1" x14ac:dyDescent="0.65"/>
    <row r="867" ht="15" customHeight="1" x14ac:dyDescent="0.65"/>
    <row r="868" ht="15" customHeight="1" x14ac:dyDescent="0.65"/>
    <row r="869" ht="15" customHeight="1" x14ac:dyDescent="0.65"/>
    <row r="870" ht="15" customHeight="1" x14ac:dyDescent="0.65"/>
    <row r="871" ht="15" customHeight="1" x14ac:dyDescent="0.65"/>
    <row r="872" ht="15" customHeight="1" x14ac:dyDescent="0.65"/>
    <row r="873" ht="15" customHeight="1" x14ac:dyDescent="0.65"/>
    <row r="875" ht="15" customHeight="1" x14ac:dyDescent="0.65"/>
    <row r="876" ht="15" customHeight="1" x14ac:dyDescent="0.65"/>
    <row r="877" ht="15" customHeight="1" x14ac:dyDescent="0.65"/>
    <row r="878" ht="15" customHeight="1" x14ac:dyDescent="0.65"/>
    <row r="879" ht="15" customHeight="1" x14ac:dyDescent="0.65"/>
    <row r="880" ht="15" customHeight="1" x14ac:dyDescent="0.65"/>
    <row r="881" spans="2:33" ht="15" customHeight="1" x14ac:dyDescent="0.65"/>
    <row r="882" spans="2:33" ht="15" customHeight="1" x14ac:dyDescent="0.65"/>
    <row r="883" spans="2:33" ht="15" customHeight="1" x14ac:dyDescent="0.65"/>
    <row r="884" spans="2:33" ht="15" customHeight="1" x14ac:dyDescent="0.65"/>
    <row r="885" spans="2:33" ht="15" customHeight="1" x14ac:dyDescent="0.65"/>
    <row r="886" spans="2:33" ht="15" customHeight="1" x14ac:dyDescent="0.65"/>
    <row r="887" spans="2:33" ht="15" customHeight="1" x14ac:dyDescent="0.65">
      <c r="B887" s="475"/>
      <c r="C887" s="475"/>
      <c r="D887" s="475"/>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c r="AA887" s="475"/>
      <c r="AB887" s="475"/>
      <c r="AC887" s="475"/>
      <c r="AD887" s="475"/>
      <c r="AE887" s="475"/>
      <c r="AF887" s="475"/>
      <c r="AG887" s="475"/>
    </row>
    <row r="888" spans="2:33" ht="15" customHeight="1" x14ac:dyDescent="0.65"/>
    <row r="889" spans="2:33" ht="15" customHeight="1" x14ac:dyDescent="0.65"/>
    <row r="890" spans="2:33" ht="15" customHeight="1" x14ac:dyDescent="0.65"/>
    <row r="891" spans="2:33" ht="15" customHeight="1" x14ac:dyDescent="0.65"/>
    <row r="892" spans="2:33" ht="15" customHeight="1" x14ac:dyDescent="0.65"/>
    <row r="893" spans="2:33" ht="15" customHeight="1" x14ac:dyDescent="0.65"/>
    <row r="894" spans="2:33" ht="15" customHeight="1" x14ac:dyDescent="0.65"/>
    <row r="895" spans="2:33" ht="15" customHeight="1" x14ac:dyDescent="0.65"/>
    <row r="896" spans="2:33" ht="15" customHeight="1" x14ac:dyDescent="0.65"/>
    <row r="897" ht="15" customHeight="1" x14ac:dyDescent="0.65"/>
    <row r="898" ht="15" customHeight="1" x14ac:dyDescent="0.65"/>
    <row r="899" ht="15" customHeight="1" x14ac:dyDescent="0.65"/>
    <row r="900" ht="15" customHeight="1" x14ac:dyDescent="0.65"/>
    <row r="901" ht="15" customHeight="1" x14ac:dyDescent="0.65"/>
    <row r="902" ht="15" customHeight="1" x14ac:dyDescent="0.65"/>
    <row r="903" ht="15" customHeight="1" x14ac:dyDescent="0.65"/>
    <row r="904" ht="15" customHeight="1" x14ac:dyDescent="0.65"/>
    <row r="905" ht="15" customHeight="1" x14ac:dyDescent="0.65"/>
    <row r="950" ht="15" customHeight="1" x14ac:dyDescent="0.65"/>
    <row r="951" ht="15" customHeight="1" x14ac:dyDescent="0.65"/>
    <row r="952" ht="15" customHeight="1" x14ac:dyDescent="0.65"/>
    <row r="953" ht="15" customHeight="1" x14ac:dyDescent="0.65"/>
    <row r="954" ht="15" customHeight="1" x14ac:dyDescent="0.65"/>
    <row r="955" ht="15" customHeight="1" x14ac:dyDescent="0.65"/>
    <row r="956" ht="15" customHeight="1" x14ac:dyDescent="0.65"/>
    <row r="957" ht="15" customHeight="1" x14ac:dyDescent="0.65"/>
    <row r="958" ht="15" customHeight="1" x14ac:dyDescent="0.65"/>
    <row r="959" ht="15" customHeight="1" x14ac:dyDescent="0.65"/>
    <row r="961" ht="15" customHeight="1" x14ac:dyDescent="0.65"/>
    <row r="962" ht="15" customHeight="1" x14ac:dyDescent="0.65"/>
    <row r="963" ht="15" customHeight="1" x14ac:dyDescent="0.65"/>
    <row r="964" ht="15" customHeight="1" x14ac:dyDescent="0.65"/>
    <row r="965" ht="15" customHeight="1" x14ac:dyDescent="0.65"/>
    <row r="966" ht="15" customHeight="1" x14ac:dyDescent="0.65"/>
    <row r="967" ht="15" customHeight="1" x14ac:dyDescent="0.65"/>
    <row r="968" ht="15" customHeight="1" x14ac:dyDescent="0.65"/>
    <row r="969" ht="15" customHeight="1" x14ac:dyDescent="0.65"/>
    <row r="970" ht="15" customHeight="1" x14ac:dyDescent="0.65"/>
    <row r="971" ht="15" customHeight="1" x14ac:dyDescent="0.65"/>
    <row r="972" ht="15" customHeight="1" x14ac:dyDescent="0.65"/>
    <row r="973" ht="15" customHeight="1" x14ac:dyDescent="0.65"/>
    <row r="974" ht="15" customHeight="1" x14ac:dyDescent="0.65"/>
    <row r="975" ht="15" customHeight="1" x14ac:dyDescent="0.65"/>
    <row r="976" ht="15" customHeight="1" x14ac:dyDescent="0.65"/>
    <row r="977" ht="15" customHeight="1" x14ac:dyDescent="0.65"/>
    <row r="978" ht="15" customHeight="1" x14ac:dyDescent="0.65"/>
    <row r="979" ht="15" customHeight="1" x14ac:dyDescent="0.65"/>
    <row r="980" ht="15" customHeight="1" x14ac:dyDescent="0.65"/>
    <row r="981" ht="15" customHeight="1" x14ac:dyDescent="0.65"/>
    <row r="982" ht="15" customHeight="1" x14ac:dyDescent="0.65"/>
    <row r="983" ht="15" customHeight="1" x14ac:dyDescent="0.65"/>
    <row r="984" ht="15" customHeight="1" x14ac:dyDescent="0.65"/>
    <row r="985" ht="15" customHeight="1" x14ac:dyDescent="0.65"/>
    <row r="988" ht="15" customHeight="1" x14ac:dyDescent="0.65"/>
    <row r="989" ht="15" customHeight="1" x14ac:dyDescent="0.65"/>
    <row r="990" ht="15" customHeight="1" x14ac:dyDescent="0.65"/>
    <row r="991" ht="15" customHeight="1" x14ac:dyDescent="0.65"/>
    <row r="992" ht="15" customHeight="1" x14ac:dyDescent="0.65"/>
    <row r="993" ht="15" customHeight="1" x14ac:dyDescent="0.65"/>
    <row r="994" ht="15" customHeight="1" x14ac:dyDescent="0.65"/>
    <row r="995" ht="15" customHeight="1" x14ac:dyDescent="0.65"/>
    <row r="996" ht="15" customHeight="1" x14ac:dyDescent="0.65"/>
    <row r="997" ht="15" customHeight="1" x14ac:dyDescent="0.65"/>
    <row r="998" ht="15" customHeight="1" x14ac:dyDescent="0.65"/>
    <row r="999" ht="15" customHeight="1" x14ac:dyDescent="0.65"/>
    <row r="1000" ht="15" customHeight="1" x14ac:dyDescent="0.65"/>
    <row r="1001" ht="15" customHeight="1" x14ac:dyDescent="0.65"/>
    <row r="1002" ht="15" customHeight="1" x14ac:dyDescent="0.65"/>
    <row r="1003" ht="15" customHeight="1" x14ac:dyDescent="0.65"/>
    <row r="1004" ht="15" customHeight="1" x14ac:dyDescent="0.65"/>
    <row r="1005" ht="15" customHeight="1" x14ac:dyDescent="0.65"/>
    <row r="1006" ht="15" customHeight="1" x14ac:dyDescent="0.65"/>
    <row r="1007" ht="15" customHeight="1" x14ac:dyDescent="0.65"/>
    <row r="1008" ht="15" customHeight="1" x14ac:dyDescent="0.65"/>
    <row r="1009" ht="15" customHeight="1" x14ac:dyDescent="0.65"/>
    <row r="1010" ht="15" customHeight="1" x14ac:dyDescent="0.65"/>
    <row r="1011" ht="15" customHeight="1" x14ac:dyDescent="0.65"/>
    <row r="1012" ht="15" customHeight="1" x14ac:dyDescent="0.65"/>
    <row r="1013" ht="15" customHeight="1" x14ac:dyDescent="0.65"/>
    <row r="1016" ht="15" customHeight="1" x14ac:dyDescent="0.65"/>
    <row r="1017" ht="15" customHeight="1" x14ac:dyDescent="0.65"/>
    <row r="1018" ht="15" customHeight="1" x14ac:dyDescent="0.65"/>
    <row r="1019" ht="15" customHeight="1" x14ac:dyDescent="0.65"/>
    <row r="1020" ht="15" customHeight="1" x14ac:dyDescent="0.65"/>
    <row r="1021" ht="15" customHeight="1" x14ac:dyDescent="0.65"/>
    <row r="1022" ht="15" customHeight="1" x14ac:dyDescent="0.65"/>
    <row r="1023" ht="15" customHeight="1" x14ac:dyDescent="0.65"/>
    <row r="1024" ht="15" customHeight="1" x14ac:dyDescent="0.65"/>
    <row r="1025" ht="15" customHeight="1" x14ac:dyDescent="0.65"/>
    <row r="1026" ht="15" customHeight="1" x14ac:dyDescent="0.65"/>
    <row r="1027" ht="15" customHeight="1" x14ac:dyDescent="0.65"/>
    <row r="1028" ht="15" customHeight="1" x14ac:dyDescent="0.65"/>
    <row r="1029" ht="15" customHeight="1" x14ac:dyDescent="0.65"/>
    <row r="1030" ht="15" customHeight="1" x14ac:dyDescent="0.65"/>
    <row r="1031" ht="15" customHeight="1" x14ac:dyDescent="0.65"/>
    <row r="1032" ht="15" customHeight="1" x14ac:dyDescent="0.65"/>
    <row r="1033" ht="15" customHeight="1" x14ac:dyDescent="0.65"/>
    <row r="1034" ht="15" customHeight="1" x14ac:dyDescent="0.65"/>
    <row r="1035" ht="15" customHeight="1" x14ac:dyDescent="0.65"/>
    <row r="1037" ht="15" customHeight="1" x14ac:dyDescent="0.65"/>
    <row r="1038" ht="15" customHeight="1" x14ac:dyDescent="0.65"/>
    <row r="1039" ht="15" customHeight="1" x14ac:dyDescent="0.65"/>
    <row r="1040" ht="15" customHeight="1" x14ac:dyDescent="0.65"/>
    <row r="1041" ht="15" customHeight="1" x14ac:dyDescent="0.65"/>
    <row r="1042" ht="15" customHeight="1" x14ac:dyDescent="0.65"/>
    <row r="1043" ht="15" customHeight="1" x14ac:dyDescent="0.65"/>
    <row r="1044" ht="15" customHeight="1" x14ac:dyDescent="0.65"/>
    <row r="1045" ht="15" customHeight="1" x14ac:dyDescent="0.65"/>
    <row r="1046" ht="15" customHeight="1" x14ac:dyDescent="0.65"/>
    <row r="1047" ht="15" customHeight="1" x14ac:dyDescent="0.65"/>
    <row r="1048" ht="15" customHeight="1" x14ac:dyDescent="0.65"/>
    <row r="1049" ht="15" customHeight="1" x14ac:dyDescent="0.65"/>
    <row r="1050" ht="15" customHeight="1" x14ac:dyDescent="0.65"/>
    <row r="1051" ht="15" customHeight="1" x14ac:dyDescent="0.65"/>
    <row r="1052" ht="15" customHeight="1" x14ac:dyDescent="0.65"/>
    <row r="1053" ht="15" customHeight="1" x14ac:dyDescent="0.65"/>
    <row r="1054" ht="15" customHeight="1" x14ac:dyDescent="0.65"/>
    <row r="1055" ht="15" customHeight="1" x14ac:dyDescent="0.65"/>
    <row r="1056" ht="15" customHeight="1" x14ac:dyDescent="0.65"/>
    <row r="1057" ht="15" customHeight="1" x14ac:dyDescent="0.65"/>
    <row r="1058" ht="15" customHeight="1" x14ac:dyDescent="0.65"/>
    <row r="1059" ht="15" customHeight="1" x14ac:dyDescent="0.65"/>
    <row r="1060" ht="15" customHeight="1" x14ac:dyDescent="0.65"/>
    <row r="1061" ht="15" customHeight="1" x14ac:dyDescent="0.65"/>
    <row r="1062" ht="15" customHeight="1" x14ac:dyDescent="0.65"/>
    <row r="1063" ht="15" customHeight="1" x14ac:dyDescent="0.65"/>
    <row r="1064" ht="15" customHeight="1" x14ac:dyDescent="0.65"/>
    <row r="1066" ht="15" customHeight="1" x14ac:dyDescent="0.65"/>
    <row r="1067" ht="15" customHeight="1" x14ac:dyDescent="0.65"/>
    <row r="1068" ht="15" customHeight="1" x14ac:dyDescent="0.65"/>
    <row r="1069" ht="15" customHeight="1" x14ac:dyDescent="0.65"/>
    <row r="1070" ht="15" customHeight="1" x14ac:dyDescent="0.65"/>
    <row r="1071" ht="15" customHeight="1" x14ac:dyDescent="0.65"/>
    <row r="1072" ht="15" customHeight="1" x14ac:dyDescent="0.65"/>
    <row r="1073" ht="15" customHeight="1" x14ac:dyDescent="0.65"/>
    <row r="1074" ht="15" customHeight="1" x14ac:dyDescent="0.65"/>
    <row r="1075" ht="15" customHeight="1" x14ac:dyDescent="0.65"/>
    <row r="1076" ht="15" customHeight="1" x14ac:dyDescent="0.65"/>
    <row r="1077" ht="15" customHeight="1" x14ac:dyDescent="0.65"/>
    <row r="1078" ht="15" customHeight="1" x14ac:dyDescent="0.65"/>
    <row r="1079" ht="15" customHeight="1" x14ac:dyDescent="0.65"/>
    <row r="1080" ht="15" customHeight="1" x14ac:dyDescent="0.65"/>
    <row r="1081" ht="15" customHeight="1" x14ac:dyDescent="0.65"/>
    <row r="1082" ht="15" customHeight="1" x14ac:dyDescent="0.65"/>
    <row r="1083" ht="15" customHeight="1" x14ac:dyDescent="0.65"/>
    <row r="1084" ht="15" customHeight="1" x14ac:dyDescent="0.65"/>
    <row r="1085" ht="15" customHeight="1" x14ac:dyDescent="0.65"/>
    <row r="1086" ht="15" customHeight="1" x14ac:dyDescent="0.65"/>
    <row r="1087" ht="15" customHeight="1" x14ac:dyDescent="0.65"/>
    <row r="1088" ht="15" customHeight="1" x14ac:dyDescent="0.65"/>
    <row r="1089" spans="2:33" ht="15" customHeight="1" x14ac:dyDescent="0.65"/>
    <row r="1090" spans="2:33" ht="15" customHeight="1" x14ac:dyDescent="0.65"/>
    <row r="1091" spans="2:33" ht="15" customHeight="1" x14ac:dyDescent="0.65"/>
    <row r="1092" spans="2:33" ht="15" customHeight="1" x14ac:dyDescent="0.65"/>
    <row r="1093" spans="2:33" ht="15" customHeight="1" x14ac:dyDescent="0.65"/>
    <row r="1094" spans="2:33" ht="15" customHeight="1" x14ac:dyDescent="0.65"/>
    <row r="1096" spans="2:33" ht="15" customHeight="1" x14ac:dyDescent="0.65"/>
    <row r="1097" spans="2:33" ht="15" customHeight="1" x14ac:dyDescent="0.65"/>
    <row r="1098" spans="2:33" ht="15" customHeight="1" x14ac:dyDescent="0.65"/>
    <row r="1099" spans="2:33" ht="15" customHeight="1" x14ac:dyDescent="0.65"/>
    <row r="1100" spans="2:33" ht="15" customHeight="1" x14ac:dyDescent="0.65">
      <c r="B1100" s="475"/>
      <c r="C1100" s="475"/>
      <c r="D1100" s="475"/>
      <c r="E1100" s="475"/>
      <c r="F1100" s="475"/>
      <c r="G1100" s="475"/>
      <c r="H1100" s="475"/>
      <c r="I1100" s="475"/>
      <c r="J1100" s="475"/>
      <c r="K1100" s="475"/>
      <c r="L1100" s="475"/>
      <c r="M1100" s="475"/>
      <c r="N1100" s="475"/>
      <c r="O1100" s="475"/>
      <c r="P1100" s="475"/>
      <c r="Q1100" s="475"/>
      <c r="R1100" s="475"/>
      <c r="S1100" s="475"/>
      <c r="T1100" s="475"/>
      <c r="U1100" s="475"/>
      <c r="V1100" s="475"/>
      <c r="W1100" s="475"/>
      <c r="X1100" s="475"/>
      <c r="Y1100" s="475"/>
      <c r="Z1100" s="475"/>
      <c r="AA1100" s="475"/>
      <c r="AB1100" s="475"/>
      <c r="AC1100" s="475"/>
      <c r="AD1100" s="475"/>
      <c r="AE1100" s="475"/>
      <c r="AF1100" s="475"/>
      <c r="AG1100" s="475"/>
    </row>
    <row r="1101" spans="2:33" ht="15" customHeight="1" x14ac:dyDescent="0.65"/>
    <row r="1102" spans="2:33" ht="15" customHeight="1" x14ac:dyDescent="0.65"/>
    <row r="1103" spans="2:33" ht="15" customHeight="1" x14ac:dyDescent="0.65"/>
    <row r="1104" spans="2:33" ht="15" customHeight="1" x14ac:dyDescent="0.65"/>
    <row r="1105" ht="15" customHeight="1" x14ac:dyDescent="0.65"/>
    <row r="1106" ht="15" customHeight="1" x14ac:dyDescent="0.65"/>
    <row r="1107" ht="15" customHeight="1" x14ac:dyDescent="0.65"/>
    <row r="1108" ht="15" customHeight="1" x14ac:dyDescent="0.65"/>
    <row r="1109" ht="15" customHeight="1" x14ac:dyDescent="0.65"/>
    <row r="1110" ht="15" customHeight="1" x14ac:dyDescent="0.65"/>
    <row r="1111" ht="15" customHeight="1" x14ac:dyDescent="0.65"/>
    <row r="1150" ht="15" customHeight="1" x14ac:dyDescent="0.65"/>
    <row r="1151" ht="15" customHeight="1" x14ac:dyDescent="0.65"/>
    <row r="1152" ht="15" customHeight="1" x14ac:dyDescent="0.65"/>
    <row r="1153" ht="15" customHeight="1" x14ac:dyDescent="0.65"/>
    <row r="1154" ht="15" customHeight="1" x14ac:dyDescent="0.65"/>
    <row r="1155" ht="15" customHeight="1" x14ac:dyDescent="0.65"/>
    <row r="1156" ht="15" customHeight="1" x14ac:dyDescent="0.65"/>
    <row r="1157" ht="15" customHeight="1" x14ac:dyDescent="0.65"/>
    <row r="1158" ht="15" customHeight="1" x14ac:dyDescent="0.65"/>
    <row r="1159" ht="15" customHeight="1" x14ac:dyDescent="0.65"/>
    <row r="1160" ht="15" customHeight="1" x14ac:dyDescent="0.65"/>
    <row r="1161" ht="15" customHeight="1" x14ac:dyDescent="0.65"/>
    <row r="1162" ht="15" customHeight="1" x14ac:dyDescent="0.65"/>
    <row r="1163" ht="15" customHeight="1" x14ac:dyDescent="0.65"/>
    <row r="1164" ht="15" customHeight="1" x14ac:dyDescent="0.65"/>
    <row r="1165" ht="15" customHeight="1" x14ac:dyDescent="0.65"/>
    <row r="1166" ht="15" customHeight="1" x14ac:dyDescent="0.65"/>
    <row r="1167" ht="15" customHeight="1" x14ac:dyDescent="0.65"/>
    <row r="1168" ht="15" customHeight="1" x14ac:dyDescent="0.65"/>
    <row r="1170" ht="15" customHeight="1" x14ac:dyDescent="0.65"/>
    <row r="1171" ht="15" customHeight="1" x14ac:dyDescent="0.65"/>
    <row r="1172" ht="15" customHeight="1" x14ac:dyDescent="0.65"/>
    <row r="1173" ht="15" customHeight="1" x14ac:dyDescent="0.65"/>
    <row r="1174" ht="15" customHeight="1" x14ac:dyDescent="0.65"/>
    <row r="1175" ht="15" customHeight="1" x14ac:dyDescent="0.65"/>
    <row r="1176" ht="15" customHeight="1" x14ac:dyDescent="0.65"/>
    <row r="1177" ht="15" customHeight="1" x14ac:dyDescent="0.65"/>
    <row r="1178" ht="15" customHeight="1" x14ac:dyDescent="0.65"/>
    <row r="1179" ht="15" customHeight="1" x14ac:dyDescent="0.65"/>
    <row r="1180" ht="15" customHeight="1" x14ac:dyDescent="0.65"/>
    <row r="1181" ht="15" customHeight="1" x14ac:dyDescent="0.65"/>
    <row r="1182" ht="15" customHeight="1" x14ac:dyDescent="0.65"/>
    <row r="1183" ht="15" customHeight="1" x14ac:dyDescent="0.65"/>
    <row r="1184" ht="15" customHeight="1" x14ac:dyDescent="0.65"/>
    <row r="1185" ht="15" customHeight="1" x14ac:dyDescent="0.65"/>
    <row r="1186" ht="15" customHeight="1" x14ac:dyDescent="0.65"/>
    <row r="1187" ht="15" customHeight="1" x14ac:dyDescent="0.65"/>
    <row r="1188" ht="15" customHeight="1" x14ac:dyDescent="0.65"/>
    <row r="1189" ht="15" customHeight="1" x14ac:dyDescent="0.65"/>
    <row r="1190" ht="15" customHeight="1" x14ac:dyDescent="0.65"/>
    <row r="1191" ht="15" customHeight="1" x14ac:dyDescent="0.65"/>
    <row r="1192" ht="15" customHeight="1" x14ac:dyDescent="0.65"/>
    <row r="1194" ht="15" customHeight="1" x14ac:dyDescent="0.65"/>
    <row r="1195" ht="15" customHeight="1" x14ac:dyDescent="0.65"/>
    <row r="1196" ht="15" customHeight="1" x14ac:dyDescent="0.65"/>
    <row r="1197" ht="15" customHeight="1" x14ac:dyDescent="0.65"/>
    <row r="1198" ht="15" customHeight="1" x14ac:dyDescent="0.65"/>
    <row r="1199" ht="15" customHeight="1" x14ac:dyDescent="0.65"/>
    <row r="1200" ht="15" customHeight="1" x14ac:dyDescent="0.65"/>
    <row r="1201" ht="15" customHeight="1" x14ac:dyDescent="0.65"/>
    <row r="1202" ht="15" customHeight="1" x14ac:dyDescent="0.65"/>
    <row r="1203" ht="15" customHeight="1" x14ac:dyDescent="0.65"/>
    <row r="1204" ht="15" customHeight="1" x14ac:dyDescent="0.65"/>
    <row r="1205" ht="15" customHeight="1" x14ac:dyDescent="0.65"/>
    <row r="1206" ht="15" customHeight="1" x14ac:dyDescent="0.65"/>
    <row r="1207" ht="15" customHeight="1" x14ac:dyDescent="0.65"/>
    <row r="1208" ht="15" customHeight="1" x14ac:dyDescent="0.65"/>
    <row r="1209" ht="15" customHeight="1" x14ac:dyDescent="0.65"/>
    <row r="1211" ht="15" customHeight="1" x14ac:dyDescent="0.65"/>
    <row r="1212" ht="15" customHeight="1" x14ac:dyDescent="0.65"/>
    <row r="1213" ht="15" customHeight="1" x14ac:dyDescent="0.65"/>
    <row r="1214" ht="15" customHeight="1" x14ac:dyDescent="0.65"/>
    <row r="1215" ht="15" customHeight="1" x14ac:dyDescent="0.65"/>
    <row r="1216" ht="15" customHeight="1" x14ac:dyDescent="0.65"/>
    <row r="1217" spans="2:33" ht="15" customHeight="1" x14ac:dyDescent="0.65"/>
    <row r="1218" spans="2:33" ht="15" customHeight="1" x14ac:dyDescent="0.65"/>
    <row r="1219" spans="2:33" ht="15" customHeight="1" x14ac:dyDescent="0.65"/>
    <row r="1220" spans="2:33" ht="15" customHeight="1" x14ac:dyDescent="0.65"/>
    <row r="1221" spans="2:33" ht="15" customHeight="1" x14ac:dyDescent="0.65"/>
    <row r="1222" spans="2:33" ht="15" customHeight="1" x14ac:dyDescent="0.65"/>
    <row r="1223" spans="2:33" ht="15" customHeight="1" x14ac:dyDescent="0.65"/>
    <row r="1224" spans="2:33" ht="15" customHeight="1" x14ac:dyDescent="0.65"/>
    <row r="1225" spans="2:33" ht="15" customHeight="1" x14ac:dyDescent="0.65"/>
    <row r="1226" spans="2:33" ht="15" customHeight="1" x14ac:dyDescent="0.65"/>
    <row r="1227" spans="2:33" ht="15" customHeight="1" x14ac:dyDescent="0.65">
      <c r="B1227" s="475"/>
      <c r="C1227" s="475"/>
      <c r="D1227" s="475"/>
      <c r="E1227" s="475"/>
      <c r="F1227" s="475"/>
      <c r="G1227" s="475"/>
      <c r="H1227" s="475"/>
      <c r="I1227" s="475"/>
      <c r="J1227" s="475"/>
      <c r="K1227" s="475"/>
      <c r="L1227" s="475"/>
      <c r="M1227" s="475"/>
      <c r="N1227" s="475"/>
      <c r="O1227" s="475"/>
      <c r="P1227" s="475"/>
      <c r="Q1227" s="475"/>
      <c r="R1227" s="475"/>
      <c r="S1227" s="475"/>
      <c r="T1227" s="475"/>
      <c r="U1227" s="475"/>
      <c r="V1227" s="475"/>
      <c r="W1227" s="475"/>
      <c r="X1227" s="475"/>
      <c r="Y1227" s="475"/>
      <c r="Z1227" s="475"/>
      <c r="AA1227" s="475"/>
      <c r="AB1227" s="475"/>
      <c r="AC1227" s="475"/>
      <c r="AD1227" s="475"/>
      <c r="AE1227" s="475"/>
      <c r="AF1227" s="475"/>
      <c r="AG1227" s="475"/>
    </row>
    <row r="1228" spans="2:33" ht="15" customHeight="1" x14ac:dyDescent="0.65"/>
    <row r="1229" spans="2:33" ht="15" customHeight="1" x14ac:dyDescent="0.65"/>
    <row r="1230" spans="2:33" ht="15" customHeight="1" x14ac:dyDescent="0.65"/>
    <row r="1231" spans="2:33" ht="15" customHeight="1" x14ac:dyDescent="0.65"/>
    <row r="1232" spans="2:33" ht="15" customHeight="1" x14ac:dyDescent="0.65"/>
    <row r="1233" ht="15" customHeight="1" x14ac:dyDescent="0.65"/>
    <row r="1234" ht="15" customHeight="1" x14ac:dyDescent="0.65"/>
    <row r="1235" ht="15" customHeight="1" x14ac:dyDescent="0.65"/>
    <row r="1236" ht="15" customHeight="1" x14ac:dyDescent="0.65"/>
    <row r="1237" ht="15" customHeight="1" x14ac:dyDescent="0.65"/>
    <row r="1300" ht="15" customHeight="1" x14ac:dyDescent="0.65"/>
    <row r="1301" ht="15" customHeight="1" x14ac:dyDescent="0.65"/>
    <row r="1302" ht="15" customHeight="1" x14ac:dyDescent="0.65"/>
    <row r="1303" ht="15" customHeight="1" x14ac:dyDescent="0.65"/>
    <row r="1304" ht="15" customHeight="1" x14ac:dyDescent="0.65"/>
    <row r="1305" ht="15" customHeight="1" x14ac:dyDescent="0.65"/>
    <row r="1307" ht="15" customHeight="1" x14ac:dyDescent="0.65"/>
    <row r="1308" ht="15" customHeight="1" x14ac:dyDescent="0.65"/>
    <row r="1309" ht="15" customHeight="1" x14ac:dyDescent="0.65"/>
    <row r="1310" ht="15" customHeight="1" x14ac:dyDescent="0.65"/>
    <row r="1311" ht="15" customHeight="1" x14ac:dyDescent="0.65"/>
    <row r="1312" ht="15" customHeight="1" x14ac:dyDescent="0.65"/>
    <row r="1313" ht="15" customHeight="1" x14ac:dyDescent="0.65"/>
    <row r="1314" ht="15" customHeight="1" x14ac:dyDescent="0.65"/>
    <row r="1315" ht="15" customHeight="1" x14ac:dyDescent="0.65"/>
    <row r="1316" ht="15" customHeight="1" x14ac:dyDescent="0.65"/>
    <row r="1317" ht="15" customHeight="1" x14ac:dyDescent="0.65"/>
    <row r="1318" ht="15" customHeight="1" x14ac:dyDescent="0.65"/>
    <row r="1319" ht="15" customHeight="1" x14ac:dyDescent="0.65"/>
    <row r="1320" ht="15" customHeight="1" x14ac:dyDescent="0.65"/>
    <row r="1321" ht="15" customHeight="1" x14ac:dyDescent="0.65"/>
    <row r="1322" ht="15" customHeight="1" x14ac:dyDescent="0.65"/>
    <row r="1323" ht="15" customHeight="1" x14ac:dyDescent="0.65"/>
    <row r="1324" ht="15" customHeight="1" x14ac:dyDescent="0.65"/>
    <row r="1325" ht="15" customHeight="1" x14ac:dyDescent="0.65"/>
    <row r="1327" ht="15" customHeight="1" x14ac:dyDescent="0.65"/>
    <row r="1329" ht="15" customHeight="1" x14ac:dyDescent="0.65"/>
    <row r="1330" ht="15" customHeight="1" x14ac:dyDescent="0.65"/>
    <row r="1331" ht="15" customHeight="1" x14ac:dyDescent="0.65"/>
    <row r="1332" ht="15" customHeight="1" x14ac:dyDescent="0.65"/>
    <row r="1333" ht="15" customHeight="1" x14ac:dyDescent="0.65"/>
    <row r="1334" ht="15" customHeight="1" x14ac:dyDescent="0.65"/>
    <row r="1335" ht="15" customHeight="1" x14ac:dyDescent="0.65"/>
    <row r="1336" ht="15" customHeight="1" x14ac:dyDescent="0.65"/>
    <row r="1337" ht="15" customHeight="1" x14ac:dyDescent="0.65"/>
    <row r="1338" ht="15" customHeight="1" x14ac:dyDescent="0.65"/>
    <row r="1340" ht="15" customHeight="1" x14ac:dyDescent="0.65"/>
    <row r="1341" ht="15" customHeight="1" x14ac:dyDescent="0.65"/>
    <row r="1342" ht="15" customHeight="1" x14ac:dyDescent="0.65"/>
    <row r="1343" ht="15" customHeight="1" x14ac:dyDescent="0.65"/>
    <row r="1344" ht="15" customHeight="1" x14ac:dyDescent="0.65"/>
    <row r="1345" ht="15" customHeight="1" x14ac:dyDescent="0.65"/>
    <row r="1346" ht="15" customHeight="1" x14ac:dyDescent="0.65"/>
    <row r="1347" ht="15" customHeight="1" x14ac:dyDescent="0.65"/>
    <row r="1348" ht="15" customHeight="1" x14ac:dyDescent="0.65"/>
    <row r="1350" ht="15" customHeight="1" x14ac:dyDescent="0.65"/>
    <row r="1352" ht="15" customHeight="1" x14ac:dyDescent="0.65"/>
    <row r="1353" ht="15" customHeight="1" x14ac:dyDescent="0.65"/>
    <row r="1354" ht="15" customHeight="1" x14ac:dyDescent="0.65"/>
    <row r="1355" ht="15" customHeight="1" x14ac:dyDescent="0.65"/>
    <row r="1356" ht="15" customHeight="1" x14ac:dyDescent="0.65"/>
    <row r="1357" ht="15" customHeight="1" x14ac:dyDescent="0.65"/>
    <row r="1358" ht="15" customHeight="1" x14ac:dyDescent="0.65"/>
    <row r="1359" ht="15" customHeight="1" x14ac:dyDescent="0.65"/>
    <row r="1361" ht="15" customHeight="1" x14ac:dyDescent="0.65"/>
    <row r="1362" ht="15" customHeight="1" x14ac:dyDescent="0.65"/>
    <row r="1363" ht="15" customHeight="1" x14ac:dyDescent="0.65"/>
    <row r="1364" ht="15" customHeight="1" x14ac:dyDescent="0.65"/>
    <row r="1365" ht="15" customHeight="1" x14ac:dyDescent="0.65"/>
    <row r="1366" ht="15" customHeight="1" x14ac:dyDescent="0.65"/>
    <row r="1367" ht="15" customHeight="1" x14ac:dyDescent="0.65"/>
    <row r="1368" ht="15" customHeight="1" x14ac:dyDescent="0.65"/>
    <row r="1369" ht="15" customHeight="1" x14ac:dyDescent="0.65"/>
    <row r="1370" ht="15" customHeight="1" x14ac:dyDescent="0.65"/>
    <row r="1371" ht="15" customHeight="1" x14ac:dyDescent="0.65"/>
    <row r="1372" ht="15" customHeight="1" x14ac:dyDescent="0.65"/>
    <row r="1373" ht="15" customHeight="1" x14ac:dyDescent="0.65"/>
    <row r="1375" ht="15" customHeight="1" x14ac:dyDescent="0.65"/>
    <row r="1376" ht="15" customHeight="1" x14ac:dyDescent="0.65"/>
    <row r="1377" spans="2:33" ht="15" customHeight="1" x14ac:dyDescent="0.65"/>
    <row r="1378" spans="2:33" ht="15" customHeight="1" x14ac:dyDescent="0.65"/>
    <row r="1379" spans="2:33" ht="15" customHeight="1" x14ac:dyDescent="0.65"/>
    <row r="1380" spans="2:33" ht="15" customHeight="1" x14ac:dyDescent="0.65"/>
    <row r="1381" spans="2:33" ht="15" customHeight="1" x14ac:dyDescent="0.65"/>
    <row r="1382" spans="2:33" ht="15" customHeight="1" x14ac:dyDescent="0.65"/>
    <row r="1383" spans="2:33" ht="15" customHeight="1" x14ac:dyDescent="0.65"/>
    <row r="1385" spans="2:33" ht="15" customHeight="1" x14ac:dyDescent="0.65"/>
    <row r="1386" spans="2:33" ht="15" customHeight="1" x14ac:dyDescent="0.65"/>
    <row r="1387" spans="2:33" ht="15" customHeight="1" x14ac:dyDescent="0.65"/>
    <row r="1388" spans="2:33" ht="15" customHeight="1" x14ac:dyDescent="0.65"/>
    <row r="1389" spans="2:33" ht="15" customHeight="1" x14ac:dyDescent="0.65"/>
    <row r="1390" spans="2:33" ht="15" customHeight="1" x14ac:dyDescent="0.65">
      <c r="B1390" s="475"/>
      <c r="C1390" s="475"/>
      <c r="D1390" s="475"/>
      <c r="E1390" s="475"/>
      <c r="F1390" s="475"/>
      <c r="G1390" s="475"/>
      <c r="H1390" s="475"/>
      <c r="I1390" s="475"/>
      <c r="J1390" s="475"/>
      <c r="K1390" s="475"/>
      <c r="L1390" s="475"/>
      <c r="M1390" s="475"/>
      <c r="N1390" s="475"/>
      <c r="O1390" s="475"/>
      <c r="P1390" s="475"/>
      <c r="Q1390" s="475"/>
      <c r="R1390" s="475"/>
      <c r="S1390" s="475"/>
      <c r="T1390" s="475"/>
      <c r="U1390" s="475"/>
      <c r="V1390" s="475"/>
      <c r="W1390" s="475"/>
      <c r="X1390" s="475"/>
      <c r="Y1390" s="475"/>
      <c r="Z1390" s="475"/>
      <c r="AA1390" s="475"/>
      <c r="AB1390" s="475"/>
      <c r="AC1390" s="475"/>
      <c r="AD1390" s="475"/>
      <c r="AE1390" s="475"/>
      <c r="AF1390" s="475"/>
      <c r="AG1390" s="475"/>
    </row>
    <row r="1391" spans="2:33" ht="15" customHeight="1" x14ac:dyDescent="0.65"/>
    <row r="1392" spans="2:33" ht="15" customHeight="1" x14ac:dyDescent="0.65"/>
    <row r="1393" ht="15" customHeight="1" x14ac:dyDescent="0.65"/>
    <row r="1394" ht="15" customHeight="1" x14ac:dyDescent="0.65"/>
    <row r="1395" ht="15" customHeight="1" x14ac:dyDescent="0.65"/>
    <row r="1396" ht="15" customHeight="1" x14ac:dyDescent="0.65"/>
    <row r="1397" ht="15" customHeight="1" x14ac:dyDescent="0.65"/>
    <row r="1398" ht="15" customHeight="1" x14ac:dyDescent="0.65"/>
    <row r="1399" ht="15" customHeight="1" x14ac:dyDescent="0.65"/>
    <row r="1400" ht="15" customHeight="1" x14ac:dyDescent="0.65"/>
    <row r="1401" ht="15" customHeight="1" x14ac:dyDescent="0.65"/>
    <row r="1402" ht="15" customHeight="1" x14ac:dyDescent="0.65"/>
    <row r="1403" ht="15" customHeight="1" x14ac:dyDescent="0.65"/>
    <row r="1404" ht="15" customHeight="1" x14ac:dyDescent="0.65"/>
    <row r="1405" ht="15" customHeight="1" x14ac:dyDescent="0.65"/>
    <row r="1406" ht="15" customHeight="1" x14ac:dyDescent="0.65"/>
    <row r="1407" ht="15" customHeight="1" x14ac:dyDescent="0.65"/>
    <row r="1408" ht="15" customHeight="1" x14ac:dyDescent="0.65"/>
    <row r="1409" ht="15" customHeight="1" x14ac:dyDescent="0.65"/>
    <row r="1410" ht="15" customHeight="1" x14ac:dyDescent="0.65"/>
    <row r="1425" ht="15" customHeight="1" x14ac:dyDescent="0.65"/>
    <row r="1426" ht="15" customHeight="1" x14ac:dyDescent="0.65"/>
    <row r="1427" ht="15" customHeight="1" x14ac:dyDescent="0.65"/>
    <row r="1428" ht="15" customHeight="1" x14ac:dyDescent="0.65"/>
    <row r="1429" ht="15" customHeight="1" x14ac:dyDescent="0.65"/>
    <row r="1430" ht="15" customHeight="1" x14ac:dyDescent="0.65"/>
    <row r="1431" ht="15" customHeight="1" x14ac:dyDescent="0.65"/>
    <row r="1432" ht="15" customHeight="1" x14ac:dyDescent="0.65"/>
    <row r="1433" ht="15" customHeight="1" x14ac:dyDescent="0.65"/>
    <row r="1434" ht="15" customHeight="1" x14ac:dyDescent="0.65"/>
    <row r="1435" ht="15" customHeight="1" x14ac:dyDescent="0.65"/>
    <row r="1436" ht="15" customHeight="1" x14ac:dyDescent="0.65"/>
    <row r="1437" ht="15" customHeight="1" x14ac:dyDescent="0.65"/>
    <row r="1438" ht="15" customHeight="1" x14ac:dyDescent="0.65"/>
    <row r="1439" ht="15" customHeight="1" x14ac:dyDescent="0.65"/>
    <row r="1440" ht="15" customHeight="1" x14ac:dyDescent="0.65"/>
    <row r="1441" ht="15" customHeight="1" x14ac:dyDescent="0.65"/>
    <row r="1442" ht="15" customHeight="1" x14ac:dyDescent="0.65"/>
    <row r="1443" ht="15" customHeight="1" x14ac:dyDescent="0.65"/>
    <row r="1444" ht="15" customHeight="1" x14ac:dyDescent="0.65"/>
    <row r="1445" ht="15" customHeight="1" x14ac:dyDescent="0.65"/>
    <row r="1446" ht="15" customHeight="1" x14ac:dyDescent="0.65"/>
    <row r="1447" ht="15" customHeight="1" x14ac:dyDescent="0.65"/>
    <row r="1448" ht="15" customHeight="1" x14ac:dyDescent="0.65"/>
    <row r="1449" ht="15" customHeight="1" x14ac:dyDescent="0.65"/>
    <row r="1451" ht="15" customHeight="1" x14ac:dyDescent="0.65"/>
    <row r="1452" ht="15" customHeight="1" x14ac:dyDescent="0.65"/>
    <row r="1453" ht="15" customHeight="1" x14ac:dyDescent="0.65"/>
    <row r="1454" ht="15" customHeight="1" x14ac:dyDescent="0.65"/>
    <row r="1455" ht="15" customHeight="1" x14ac:dyDescent="0.65"/>
    <row r="1456" ht="15" customHeight="1" x14ac:dyDescent="0.65"/>
    <row r="1457" ht="15" customHeight="1" x14ac:dyDescent="0.65"/>
    <row r="1458" ht="15" customHeight="1" x14ac:dyDescent="0.65"/>
    <row r="1459" ht="15" customHeight="1" x14ac:dyDescent="0.65"/>
    <row r="1460" ht="15" customHeight="1" x14ac:dyDescent="0.65"/>
    <row r="1461" ht="15" customHeight="1" x14ac:dyDescent="0.65"/>
    <row r="1462" ht="15" customHeight="1" x14ac:dyDescent="0.65"/>
    <row r="1463" ht="15" customHeight="1" x14ac:dyDescent="0.65"/>
    <row r="1464" ht="15" customHeight="1" x14ac:dyDescent="0.65"/>
    <row r="1465" ht="15" customHeight="1" x14ac:dyDescent="0.65"/>
    <row r="1466" ht="15" customHeight="1" x14ac:dyDescent="0.65"/>
    <row r="1467" ht="15" customHeight="1" x14ac:dyDescent="0.65"/>
    <row r="1468" ht="15" customHeight="1" x14ac:dyDescent="0.65"/>
    <row r="1469" ht="15" customHeight="1" x14ac:dyDescent="0.65"/>
    <row r="1470" ht="15" customHeight="1" x14ac:dyDescent="0.65"/>
    <row r="1471" ht="15" customHeight="1" x14ac:dyDescent="0.65"/>
    <row r="1472" ht="15" customHeight="1" x14ac:dyDescent="0.65"/>
    <row r="1473" ht="15" customHeight="1" x14ac:dyDescent="0.65"/>
    <row r="1474" ht="15" customHeight="1" x14ac:dyDescent="0.65"/>
    <row r="1475" ht="15" customHeight="1" x14ac:dyDescent="0.65"/>
    <row r="1477" ht="15" customHeight="1" x14ac:dyDescent="0.65"/>
    <row r="1478" ht="15" customHeight="1" x14ac:dyDescent="0.65"/>
    <row r="1479" ht="15" customHeight="1" x14ac:dyDescent="0.65"/>
    <row r="1480" ht="15" customHeight="1" x14ac:dyDescent="0.65"/>
    <row r="1481" ht="15" customHeight="1" x14ac:dyDescent="0.65"/>
    <row r="1482" ht="15" customHeight="1" x14ac:dyDescent="0.65"/>
    <row r="1483" ht="15" customHeight="1" x14ac:dyDescent="0.65"/>
    <row r="1484" ht="15" customHeight="1" x14ac:dyDescent="0.65"/>
    <row r="1485" ht="15" customHeight="1" x14ac:dyDescent="0.65"/>
    <row r="1486" ht="15" customHeight="1" x14ac:dyDescent="0.65"/>
    <row r="1487" ht="15" customHeight="1" x14ac:dyDescent="0.65"/>
    <row r="1489" spans="2:33" ht="15" customHeight="1" x14ac:dyDescent="0.65"/>
    <row r="1491" spans="2:33" ht="15" customHeight="1" x14ac:dyDescent="0.65"/>
    <row r="1492" spans="2:33" ht="15" customHeight="1" x14ac:dyDescent="0.65"/>
    <row r="1493" spans="2:33" ht="15" customHeight="1" x14ac:dyDescent="0.65"/>
    <row r="1494" spans="2:33" ht="15" customHeight="1" x14ac:dyDescent="0.65"/>
    <row r="1495" spans="2:33" ht="15" customHeight="1" x14ac:dyDescent="0.65"/>
    <row r="1496" spans="2:33" ht="15" customHeight="1" x14ac:dyDescent="0.65"/>
    <row r="1497" spans="2:33" ht="15" customHeight="1" x14ac:dyDescent="0.65"/>
    <row r="1498" spans="2:33" ht="15" customHeight="1" x14ac:dyDescent="0.65"/>
    <row r="1500" spans="2:33" ht="15" customHeight="1" x14ac:dyDescent="0.65"/>
    <row r="1501" spans="2:33" ht="15" customHeight="1" x14ac:dyDescent="0.65"/>
    <row r="1502" spans="2:33" ht="15" customHeight="1" x14ac:dyDescent="0.65">
      <c r="B1502" s="475"/>
      <c r="C1502" s="475"/>
      <c r="D1502" s="475"/>
      <c r="E1502" s="475"/>
      <c r="F1502" s="475"/>
      <c r="G1502" s="475"/>
      <c r="H1502" s="475"/>
      <c r="I1502" s="475"/>
      <c r="J1502" s="475"/>
      <c r="K1502" s="475"/>
      <c r="L1502" s="475"/>
      <c r="M1502" s="475"/>
      <c r="N1502" s="475"/>
      <c r="O1502" s="475"/>
      <c r="P1502" s="475"/>
      <c r="Q1502" s="475"/>
      <c r="R1502" s="475"/>
      <c r="S1502" s="475"/>
      <c r="T1502" s="475"/>
      <c r="U1502" s="475"/>
      <c r="V1502" s="475"/>
      <c r="W1502" s="475"/>
      <c r="X1502" s="475"/>
      <c r="Y1502" s="475"/>
      <c r="Z1502" s="475"/>
      <c r="AA1502" s="475"/>
      <c r="AB1502" s="475"/>
      <c r="AC1502" s="475"/>
      <c r="AD1502" s="475"/>
      <c r="AE1502" s="475"/>
      <c r="AF1502" s="475"/>
      <c r="AG1502" s="475"/>
    </row>
    <row r="1503" spans="2:33" ht="15" customHeight="1" x14ac:dyDescent="0.65"/>
    <row r="1504" spans="2:33" ht="15" customHeight="1" x14ac:dyDescent="0.65"/>
    <row r="1505" ht="15" customHeight="1" x14ac:dyDescent="0.65"/>
    <row r="1506" ht="15" customHeight="1" x14ac:dyDescent="0.65"/>
    <row r="1507" ht="15" customHeight="1" x14ac:dyDescent="0.65"/>
    <row r="1508" ht="15" customHeight="1" x14ac:dyDescent="0.65"/>
    <row r="1509" ht="15" customHeight="1" x14ac:dyDescent="0.65"/>
    <row r="1510" ht="15" customHeight="1" x14ac:dyDescent="0.65"/>
    <row r="1511" ht="15" customHeight="1" x14ac:dyDescent="0.65"/>
    <row r="1512" ht="15" customHeight="1" x14ac:dyDescent="0.65"/>
    <row r="1513" ht="15" customHeight="1" x14ac:dyDescent="0.65"/>
    <row r="1514" ht="15" customHeight="1" x14ac:dyDescent="0.65"/>
    <row r="1515" ht="15" customHeight="1" x14ac:dyDescent="0.65"/>
    <row r="1516" ht="15" customHeight="1" x14ac:dyDescent="0.65"/>
    <row r="1517" ht="15" customHeight="1" x14ac:dyDescent="0.65"/>
    <row r="1518" ht="15" customHeight="1" x14ac:dyDescent="0.65"/>
    <row r="1519" ht="15" customHeight="1" x14ac:dyDescent="0.65"/>
    <row r="1520" ht="15" customHeight="1" x14ac:dyDescent="0.65"/>
    <row r="1521" ht="15" customHeight="1" x14ac:dyDescent="0.65"/>
    <row r="1522" ht="15" customHeight="1" x14ac:dyDescent="0.65"/>
    <row r="1523" ht="15" customHeight="1" x14ac:dyDescent="0.65"/>
    <row r="1524" ht="15" customHeight="1" x14ac:dyDescent="0.65"/>
    <row r="1525" ht="15" customHeight="1" x14ac:dyDescent="0.65"/>
    <row r="1526" ht="15" customHeight="1" x14ac:dyDescent="0.65"/>
    <row r="1575" ht="15" customHeight="1" x14ac:dyDescent="0.65"/>
    <row r="1576" ht="15" customHeight="1" x14ac:dyDescent="0.65"/>
    <row r="1577" ht="15" customHeight="1" x14ac:dyDescent="0.65"/>
    <row r="1578" ht="15" customHeight="1" x14ac:dyDescent="0.65"/>
    <row r="1579" ht="15" customHeight="1" x14ac:dyDescent="0.65"/>
    <row r="1580" ht="15" customHeight="1" x14ac:dyDescent="0.65"/>
    <row r="1582" ht="15" customHeight="1" x14ac:dyDescent="0.65"/>
    <row r="1583" ht="15" customHeight="1" x14ac:dyDescent="0.65"/>
    <row r="1584" ht="15" customHeight="1" x14ac:dyDescent="0.65"/>
    <row r="1585" ht="15" customHeight="1" x14ac:dyDescent="0.65"/>
    <row r="1587" ht="15" customHeight="1" x14ac:dyDescent="0.65"/>
    <row r="1588" ht="15" customHeight="1" x14ac:dyDescent="0.65"/>
    <row r="1589" ht="15" customHeight="1" x14ac:dyDescent="0.65"/>
    <row r="1590" ht="15" customHeight="1" x14ac:dyDescent="0.65"/>
    <row r="1592" ht="15" customHeight="1" x14ac:dyDescent="0.65"/>
    <row r="1594" ht="15" customHeight="1" x14ac:dyDescent="0.65"/>
    <row r="1595" ht="15" customHeight="1" x14ac:dyDescent="0.65"/>
    <row r="1596" ht="15" customHeight="1" x14ac:dyDescent="0.65"/>
    <row r="1597" ht="15" customHeight="1" x14ac:dyDescent="0.65"/>
    <row r="1599" ht="15" customHeight="1" x14ac:dyDescent="0.65"/>
    <row r="1600" ht="15" customHeight="1" x14ac:dyDescent="0.65"/>
    <row r="1601" spans="2:33" ht="15" customHeight="1" x14ac:dyDescent="0.65"/>
    <row r="1602" spans="2:33" ht="15" customHeight="1" x14ac:dyDescent="0.65"/>
    <row r="1603" spans="2:33" ht="15" customHeight="1" x14ac:dyDescent="0.65"/>
    <row r="1604" spans="2:33" ht="15" customHeight="1" x14ac:dyDescent="0.65">
      <c r="B1604" s="475"/>
      <c r="C1604" s="475"/>
      <c r="D1604" s="475"/>
      <c r="E1604" s="475"/>
      <c r="F1604" s="475"/>
      <c r="G1604" s="475"/>
      <c r="H1604" s="475"/>
      <c r="I1604" s="475"/>
      <c r="J1604" s="475"/>
      <c r="K1604" s="475"/>
      <c r="L1604" s="475"/>
      <c r="M1604" s="475"/>
      <c r="N1604" s="475"/>
      <c r="O1604" s="475"/>
      <c r="P1604" s="475"/>
      <c r="Q1604" s="475"/>
      <c r="R1604" s="475"/>
      <c r="S1604" s="475"/>
      <c r="T1604" s="475"/>
      <c r="U1604" s="475"/>
      <c r="V1604" s="475"/>
      <c r="W1604" s="475"/>
      <c r="X1604" s="475"/>
      <c r="Y1604" s="475"/>
      <c r="Z1604" s="475"/>
      <c r="AA1604" s="475"/>
      <c r="AB1604" s="475"/>
      <c r="AC1604" s="475"/>
      <c r="AD1604" s="475"/>
      <c r="AE1604" s="475"/>
      <c r="AF1604" s="475"/>
      <c r="AG1604" s="475"/>
    </row>
    <row r="1605" spans="2:33" ht="15" customHeight="1" x14ac:dyDescent="0.65"/>
    <row r="1606" spans="2:33" ht="15" customHeight="1" x14ac:dyDescent="0.65"/>
    <row r="1607" spans="2:33" ht="15" customHeight="1" x14ac:dyDescent="0.65"/>
    <row r="1608" spans="2:33" ht="15" customHeight="1" x14ac:dyDescent="0.65"/>
    <row r="1609" spans="2:33" ht="15" customHeight="1" x14ac:dyDescent="0.65"/>
    <row r="1610" spans="2:33" ht="15" customHeight="1" x14ac:dyDescent="0.65"/>
    <row r="1611" spans="2:33" ht="15" customHeight="1" x14ac:dyDescent="0.65"/>
    <row r="1625" ht="15" customHeight="1" x14ac:dyDescent="0.65"/>
    <row r="1626" ht="15" customHeight="1" x14ac:dyDescent="0.65"/>
    <row r="1627" ht="15" customHeight="1" x14ac:dyDescent="0.65"/>
    <row r="1628" ht="15" customHeight="1" x14ac:dyDescent="0.65"/>
    <row r="1629" ht="15" customHeight="1" x14ac:dyDescent="0.65"/>
    <row r="1630" ht="15" customHeight="1" x14ac:dyDescent="0.65"/>
    <row r="1631" ht="15" customHeight="1" x14ac:dyDescent="0.65"/>
    <row r="1632" ht="15" customHeight="1" x14ac:dyDescent="0.65"/>
    <row r="1633" ht="15" customHeight="1" x14ac:dyDescent="0.65"/>
    <row r="1634" ht="15" customHeight="1" x14ac:dyDescent="0.65"/>
    <row r="1635" ht="15" customHeight="1" x14ac:dyDescent="0.65"/>
    <row r="1636" ht="15" customHeight="1" x14ac:dyDescent="0.65"/>
    <row r="1637" ht="15" customHeight="1" x14ac:dyDescent="0.65"/>
    <row r="1638" ht="15" customHeight="1" x14ac:dyDescent="0.65"/>
    <row r="1640" ht="15" customHeight="1" x14ac:dyDescent="0.65"/>
    <row r="1641" ht="15" customHeight="1" x14ac:dyDescent="0.65"/>
    <row r="1642" ht="15" customHeight="1" x14ac:dyDescent="0.65"/>
    <row r="1643" ht="15" customHeight="1" x14ac:dyDescent="0.65"/>
    <row r="1644" ht="15" customHeight="1" x14ac:dyDescent="0.65"/>
    <row r="1645" ht="15" customHeight="1" x14ac:dyDescent="0.65"/>
    <row r="1646" ht="15" customHeight="1" x14ac:dyDescent="0.65"/>
    <row r="1647" ht="15" customHeight="1" x14ac:dyDescent="0.65"/>
    <row r="1648" ht="15" customHeight="1" x14ac:dyDescent="0.65"/>
    <row r="1649" ht="15" customHeight="1" x14ac:dyDescent="0.65"/>
    <row r="1650" ht="15" customHeight="1" x14ac:dyDescent="0.65"/>
    <row r="1651" ht="15" customHeight="1" x14ac:dyDescent="0.65"/>
    <row r="1652" ht="15" customHeight="1" x14ac:dyDescent="0.65"/>
    <row r="1653" ht="15" customHeight="1" x14ac:dyDescent="0.65"/>
    <row r="1654" ht="15" customHeight="1" x14ac:dyDescent="0.65"/>
    <row r="1655" ht="15" customHeight="1" x14ac:dyDescent="0.65"/>
    <row r="1656" ht="15" customHeight="1" x14ac:dyDescent="0.65"/>
    <row r="1657" ht="15" customHeight="1" x14ac:dyDescent="0.65"/>
    <row r="1658" ht="15" customHeight="1" x14ac:dyDescent="0.65"/>
    <row r="1659" ht="15" customHeight="1" x14ac:dyDescent="0.65"/>
    <row r="1660" ht="15" customHeight="1" x14ac:dyDescent="0.65"/>
    <row r="1661" ht="15" customHeight="1" x14ac:dyDescent="0.65"/>
    <row r="1662" ht="15" customHeight="1" x14ac:dyDescent="0.65"/>
    <row r="1663" ht="15" customHeight="1" x14ac:dyDescent="0.65"/>
    <row r="1665" ht="15" customHeight="1" x14ac:dyDescent="0.65"/>
    <row r="1668" ht="15" customHeight="1" x14ac:dyDescent="0.65"/>
    <row r="1669" ht="15" customHeight="1" x14ac:dyDescent="0.65"/>
    <row r="1670" ht="15" customHeight="1" x14ac:dyDescent="0.65"/>
    <row r="1671" ht="15" customHeight="1" x14ac:dyDescent="0.65"/>
    <row r="1672" ht="15" customHeight="1" x14ac:dyDescent="0.65"/>
    <row r="1673" ht="15" customHeight="1" x14ac:dyDescent="0.65"/>
    <row r="1674" ht="15" customHeight="1" x14ac:dyDescent="0.65"/>
    <row r="1675" ht="15" customHeight="1" x14ac:dyDescent="0.65"/>
    <row r="1676" ht="15" customHeight="1" x14ac:dyDescent="0.65"/>
    <row r="1677" ht="15" customHeight="1" x14ac:dyDescent="0.65"/>
    <row r="1678" ht="15" customHeight="1" x14ac:dyDescent="0.65"/>
    <row r="1679" ht="15" customHeight="1" x14ac:dyDescent="0.65"/>
    <row r="1680" ht="15" customHeight="1" x14ac:dyDescent="0.65"/>
    <row r="1681" ht="15" customHeight="1" x14ac:dyDescent="0.65"/>
    <row r="1682" ht="15" customHeight="1" x14ac:dyDescent="0.65"/>
    <row r="1683" ht="15" customHeight="1" x14ac:dyDescent="0.65"/>
    <row r="1684" ht="15" customHeight="1" x14ac:dyDescent="0.65"/>
    <row r="1686" ht="15" customHeight="1" x14ac:dyDescent="0.65"/>
    <row r="1688" ht="15" customHeight="1" x14ac:dyDescent="0.65"/>
    <row r="1689" ht="15" customHeight="1" x14ac:dyDescent="0.65"/>
    <row r="1690" ht="15" customHeight="1" x14ac:dyDescent="0.65"/>
    <row r="1691" ht="15" customHeight="1" x14ac:dyDescent="0.65"/>
    <row r="1692" ht="15" customHeight="1" x14ac:dyDescent="0.65"/>
    <row r="1693" ht="15" customHeight="1" x14ac:dyDescent="0.65"/>
    <row r="1694" ht="15" customHeight="1" x14ac:dyDescent="0.65"/>
    <row r="1695" ht="15" customHeight="1" x14ac:dyDescent="0.65"/>
    <row r="1697" spans="2:33" ht="15" customHeight="1" x14ac:dyDescent="0.65"/>
    <row r="1698" spans="2:33" ht="15" customHeight="1" x14ac:dyDescent="0.65">
      <c r="B1698" s="475"/>
      <c r="C1698" s="475"/>
      <c r="D1698" s="475"/>
      <c r="E1698" s="475"/>
      <c r="F1698" s="475"/>
      <c r="G1698" s="475"/>
      <c r="H1698" s="475"/>
      <c r="I1698" s="475"/>
      <c r="J1698" s="475"/>
      <c r="K1698" s="475"/>
      <c r="L1698" s="475"/>
      <c r="M1698" s="475"/>
      <c r="N1698" s="475"/>
      <c r="O1698" s="475"/>
      <c r="P1698" s="475"/>
      <c r="Q1698" s="475"/>
      <c r="R1698" s="475"/>
      <c r="S1698" s="475"/>
      <c r="T1698" s="475"/>
      <c r="U1698" s="475"/>
      <c r="V1698" s="475"/>
      <c r="W1698" s="475"/>
      <c r="X1698" s="475"/>
      <c r="Y1698" s="475"/>
      <c r="Z1698" s="475"/>
      <c r="AA1698" s="475"/>
      <c r="AB1698" s="475"/>
      <c r="AC1698" s="475"/>
      <c r="AD1698" s="475"/>
      <c r="AE1698" s="475"/>
      <c r="AF1698" s="475"/>
      <c r="AG1698" s="475"/>
    </row>
    <row r="1699" spans="2:33" ht="15" customHeight="1" x14ac:dyDescent="0.65"/>
    <row r="1700" spans="2:33" ht="15" customHeight="1" x14ac:dyDescent="0.65"/>
    <row r="1701" spans="2:33" ht="15" customHeight="1" x14ac:dyDescent="0.65"/>
    <row r="1702" spans="2:33" ht="15" customHeight="1" x14ac:dyDescent="0.65"/>
    <row r="1703" spans="2:33" ht="15" customHeight="1" x14ac:dyDescent="0.65"/>
    <row r="1704" spans="2:33" ht="15" customHeight="1" x14ac:dyDescent="0.65"/>
    <row r="1705" spans="2:33" ht="15" customHeight="1" x14ac:dyDescent="0.65"/>
    <row r="1706" spans="2:33" ht="15" customHeight="1" x14ac:dyDescent="0.65"/>
    <row r="1707" spans="2:33" ht="15" customHeight="1" x14ac:dyDescent="0.65"/>
    <row r="1708" spans="2:33" ht="15" customHeight="1" x14ac:dyDescent="0.65"/>
    <row r="1709" spans="2:33" ht="15" customHeight="1" x14ac:dyDescent="0.65"/>
    <row r="1710" spans="2:33" ht="15" customHeight="1" x14ac:dyDescent="0.65"/>
    <row r="1711" spans="2:33" ht="15" customHeight="1" x14ac:dyDescent="0.65"/>
    <row r="1712" spans="2:33" ht="15" customHeight="1" x14ac:dyDescent="0.65"/>
    <row r="1713" ht="15" customHeight="1" x14ac:dyDescent="0.65"/>
    <row r="1714" ht="15" customHeight="1" x14ac:dyDescent="0.65"/>
    <row r="1715" ht="15" customHeight="1" x14ac:dyDescent="0.65"/>
    <row r="1716" ht="15" customHeight="1" x14ac:dyDescent="0.65"/>
    <row r="1717" ht="15" customHeight="1" x14ac:dyDescent="0.65"/>
    <row r="1718" ht="15" customHeight="1" x14ac:dyDescent="0.65"/>
    <row r="1719" ht="15" customHeight="1" x14ac:dyDescent="0.65"/>
    <row r="1720" ht="15" customHeight="1" x14ac:dyDescent="0.65"/>
    <row r="1721" ht="15" customHeight="1" x14ac:dyDescent="0.65"/>
    <row r="1722" ht="15" customHeight="1" x14ac:dyDescent="0.65"/>
    <row r="1723" ht="15" customHeight="1" x14ac:dyDescent="0.65"/>
    <row r="1724" ht="15" customHeight="1" x14ac:dyDescent="0.65"/>
    <row r="1725" ht="15" customHeight="1" x14ac:dyDescent="0.65"/>
    <row r="1726" ht="15" customHeight="1" x14ac:dyDescent="0.65"/>
    <row r="1850" ht="15" customHeight="1" x14ac:dyDescent="0.65"/>
    <row r="1851" ht="15" customHeight="1" x14ac:dyDescent="0.65"/>
    <row r="1852" ht="15" customHeight="1" x14ac:dyDescent="0.65"/>
    <row r="1853" ht="15" customHeight="1" x14ac:dyDescent="0.65"/>
    <row r="1854" ht="15" customHeight="1" x14ac:dyDescent="0.65"/>
    <row r="1855" ht="15" customHeight="1" x14ac:dyDescent="0.65"/>
    <row r="1856" ht="15" customHeight="1" x14ac:dyDescent="0.65"/>
    <row r="1857" ht="15" customHeight="1" x14ac:dyDescent="0.65"/>
    <row r="1858" ht="15" customHeight="1" x14ac:dyDescent="0.65"/>
    <row r="1859" ht="15" customHeight="1" x14ac:dyDescent="0.65"/>
    <row r="1861" ht="15" customHeight="1" x14ac:dyDescent="0.65"/>
    <row r="1863" ht="15" customHeight="1" x14ac:dyDescent="0.65"/>
    <row r="1864" ht="15" customHeight="1" x14ac:dyDescent="0.65"/>
    <row r="1865" ht="15" customHeight="1" x14ac:dyDescent="0.65"/>
    <row r="1867" ht="15" customHeight="1" x14ac:dyDescent="0.65"/>
    <row r="1868" ht="15" customHeight="1" x14ac:dyDescent="0.65"/>
    <row r="1869" ht="15" customHeight="1" x14ac:dyDescent="0.65"/>
    <row r="1870" ht="15" customHeight="1" x14ac:dyDescent="0.65"/>
    <row r="1872" ht="15" customHeight="1" x14ac:dyDescent="0.65"/>
    <row r="1873" ht="15" customHeight="1" x14ac:dyDescent="0.65"/>
    <row r="1874" ht="15" customHeight="1" x14ac:dyDescent="0.65"/>
    <row r="1875" ht="15" customHeight="1" x14ac:dyDescent="0.65"/>
    <row r="1876" ht="15" customHeight="1" x14ac:dyDescent="0.65"/>
    <row r="1878" ht="15" customHeight="1" x14ac:dyDescent="0.65"/>
    <row r="1879" ht="15" customHeight="1" x14ac:dyDescent="0.65"/>
    <row r="1880" ht="15" customHeight="1" x14ac:dyDescent="0.65"/>
    <row r="1881" ht="15" customHeight="1" x14ac:dyDescent="0.65"/>
    <row r="1882" ht="15" customHeight="1" x14ac:dyDescent="0.65"/>
    <row r="1883" ht="15" customHeight="1" x14ac:dyDescent="0.65"/>
    <row r="1884" ht="15" customHeight="1" x14ac:dyDescent="0.65"/>
    <row r="1885" ht="15" customHeight="1" x14ac:dyDescent="0.65"/>
    <row r="1886" ht="15" customHeight="1" x14ac:dyDescent="0.65"/>
    <row r="1888" ht="15" customHeight="1" x14ac:dyDescent="0.65"/>
    <row r="1889" ht="15" customHeight="1" x14ac:dyDescent="0.65"/>
    <row r="1890" ht="15" customHeight="1" x14ac:dyDescent="0.65"/>
    <row r="1891" ht="15" customHeight="1" x14ac:dyDescent="0.65"/>
    <row r="1893" ht="15" customHeight="1" x14ac:dyDescent="0.65"/>
    <row r="1894" ht="15" customHeight="1" x14ac:dyDescent="0.65"/>
    <row r="1895" ht="15" customHeight="1" x14ac:dyDescent="0.65"/>
    <row r="1896" ht="15" customHeight="1" x14ac:dyDescent="0.65"/>
    <row r="1897" ht="15" customHeight="1" x14ac:dyDescent="0.65"/>
    <row r="1898" ht="15" customHeight="1" x14ac:dyDescent="0.65"/>
    <row r="1899" ht="15" customHeight="1" x14ac:dyDescent="0.65"/>
    <row r="1900" ht="15" customHeight="1" x14ac:dyDescent="0.65"/>
    <row r="1903" ht="15" customHeight="1" x14ac:dyDescent="0.65"/>
    <row r="1904" ht="15" customHeight="1" x14ac:dyDescent="0.65"/>
    <row r="1905" ht="15" customHeight="1" x14ac:dyDescent="0.65"/>
    <row r="1906" ht="15" customHeight="1" x14ac:dyDescent="0.65"/>
    <row r="1907" ht="15" customHeight="1" x14ac:dyDescent="0.65"/>
    <row r="1909" ht="15" customHeight="1" x14ac:dyDescent="0.65"/>
    <row r="1910" ht="15" customHeight="1" x14ac:dyDescent="0.65"/>
    <row r="1911" ht="15" customHeight="1" x14ac:dyDescent="0.65"/>
    <row r="1912" ht="15" customHeight="1" x14ac:dyDescent="0.65"/>
    <row r="1913" ht="15" customHeight="1" x14ac:dyDescent="0.65"/>
    <row r="1915" ht="15" customHeight="1" x14ac:dyDescent="0.65"/>
    <row r="1916" ht="15" customHeight="1" x14ac:dyDescent="0.65"/>
    <row r="1917" ht="15" customHeight="1" x14ac:dyDescent="0.65"/>
    <row r="1919" ht="15" customHeight="1" x14ac:dyDescent="0.65"/>
    <row r="1920" ht="15" customHeight="1" x14ac:dyDescent="0.65"/>
    <row r="1921" ht="15" customHeight="1" x14ac:dyDescent="0.65"/>
    <row r="1922" ht="15" customHeight="1" x14ac:dyDescent="0.65"/>
    <row r="1924" ht="15" customHeight="1" x14ac:dyDescent="0.65"/>
    <row r="1925" ht="15" customHeight="1" x14ac:dyDescent="0.65"/>
    <row r="1926" ht="15" customHeight="1" x14ac:dyDescent="0.65"/>
    <row r="1927" ht="15" customHeight="1" x14ac:dyDescent="0.65"/>
    <row r="1928" ht="15" customHeight="1" x14ac:dyDescent="0.65"/>
    <row r="1929" ht="15" customHeight="1" x14ac:dyDescent="0.65"/>
    <row r="1930" ht="15" customHeight="1" x14ac:dyDescent="0.65"/>
    <row r="1931" ht="15" customHeight="1" x14ac:dyDescent="0.65"/>
    <row r="1933" ht="15" customHeight="1" x14ac:dyDescent="0.65"/>
    <row r="1934" ht="15" customHeight="1" x14ac:dyDescent="0.65"/>
    <row r="1935" ht="15" customHeight="1" x14ac:dyDescent="0.65"/>
    <row r="1937" spans="2:33" ht="15" customHeight="1" x14ac:dyDescent="0.65"/>
    <row r="1938" spans="2:33" ht="15" customHeight="1" x14ac:dyDescent="0.65"/>
    <row r="1939" spans="2:33" ht="15" customHeight="1" x14ac:dyDescent="0.65"/>
    <row r="1940" spans="2:33" ht="15" customHeight="1" x14ac:dyDescent="0.65"/>
    <row r="1941" spans="2:33" ht="15" customHeight="1" x14ac:dyDescent="0.65"/>
    <row r="1942" spans="2:33" ht="15" customHeight="1" x14ac:dyDescent="0.65"/>
    <row r="1943" spans="2:33" ht="15" customHeight="1" x14ac:dyDescent="0.65"/>
    <row r="1944" spans="2:33" ht="15" customHeight="1" x14ac:dyDescent="0.65"/>
    <row r="1945" spans="2:33" ht="15" customHeight="1" x14ac:dyDescent="0.65">
      <c r="B1945" s="475"/>
      <c r="C1945" s="475"/>
      <c r="D1945" s="475"/>
      <c r="E1945" s="475"/>
      <c r="F1945" s="475"/>
      <c r="G1945" s="475"/>
      <c r="H1945" s="475"/>
      <c r="I1945" s="475"/>
      <c r="J1945" s="475"/>
      <c r="K1945" s="475"/>
      <c r="L1945" s="475"/>
      <c r="M1945" s="475"/>
      <c r="N1945" s="475"/>
      <c r="O1945" s="475"/>
      <c r="P1945" s="475"/>
      <c r="Q1945" s="475"/>
      <c r="R1945" s="475"/>
      <c r="S1945" s="475"/>
      <c r="T1945" s="475"/>
      <c r="U1945" s="475"/>
      <c r="V1945" s="475"/>
      <c r="W1945" s="475"/>
      <c r="X1945" s="475"/>
      <c r="Y1945" s="475"/>
      <c r="Z1945" s="475"/>
      <c r="AA1945" s="475"/>
      <c r="AB1945" s="475"/>
      <c r="AC1945" s="475"/>
      <c r="AD1945" s="475"/>
      <c r="AE1945" s="475"/>
      <c r="AF1945" s="475"/>
      <c r="AG1945" s="475"/>
    </row>
    <row r="1946" spans="2:33" ht="15" customHeight="1" x14ac:dyDescent="0.65"/>
    <row r="1947" spans="2:33" ht="15" customHeight="1" x14ac:dyDescent="0.65"/>
    <row r="1948" spans="2:33" ht="15" customHeight="1" x14ac:dyDescent="0.65"/>
    <row r="1949" spans="2:33" ht="15" customHeight="1" x14ac:dyDescent="0.65"/>
    <row r="1950" spans="2:33" ht="15" customHeight="1" x14ac:dyDescent="0.65"/>
    <row r="1951" spans="2:33" ht="15" customHeight="1" x14ac:dyDescent="0.65"/>
    <row r="1952" spans="2:33" ht="15" customHeight="1" x14ac:dyDescent="0.65"/>
    <row r="1953" ht="15" customHeight="1" x14ac:dyDescent="0.65"/>
    <row r="1954" ht="15" customHeight="1" x14ac:dyDescent="0.65"/>
    <row r="1955" ht="15" customHeight="1" x14ac:dyDescent="0.65"/>
    <row r="1975" ht="15" customHeight="1" x14ac:dyDescent="0.65"/>
    <row r="1976" ht="15" customHeight="1" x14ac:dyDescent="0.65"/>
    <row r="1977" ht="15" customHeight="1" x14ac:dyDescent="0.65"/>
    <row r="1978" ht="15" customHeight="1" x14ac:dyDescent="0.65"/>
    <row r="1979" ht="15" customHeight="1" x14ac:dyDescent="0.65"/>
    <row r="1980" ht="15" customHeight="1" x14ac:dyDescent="0.65"/>
    <row r="1981" ht="15" customHeight="1" x14ac:dyDescent="0.65"/>
    <row r="1982" ht="15" customHeight="1" x14ac:dyDescent="0.65"/>
    <row r="1984" ht="15" customHeight="1" x14ac:dyDescent="0.65"/>
    <row r="1985" ht="15" customHeight="1" x14ac:dyDescent="0.65"/>
    <row r="1986" ht="15" customHeight="1" x14ac:dyDescent="0.65"/>
    <row r="1988" ht="15" customHeight="1" x14ac:dyDescent="0.65"/>
    <row r="1990" ht="15" customHeight="1" x14ac:dyDescent="0.65"/>
    <row r="1991" ht="15" customHeight="1" x14ac:dyDescent="0.65"/>
    <row r="1992" ht="15" customHeight="1" x14ac:dyDescent="0.65"/>
    <row r="1993" ht="15" customHeight="1" x14ac:dyDescent="0.65"/>
    <row r="1994" ht="15" customHeight="1" x14ac:dyDescent="0.65"/>
    <row r="1995" ht="15" customHeight="1" x14ac:dyDescent="0.65"/>
    <row r="1996" ht="15" customHeight="1" x14ac:dyDescent="0.65"/>
    <row r="1997" ht="15" customHeight="1" x14ac:dyDescent="0.65"/>
    <row r="1998" ht="15" customHeight="1" x14ac:dyDescent="0.65"/>
    <row r="1999" ht="15" customHeight="1" x14ac:dyDescent="0.65"/>
    <row r="2000" ht="15" customHeight="1" x14ac:dyDescent="0.65"/>
    <row r="2001" ht="15" customHeight="1" x14ac:dyDescent="0.65"/>
    <row r="2002" ht="15" customHeight="1" x14ac:dyDescent="0.65"/>
    <row r="2004" ht="15" customHeight="1" x14ac:dyDescent="0.65"/>
    <row r="2006" ht="15" customHeight="1" x14ac:dyDescent="0.65"/>
    <row r="2008" ht="15" customHeight="1" x14ac:dyDescent="0.65"/>
    <row r="2009" ht="15" customHeight="1" x14ac:dyDescent="0.65"/>
    <row r="2011" ht="15" customHeight="1" x14ac:dyDescent="0.65"/>
    <row r="2012" ht="15" customHeight="1" x14ac:dyDescent="0.65"/>
    <row r="2013" ht="15" customHeight="1" x14ac:dyDescent="0.65"/>
    <row r="2014" ht="15" customHeight="1" x14ac:dyDescent="0.65"/>
    <row r="2015" ht="15" customHeight="1" x14ac:dyDescent="0.65"/>
    <row r="2016" ht="15" customHeight="1" x14ac:dyDescent="0.65"/>
    <row r="2017" spans="2:33" ht="15" customHeight="1" x14ac:dyDescent="0.65"/>
    <row r="2018" spans="2:33" ht="15" customHeight="1" x14ac:dyDescent="0.65"/>
    <row r="2019" spans="2:33" ht="15" customHeight="1" x14ac:dyDescent="0.65"/>
    <row r="2020" spans="2:33" ht="15" customHeight="1" x14ac:dyDescent="0.65"/>
    <row r="2022" spans="2:33" ht="15" customHeight="1" x14ac:dyDescent="0.65"/>
    <row r="2023" spans="2:33" ht="15" customHeight="1" x14ac:dyDescent="0.65"/>
    <row r="2024" spans="2:33" ht="15" customHeight="1" x14ac:dyDescent="0.65"/>
    <row r="2025" spans="2:33" ht="15" customHeight="1" x14ac:dyDescent="0.65"/>
    <row r="2026" spans="2:33" ht="15" customHeight="1" x14ac:dyDescent="0.65"/>
    <row r="2027" spans="2:33" ht="15" customHeight="1" x14ac:dyDescent="0.65"/>
    <row r="2028" spans="2:33" ht="15" customHeight="1" x14ac:dyDescent="0.65"/>
    <row r="2029" spans="2:33" ht="15" customHeight="1" x14ac:dyDescent="0.65"/>
    <row r="2030" spans="2:33" ht="15" customHeight="1" x14ac:dyDescent="0.65"/>
    <row r="2031" spans="2:33" ht="15" customHeight="1" x14ac:dyDescent="0.65">
      <c r="B2031" s="475"/>
      <c r="C2031" s="475"/>
      <c r="D2031" s="475"/>
      <c r="E2031" s="475"/>
      <c r="F2031" s="475"/>
      <c r="G2031" s="475"/>
      <c r="H2031" s="475"/>
      <c r="I2031" s="475"/>
      <c r="J2031" s="475"/>
      <c r="K2031" s="475"/>
      <c r="L2031" s="475"/>
      <c r="M2031" s="475"/>
      <c r="N2031" s="475"/>
      <c r="O2031" s="475"/>
      <c r="P2031" s="475"/>
      <c r="Q2031" s="475"/>
      <c r="R2031" s="475"/>
      <c r="S2031" s="475"/>
      <c r="T2031" s="475"/>
      <c r="U2031" s="475"/>
      <c r="V2031" s="475"/>
      <c r="W2031" s="475"/>
      <c r="X2031" s="475"/>
      <c r="Y2031" s="475"/>
      <c r="Z2031" s="475"/>
      <c r="AA2031" s="475"/>
      <c r="AB2031" s="475"/>
      <c r="AC2031" s="475"/>
      <c r="AD2031" s="475"/>
      <c r="AE2031" s="475"/>
      <c r="AF2031" s="475"/>
      <c r="AG2031" s="475"/>
    </row>
    <row r="2032" spans="2:33" ht="15" customHeight="1" x14ac:dyDescent="0.65"/>
    <row r="2033" ht="15" customHeight="1" x14ac:dyDescent="0.65"/>
    <row r="2034" ht="15" customHeight="1" x14ac:dyDescent="0.65"/>
    <row r="2035" ht="15" customHeight="1" x14ac:dyDescent="0.65"/>
    <row r="2036" ht="15" customHeight="1" x14ac:dyDescent="0.65"/>
    <row r="2037" ht="15" customHeight="1" x14ac:dyDescent="0.65"/>
    <row r="2038" ht="15" customHeight="1" x14ac:dyDescent="0.65"/>
    <row r="2039" ht="15" customHeight="1" x14ac:dyDescent="0.65"/>
    <row r="2040" ht="15" customHeight="1" x14ac:dyDescent="0.65"/>
    <row r="2041" ht="15" customHeight="1" x14ac:dyDescent="0.65"/>
    <row r="2042" ht="15" customHeight="1" x14ac:dyDescent="0.65"/>
    <row r="2043" ht="15" customHeight="1" x14ac:dyDescent="0.65"/>
    <row r="2044" ht="15" customHeight="1" x14ac:dyDescent="0.65"/>
    <row r="2045" ht="15" customHeight="1" x14ac:dyDescent="0.65"/>
    <row r="2046" ht="15" customHeight="1" x14ac:dyDescent="0.65"/>
    <row r="2047" ht="15" customHeight="1" x14ac:dyDescent="0.65"/>
    <row r="2048" ht="15" customHeight="1" x14ac:dyDescent="0.65"/>
    <row r="2049" ht="15" customHeight="1" x14ac:dyDescent="0.65"/>
    <row r="2050" ht="15" customHeight="1" x14ac:dyDescent="0.65"/>
    <row r="2051" ht="15" customHeight="1" x14ac:dyDescent="0.65"/>
    <row r="2052" ht="15" customHeight="1" x14ac:dyDescent="0.65"/>
    <row r="2053" ht="15" customHeight="1" x14ac:dyDescent="0.65"/>
    <row r="2100" ht="15" customHeight="1" x14ac:dyDescent="0.65"/>
    <row r="2101" ht="15" customHeight="1" x14ac:dyDescent="0.65"/>
    <row r="2102" ht="15" customHeight="1" x14ac:dyDescent="0.65"/>
    <row r="2103" ht="15" customHeight="1" x14ac:dyDescent="0.65"/>
    <row r="2104" ht="15" customHeight="1" x14ac:dyDescent="0.65"/>
    <row r="2105" ht="15" customHeight="1" x14ac:dyDescent="0.65"/>
    <row r="2107" ht="15" customHeight="1" x14ac:dyDescent="0.65"/>
    <row r="2108" ht="15" customHeight="1" x14ac:dyDescent="0.65"/>
    <row r="2110" ht="15" customHeight="1" x14ac:dyDescent="0.65"/>
    <row r="2111" ht="15" customHeight="1" x14ac:dyDescent="0.65"/>
    <row r="2112" ht="15" customHeight="1" x14ac:dyDescent="0.65"/>
    <row r="2113" ht="15" customHeight="1" x14ac:dyDescent="0.65"/>
    <row r="2114" ht="15" customHeight="1" x14ac:dyDescent="0.65"/>
    <row r="2115" ht="15" customHeight="1" x14ac:dyDescent="0.65"/>
    <row r="2116" ht="15" customHeight="1" x14ac:dyDescent="0.65"/>
    <row r="2117" ht="15" customHeight="1" x14ac:dyDescent="0.65"/>
    <row r="2118" ht="15" customHeight="1" x14ac:dyDescent="0.65"/>
    <row r="2119" ht="15" customHeight="1" x14ac:dyDescent="0.65"/>
    <row r="2120" ht="15" customHeight="1" x14ac:dyDescent="0.65"/>
    <row r="2121" ht="15" customHeight="1" x14ac:dyDescent="0.65"/>
    <row r="2122" ht="15" customHeight="1" x14ac:dyDescent="0.65"/>
    <row r="2124" ht="15" customHeight="1" x14ac:dyDescent="0.65"/>
    <row r="2125" ht="15" customHeight="1" x14ac:dyDescent="0.65"/>
    <row r="2126" ht="15" customHeight="1" x14ac:dyDescent="0.65"/>
    <row r="2127" ht="15" customHeight="1" x14ac:dyDescent="0.65"/>
    <row r="2128" ht="15" customHeight="1" x14ac:dyDescent="0.65"/>
    <row r="2129" ht="15" customHeight="1" x14ac:dyDescent="0.65"/>
    <row r="2131" ht="15" customHeight="1" x14ac:dyDescent="0.65"/>
    <row r="2133" ht="15" customHeight="1" x14ac:dyDescent="0.65"/>
    <row r="2134" ht="15" customHeight="1" x14ac:dyDescent="0.65"/>
    <row r="2136" ht="15" customHeight="1" x14ac:dyDescent="0.65"/>
    <row r="2137" ht="15" customHeight="1" x14ac:dyDescent="0.65"/>
    <row r="2138" ht="15" customHeight="1" x14ac:dyDescent="0.65"/>
    <row r="2139" ht="15" customHeight="1" x14ac:dyDescent="0.65"/>
    <row r="2140" ht="15" customHeight="1" x14ac:dyDescent="0.65"/>
    <row r="2141" ht="15" customHeight="1" x14ac:dyDescent="0.65"/>
    <row r="2142" ht="15" customHeight="1" x14ac:dyDescent="0.65"/>
    <row r="2143" ht="15" customHeight="1" x14ac:dyDescent="0.65"/>
    <row r="2144" ht="15" customHeight="1" x14ac:dyDescent="0.65"/>
    <row r="2145" spans="2:33" ht="15" customHeight="1" x14ac:dyDescent="0.65"/>
    <row r="2146" spans="2:33" ht="15" customHeight="1" x14ac:dyDescent="0.65"/>
    <row r="2148" spans="2:33" ht="15" customHeight="1" x14ac:dyDescent="0.65"/>
    <row r="2151" spans="2:33" ht="15" customHeight="1" x14ac:dyDescent="0.65"/>
    <row r="2152" spans="2:33" ht="15" customHeight="1" x14ac:dyDescent="0.65"/>
    <row r="2153" spans="2:33" ht="15" customHeight="1" x14ac:dyDescent="0.65">
      <c r="B2153" s="475"/>
      <c r="C2153" s="475"/>
      <c r="D2153" s="475"/>
      <c r="E2153" s="475"/>
      <c r="F2153" s="475"/>
      <c r="G2153" s="475"/>
      <c r="H2153" s="475"/>
      <c r="I2153" s="475"/>
      <c r="J2153" s="475"/>
      <c r="K2153" s="475"/>
      <c r="L2153" s="475"/>
      <c r="M2153" s="475"/>
      <c r="N2153" s="475"/>
      <c r="O2153" s="475"/>
      <c r="P2153" s="475"/>
      <c r="Q2153" s="475"/>
      <c r="R2153" s="475"/>
      <c r="S2153" s="475"/>
      <c r="T2153" s="475"/>
      <c r="U2153" s="475"/>
      <c r="V2153" s="475"/>
      <c r="W2153" s="475"/>
      <c r="X2153" s="475"/>
      <c r="Y2153" s="475"/>
      <c r="Z2153" s="475"/>
      <c r="AA2153" s="475"/>
      <c r="AB2153" s="475"/>
      <c r="AC2153" s="475"/>
      <c r="AD2153" s="475"/>
      <c r="AE2153" s="475"/>
      <c r="AF2153" s="475"/>
      <c r="AG2153" s="475"/>
    </row>
    <row r="2154" spans="2:33" ht="15" customHeight="1" x14ac:dyDescent="0.65"/>
    <row r="2155" spans="2:33" ht="15" customHeight="1" x14ac:dyDescent="0.65"/>
    <row r="2156" spans="2:33" ht="15" customHeight="1" x14ac:dyDescent="0.65"/>
    <row r="2157" spans="2:33" ht="15" customHeight="1" x14ac:dyDescent="0.65"/>
    <row r="2158" spans="2:33" ht="15" customHeight="1" x14ac:dyDescent="0.65"/>
    <row r="2159" spans="2:33" ht="15" customHeight="1" x14ac:dyDescent="0.65"/>
    <row r="2160" spans="2:33" ht="15" customHeight="1" x14ac:dyDescent="0.65"/>
    <row r="2161" ht="15" customHeight="1" x14ac:dyDescent="0.65"/>
    <row r="2162" ht="15" customHeight="1" x14ac:dyDescent="0.65"/>
    <row r="2250" ht="15" customHeight="1" x14ac:dyDescent="0.65"/>
    <row r="2251" ht="15" customHeight="1" x14ac:dyDescent="0.65"/>
    <row r="2252" ht="15" customHeight="1" x14ac:dyDescent="0.65"/>
    <row r="2253" ht="15" customHeight="1" x14ac:dyDescent="0.65"/>
    <row r="2254" ht="15" customHeight="1" x14ac:dyDescent="0.65"/>
    <row r="2255" ht="15" customHeight="1" x14ac:dyDescent="0.65"/>
    <row r="2256" ht="15" customHeight="1" x14ac:dyDescent="0.65"/>
    <row r="2257" ht="15" customHeight="1" x14ac:dyDescent="0.65"/>
    <row r="2258" ht="15" customHeight="1" x14ac:dyDescent="0.65"/>
    <row r="2260" ht="15" customHeight="1" x14ac:dyDescent="0.65"/>
    <row r="2261" ht="15" customHeight="1" x14ac:dyDescent="0.65"/>
    <row r="2262" ht="15" customHeight="1" x14ac:dyDescent="0.65"/>
    <row r="2264" ht="15" customHeight="1" x14ac:dyDescent="0.65"/>
    <row r="2266" ht="15" customHeight="1" x14ac:dyDescent="0.65"/>
    <row r="2267" ht="15" customHeight="1" x14ac:dyDescent="0.65"/>
    <row r="2268" ht="15" customHeight="1" x14ac:dyDescent="0.65"/>
    <row r="2269" ht="15" customHeight="1" x14ac:dyDescent="0.65"/>
    <row r="2271" ht="15" customHeight="1" x14ac:dyDescent="0.65"/>
    <row r="2273" ht="15" customHeight="1" x14ac:dyDescent="0.65"/>
    <row r="2274" ht="15" customHeight="1" x14ac:dyDescent="0.65"/>
    <row r="2275" ht="15" customHeight="1" x14ac:dyDescent="0.65"/>
    <row r="2276" ht="15" customHeight="1" x14ac:dyDescent="0.65"/>
    <row r="2277" ht="15" customHeight="1" x14ac:dyDescent="0.65"/>
    <row r="2278" ht="15" customHeight="1" x14ac:dyDescent="0.65"/>
    <row r="2279" ht="15" customHeight="1" x14ac:dyDescent="0.65"/>
    <row r="2280" ht="15" customHeight="1" x14ac:dyDescent="0.65"/>
    <row r="2282" ht="15" customHeight="1" x14ac:dyDescent="0.65"/>
    <row r="2284" ht="15" customHeight="1" x14ac:dyDescent="0.65"/>
    <row r="2285" ht="15" customHeight="1" x14ac:dyDescent="0.65"/>
    <row r="2286" ht="15" customHeight="1" x14ac:dyDescent="0.65"/>
    <row r="2288" ht="15" customHeight="1" x14ac:dyDescent="0.65"/>
    <row r="2289" ht="15" customHeight="1" x14ac:dyDescent="0.65"/>
    <row r="2290" ht="15" customHeight="1" x14ac:dyDescent="0.65"/>
    <row r="2291" ht="15" customHeight="1" x14ac:dyDescent="0.65"/>
    <row r="2292" ht="15" customHeight="1" x14ac:dyDescent="0.65"/>
    <row r="2293" ht="15" customHeight="1" x14ac:dyDescent="0.65"/>
    <row r="2294" ht="15" customHeight="1" x14ac:dyDescent="0.65"/>
    <row r="2295" ht="15" customHeight="1" x14ac:dyDescent="0.65"/>
    <row r="2296" ht="15" customHeight="1" x14ac:dyDescent="0.65"/>
    <row r="2297" ht="15" customHeight="1" x14ac:dyDescent="0.65"/>
    <row r="2298" ht="15" customHeight="1" x14ac:dyDescent="0.65"/>
    <row r="2301" ht="15" customHeight="1" x14ac:dyDescent="0.65"/>
    <row r="2302" ht="15" customHeight="1" x14ac:dyDescent="0.65"/>
    <row r="2303" ht="15" customHeight="1" x14ac:dyDescent="0.65"/>
    <row r="2305" spans="2:33" ht="15" customHeight="1" x14ac:dyDescent="0.65"/>
    <row r="2306" spans="2:33" ht="15" customHeight="1" x14ac:dyDescent="0.65"/>
    <row r="2307" spans="2:33" ht="15" customHeight="1" x14ac:dyDescent="0.65"/>
    <row r="2308" spans="2:33" ht="15" customHeight="1" x14ac:dyDescent="0.65"/>
    <row r="2309" spans="2:33" ht="15" customHeight="1" x14ac:dyDescent="0.65"/>
    <row r="2310" spans="2:33" ht="15" customHeight="1" x14ac:dyDescent="0.65"/>
    <row r="2311" spans="2:33" ht="15" customHeight="1" x14ac:dyDescent="0.65"/>
    <row r="2312" spans="2:33" ht="15" customHeight="1" x14ac:dyDescent="0.65"/>
    <row r="2313" spans="2:33" ht="15" customHeight="1" x14ac:dyDescent="0.65"/>
    <row r="2314" spans="2:33" ht="15" customHeight="1" x14ac:dyDescent="0.65"/>
    <row r="2315" spans="2:33" ht="15" customHeight="1" x14ac:dyDescent="0.65"/>
    <row r="2316" spans="2:33" ht="15" customHeight="1" x14ac:dyDescent="0.65"/>
    <row r="2317" spans="2:33" ht="15" customHeight="1" x14ac:dyDescent="0.65">
      <c r="B2317" s="475"/>
      <c r="C2317" s="475"/>
      <c r="D2317" s="475"/>
      <c r="E2317" s="475"/>
      <c r="F2317" s="475"/>
      <c r="G2317" s="475"/>
      <c r="H2317" s="475"/>
      <c r="I2317" s="475"/>
      <c r="J2317" s="475"/>
      <c r="K2317" s="475"/>
      <c r="L2317" s="475"/>
      <c r="M2317" s="475"/>
      <c r="N2317" s="475"/>
      <c r="O2317" s="475"/>
      <c r="P2317" s="475"/>
      <c r="Q2317" s="475"/>
      <c r="R2317" s="475"/>
      <c r="S2317" s="475"/>
      <c r="T2317" s="475"/>
      <c r="U2317" s="475"/>
      <c r="V2317" s="475"/>
      <c r="W2317" s="475"/>
      <c r="X2317" s="475"/>
      <c r="Y2317" s="475"/>
      <c r="Z2317" s="475"/>
      <c r="AA2317" s="475"/>
      <c r="AB2317" s="475"/>
      <c r="AC2317" s="475"/>
      <c r="AD2317" s="475"/>
      <c r="AE2317" s="475"/>
      <c r="AF2317" s="475"/>
      <c r="AG2317" s="475"/>
    </row>
    <row r="2318" spans="2:33" ht="15" customHeight="1" x14ac:dyDescent="0.65"/>
    <row r="2319" spans="2:33" ht="15" customHeight="1" x14ac:dyDescent="0.65"/>
    <row r="2320" spans="2:33" ht="15" customHeight="1" x14ac:dyDescent="0.65"/>
    <row r="2321" ht="15" customHeight="1" x14ac:dyDescent="0.65"/>
    <row r="2322" ht="15" customHeight="1" x14ac:dyDescent="0.65"/>
    <row r="2323" ht="15" customHeight="1" x14ac:dyDescent="0.65"/>
    <row r="2324" ht="15" customHeight="1" x14ac:dyDescent="0.65"/>
    <row r="2325" ht="15" customHeight="1" x14ac:dyDescent="0.65"/>
    <row r="2326" ht="15" customHeight="1" x14ac:dyDescent="0.65"/>
    <row r="2327" ht="15" customHeight="1" x14ac:dyDescent="0.65"/>
    <row r="2328" ht="15" customHeight="1" x14ac:dyDescent="0.65"/>
    <row r="2329" ht="15" customHeight="1" x14ac:dyDescent="0.65"/>
    <row r="2330" ht="15" customHeight="1" x14ac:dyDescent="0.65"/>
    <row r="2331" ht="15" customHeight="1" x14ac:dyDescent="0.65"/>
    <row r="2332" ht="15" customHeight="1" x14ac:dyDescent="0.65"/>
    <row r="2333" ht="15" customHeight="1" x14ac:dyDescent="0.65"/>
    <row r="2334" ht="15" customHeight="1" x14ac:dyDescent="0.65"/>
    <row r="2350" ht="15" customHeight="1" x14ac:dyDescent="0.65"/>
    <row r="2351" ht="15" customHeight="1" x14ac:dyDescent="0.65"/>
    <row r="2352" ht="15" customHeight="1" x14ac:dyDescent="0.65"/>
    <row r="2353" ht="15" customHeight="1" x14ac:dyDescent="0.65"/>
    <row r="2354" ht="15" customHeight="1" x14ac:dyDescent="0.65"/>
    <row r="2355" ht="15" customHeight="1" x14ac:dyDescent="0.65"/>
    <row r="2356" ht="15" customHeight="1" x14ac:dyDescent="0.65"/>
    <row r="2357" ht="15" customHeight="1" x14ac:dyDescent="0.65"/>
    <row r="2358" ht="15" customHeight="1" x14ac:dyDescent="0.65"/>
    <row r="2359" ht="15" customHeight="1" x14ac:dyDescent="0.65"/>
    <row r="2360" ht="15" customHeight="1" x14ac:dyDescent="0.65"/>
    <row r="2361" ht="15" customHeight="1" x14ac:dyDescent="0.65"/>
    <row r="2362" ht="15" customHeight="1" x14ac:dyDescent="0.65"/>
    <row r="2363" ht="15" customHeight="1" x14ac:dyDescent="0.65"/>
    <row r="2364" ht="15" customHeight="1" x14ac:dyDescent="0.65"/>
    <row r="2365" ht="15" customHeight="1" x14ac:dyDescent="0.65"/>
    <row r="2367" ht="15" customHeight="1" x14ac:dyDescent="0.65"/>
    <row r="2368" ht="15" customHeight="1" x14ac:dyDescent="0.65"/>
    <row r="2369" ht="15" customHeight="1" x14ac:dyDescent="0.65"/>
    <row r="2370" ht="15" customHeight="1" x14ac:dyDescent="0.65"/>
    <row r="2371" ht="15" customHeight="1" x14ac:dyDescent="0.65"/>
    <row r="2372" ht="15" customHeight="1" x14ac:dyDescent="0.65"/>
    <row r="2373" ht="15" customHeight="1" x14ac:dyDescent="0.65"/>
    <row r="2374" ht="15" customHeight="1" x14ac:dyDescent="0.65"/>
    <row r="2375" ht="15" customHeight="1" x14ac:dyDescent="0.65"/>
    <row r="2376" ht="15" customHeight="1" x14ac:dyDescent="0.65"/>
    <row r="2377" ht="15" customHeight="1" x14ac:dyDescent="0.65"/>
    <row r="2378" ht="15" customHeight="1" x14ac:dyDescent="0.65"/>
    <row r="2380" ht="15" customHeight="1" x14ac:dyDescent="0.65"/>
    <row r="2381" ht="15" customHeight="1" x14ac:dyDescent="0.65"/>
    <row r="2382" ht="15" customHeight="1" x14ac:dyDescent="0.65"/>
    <row r="2383" ht="15" customHeight="1" x14ac:dyDescent="0.65"/>
    <row r="2384" ht="15" customHeight="1" x14ac:dyDescent="0.65"/>
    <row r="2385" ht="15" customHeight="1" x14ac:dyDescent="0.65"/>
    <row r="2386" ht="15" customHeight="1" x14ac:dyDescent="0.65"/>
    <row r="2387" ht="15" customHeight="1" x14ac:dyDescent="0.65"/>
    <row r="2388" ht="15" customHeight="1" x14ac:dyDescent="0.65"/>
    <row r="2390" ht="15" customHeight="1" x14ac:dyDescent="0.65"/>
    <row r="2391" ht="15" customHeight="1" x14ac:dyDescent="0.65"/>
    <row r="2392" ht="15" customHeight="1" x14ac:dyDescent="0.65"/>
    <row r="2393" ht="15" customHeight="1" x14ac:dyDescent="0.65"/>
    <row r="2394" ht="15" customHeight="1" x14ac:dyDescent="0.65"/>
    <row r="2395" ht="15" customHeight="1" x14ac:dyDescent="0.65"/>
    <row r="2396" ht="15" customHeight="1" x14ac:dyDescent="0.65"/>
    <row r="2397" ht="15" customHeight="1" x14ac:dyDescent="0.65"/>
    <row r="2400" ht="15" customHeight="1" x14ac:dyDescent="0.65"/>
    <row r="2401" ht="15" customHeight="1" x14ac:dyDescent="0.65"/>
    <row r="2402" ht="15" customHeight="1" x14ac:dyDescent="0.65"/>
    <row r="2403" ht="15" customHeight="1" x14ac:dyDescent="0.65"/>
    <row r="2404" ht="15" customHeight="1" x14ac:dyDescent="0.65"/>
    <row r="2405" ht="15" customHeight="1" x14ac:dyDescent="0.65"/>
    <row r="2406" ht="15" customHeight="1" x14ac:dyDescent="0.65"/>
    <row r="2407" ht="15" customHeight="1" x14ac:dyDescent="0.65"/>
    <row r="2408" ht="15" customHeight="1" x14ac:dyDescent="0.65"/>
    <row r="2410" ht="15" customHeight="1" x14ac:dyDescent="0.65"/>
    <row r="2411" ht="15" customHeight="1" x14ac:dyDescent="0.65"/>
    <row r="2412" ht="15" customHeight="1" x14ac:dyDescent="0.65"/>
    <row r="2413" ht="15" customHeight="1" x14ac:dyDescent="0.65"/>
    <row r="2414" ht="15" customHeight="1" x14ac:dyDescent="0.65"/>
    <row r="2415" ht="15" customHeight="1" x14ac:dyDescent="0.65"/>
    <row r="2416" ht="15" customHeight="1" x14ac:dyDescent="0.65"/>
    <row r="2417" spans="2:33" ht="15" customHeight="1" x14ac:dyDescent="0.65"/>
    <row r="2418" spans="2:33" ht="15" customHeight="1" x14ac:dyDescent="0.65"/>
    <row r="2419" spans="2:33" ht="15" customHeight="1" x14ac:dyDescent="0.65">
      <c r="B2419" s="475"/>
      <c r="C2419" s="475"/>
      <c r="D2419" s="475"/>
      <c r="E2419" s="475"/>
      <c r="F2419" s="475"/>
      <c r="G2419" s="475"/>
      <c r="H2419" s="475"/>
      <c r="I2419" s="475"/>
      <c r="J2419" s="475"/>
      <c r="K2419" s="475"/>
      <c r="L2419" s="475"/>
      <c r="M2419" s="475"/>
      <c r="N2419" s="475"/>
      <c r="O2419" s="475"/>
      <c r="P2419" s="475"/>
      <c r="Q2419" s="475"/>
      <c r="R2419" s="475"/>
      <c r="S2419" s="475"/>
      <c r="T2419" s="475"/>
      <c r="U2419" s="475"/>
      <c r="V2419" s="475"/>
      <c r="W2419" s="475"/>
      <c r="X2419" s="475"/>
      <c r="Y2419" s="475"/>
      <c r="Z2419" s="475"/>
      <c r="AA2419" s="475"/>
      <c r="AB2419" s="475"/>
      <c r="AC2419" s="475"/>
      <c r="AD2419" s="475"/>
      <c r="AE2419" s="475"/>
      <c r="AF2419" s="475"/>
      <c r="AG2419" s="475"/>
    </row>
    <row r="2420" spans="2:33" ht="15" customHeight="1" x14ac:dyDescent="0.65"/>
    <row r="2421" spans="2:33" ht="15" customHeight="1" x14ac:dyDescent="0.65"/>
    <row r="2422" spans="2:33" ht="15" customHeight="1" x14ac:dyDescent="0.65"/>
    <row r="2423" spans="2:33" ht="15" customHeight="1" x14ac:dyDescent="0.65"/>
    <row r="2424" spans="2:33" ht="15" customHeight="1" x14ac:dyDescent="0.65"/>
    <row r="2425" spans="2:33" ht="15" customHeight="1" x14ac:dyDescent="0.65"/>
    <row r="2426" spans="2:33" ht="15" customHeight="1" x14ac:dyDescent="0.65"/>
    <row r="2427" spans="2:33" ht="15" customHeight="1" x14ac:dyDescent="0.65"/>
    <row r="2428" spans="2:33" ht="15" customHeight="1" x14ac:dyDescent="0.65"/>
    <row r="2429" spans="2:33" ht="15" customHeight="1" x14ac:dyDescent="0.65"/>
    <row r="2430" spans="2:33" ht="15" customHeight="1" x14ac:dyDescent="0.65"/>
    <row r="2431" spans="2:33" ht="15" customHeight="1" x14ac:dyDescent="0.65"/>
    <row r="2432" spans="2:33" ht="15" customHeight="1" x14ac:dyDescent="0.65"/>
    <row r="2433" ht="15" customHeight="1" x14ac:dyDescent="0.65"/>
    <row r="2434" ht="15" customHeight="1" x14ac:dyDescent="0.65"/>
    <row r="2435" ht="15" customHeight="1" x14ac:dyDescent="0.65"/>
    <row r="2436" ht="15" customHeight="1" x14ac:dyDescent="0.65"/>
    <row r="2437" ht="15" customHeight="1" x14ac:dyDescent="0.65"/>
    <row r="2438" ht="15" customHeight="1" x14ac:dyDescent="0.65"/>
    <row r="2450" ht="15" customHeight="1" x14ac:dyDescent="0.65"/>
    <row r="2451" ht="15" customHeight="1" x14ac:dyDescent="0.65"/>
    <row r="2452" ht="15" customHeight="1" x14ac:dyDescent="0.65"/>
    <row r="2453" ht="15" customHeight="1" x14ac:dyDescent="0.65"/>
    <row r="2454" ht="15" customHeight="1" x14ac:dyDescent="0.65"/>
    <row r="2455" ht="15" customHeight="1" x14ac:dyDescent="0.65"/>
    <row r="2457" ht="15" customHeight="1" x14ac:dyDescent="0.65"/>
    <row r="2459" ht="15" customHeight="1" x14ac:dyDescent="0.65"/>
    <row r="2461" ht="15" customHeight="1" x14ac:dyDescent="0.65"/>
    <row r="2462" ht="15" customHeight="1" x14ac:dyDescent="0.65"/>
    <row r="2463" ht="15" customHeight="1" x14ac:dyDescent="0.65"/>
    <row r="2464" ht="15" customHeight="1" x14ac:dyDescent="0.65"/>
    <row r="2465" ht="15" customHeight="1" x14ac:dyDescent="0.65"/>
    <row r="2467" ht="15" customHeight="1" x14ac:dyDescent="0.65"/>
    <row r="2468" ht="15" customHeight="1" x14ac:dyDescent="0.65"/>
    <row r="2469" ht="15" customHeight="1" x14ac:dyDescent="0.65"/>
    <row r="2470" ht="15" customHeight="1" x14ac:dyDescent="0.65"/>
    <row r="2471" ht="15" customHeight="1" x14ac:dyDescent="0.65"/>
    <row r="2472" ht="15" customHeight="1" x14ac:dyDescent="0.65"/>
    <row r="2473" ht="15" customHeight="1" x14ac:dyDescent="0.65"/>
    <row r="2475" ht="15" customHeight="1" x14ac:dyDescent="0.65"/>
    <row r="2476" ht="15" customHeight="1" x14ac:dyDescent="0.65"/>
    <row r="2477" ht="15" customHeight="1" x14ac:dyDescent="0.65"/>
    <row r="2478" ht="15" customHeight="1" x14ac:dyDescent="0.65"/>
    <row r="2479" ht="15" customHeight="1" x14ac:dyDescent="0.65"/>
    <row r="2480" ht="15" customHeight="1" x14ac:dyDescent="0.65"/>
    <row r="2481" ht="15" customHeight="1" x14ac:dyDescent="0.65"/>
    <row r="2482" ht="15" customHeight="1" x14ac:dyDescent="0.65"/>
    <row r="2483" ht="15" customHeight="1" x14ac:dyDescent="0.65"/>
    <row r="2484" ht="15" customHeight="1" x14ac:dyDescent="0.65"/>
    <row r="2486" ht="15" customHeight="1" x14ac:dyDescent="0.65"/>
    <row r="2488" ht="15" customHeight="1" x14ac:dyDescent="0.65"/>
    <row r="2489" ht="15" customHeight="1" x14ac:dyDescent="0.65"/>
    <row r="2490" ht="15" customHeight="1" x14ac:dyDescent="0.65"/>
    <row r="2491" ht="15" customHeight="1" x14ac:dyDescent="0.65"/>
    <row r="2492" ht="15" customHeight="1" x14ac:dyDescent="0.65"/>
    <row r="2495" ht="15" customHeight="1" x14ac:dyDescent="0.65"/>
    <row r="2496" ht="15" customHeight="1" x14ac:dyDescent="0.65"/>
    <row r="2498" spans="2:33" ht="15" customHeight="1" x14ac:dyDescent="0.65"/>
    <row r="2499" spans="2:33" ht="15" customHeight="1" x14ac:dyDescent="0.65"/>
    <row r="2500" spans="2:33" ht="15" customHeight="1" x14ac:dyDescent="0.65"/>
    <row r="2501" spans="2:33" ht="15" customHeight="1" x14ac:dyDescent="0.65"/>
    <row r="2502" spans="2:33" ht="15" customHeight="1" x14ac:dyDescent="0.65"/>
    <row r="2504" spans="2:33" ht="15" customHeight="1" x14ac:dyDescent="0.65"/>
    <row r="2505" spans="2:33" ht="15" customHeight="1" x14ac:dyDescent="0.65"/>
    <row r="2506" spans="2:33" ht="15" customHeight="1" x14ac:dyDescent="0.65"/>
    <row r="2507" spans="2:33" ht="15" customHeight="1" x14ac:dyDescent="0.65"/>
    <row r="2508" spans="2:33" ht="15" customHeight="1" x14ac:dyDescent="0.65"/>
    <row r="2509" spans="2:33" ht="15" customHeight="1" x14ac:dyDescent="0.65">
      <c r="B2509" s="475"/>
      <c r="C2509" s="475"/>
      <c r="D2509" s="475"/>
      <c r="E2509" s="475"/>
      <c r="F2509" s="475"/>
      <c r="G2509" s="475"/>
      <c r="H2509" s="475"/>
      <c r="I2509" s="475"/>
      <c r="J2509" s="475"/>
      <c r="K2509" s="475"/>
      <c r="L2509" s="475"/>
      <c r="M2509" s="475"/>
      <c r="N2509" s="475"/>
      <c r="O2509" s="475"/>
      <c r="P2509" s="475"/>
      <c r="Q2509" s="475"/>
      <c r="R2509" s="475"/>
      <c r="S2509" s="475"/>
      <c r="T2509" s="475"/>
      <c r="U2509" s="475"/>
      <c r="V2509" s="475"/>
      <c r="W2509" s="475"/>
      <c r="X2509" s="475"/>
      <c r="Y2509" s="475"/>
      <c r="Z2509" s="475"/>
      <c r="AA2509" s="475"/>
      <c r="AB2509" s="475"/>
      <c r="AC2509" s="475"/>
      <c r="AD2509" s="475"/>
      <c r="AE2509" s="475"/>
      <c r="AF2509" s="475"/>
      <c r="AG2509" s="475"/>
    </row>
    <row r="2510" spans="2:33" ht="15" customHeight="1" x14ac:dyDescent="0.65"/>
    <row r="2511" spans="2:33" ht="15" customHeight="1" x14ac:dyDescent="0.65"/>
    <row r="2512" spans="2:33" ht="15" customHeight="1" x14ac:dyDescent="0.65"/>
    <row r="2513" ht="15" customHeight="1" x14ac:dyDescent="0.65"/>
    <row r="2514" ht="15" customHeight="1" x14ac:dyDescent="0.65"/>
    <row r="2515" ht="15" customHeight="1" x14ac:dyDescent="0.65"/>
    <row r="2516" ht="15" customHeight="1" x14ac:dyDescent="0.65"/>
    <row r="2517" ht="15" customHeight="1" x14ac:dyDescent="0.65"/>
    <row r="2518" ht="15" customHeight="1" x14ac:dyDescent="0.65"/>
    <row r="2519" ht="15" customHeight="1" x14ac:dyDescent="0.65"/>
    <row r="2520" ht="15" customHeight="1" x14ac:dyDescent="0.65"/>
    <row r="2521" ht="15" customHeight="1" x14ac:dyDescent="0.65"/>
    <row r="2522" ht="15" customHeight="1" x14ac:dyDescent="0.65"/>
    <row r="2523" ht="15" customHeight="1" x14ac:dyDescent="0.65"/>
    <row r="2524" ht="15" customHeight="1" x14ac:dyDescent="0.65"/>
    <row r="2525" ht="15" customHeight="1" x14ac:dyDescent="0.65"/>
    <row r="2526" ht="15" customHeight="1" x14ac:dyDescent="0.65"/>
    <row r="2527" ht="15" customHeight="1" x14ac:dyDescent="0.65"/>
    <row r="2528" ht="15" customHeight="1" x14ac:dyDescent="0.65"/>
    <row r="2529" ht="15" customHeight="1" x14ac:dyDescent="0.65"/>
    <row r="2550" ht="15" customHeight="1" x14ac:dyDescent="0.65"/>
    <row r="2551" ht="15" customHeight="1" x14ac:dyDescent="0.65"/>
    <row r="2552" ht="15" customHeight="1" x14ac:dyDescent="0.65"/>
    <row r="2553" ht="15" customHeight="1" x14ac:dyDescent="0.65"/>
    <row r="2554" ht="15" customHeight="1" x14ac:dyDescent="0.65"/>
    <row r="2555" ht="15" customHeight="1" x14ac:dyDescent="0.65"/>
    <row r="2556" ht="15" customHeight="1" x14ac:dyDescent="0.65"/>
    <row r="2557" ht="15" customHeight="1" x14ac:dyDescent="0.65"/>
    <row r="2558" ht="15" customHeight="1" x14ac:dyDescent="0.65"/>
    <row r="2559" ht="15" customHeight="1" x14ac:dyDescent="0.65"/>
    <row r="2561" ht="15" customHeight="1" x14ac:dyDescent="0.65"/>
    <row r="2562" ht="15" customHeight="1" x14ac:dyDescent="0.65"/>
    <row r="2563" ht="15" customHeight="1" x14ac:dyDescent="0.65"/>
    <row r="2564" ht="15" customHeight="1" x14ac:dyDescent="0.65"/>
    <row r="2565" ht="15" customHeight="1" x14ac:dyDescent="0.65"/>
    <row r="2566" ht="15" customHeight="1" x14ac:dyDescent="0.65"/>
    <row r="2568" ht="15" customHeight="1" x14ac:dyDescent="0.65"/>
    <row r="2569" ht="15" customHeight="1" x14ac:dyDescent="0.65"/>
    <row r="2570" ht="15" customHeight="1" x14ac:dyDescent="0.65"/>
    <row r="2571" ht="15" customHeight="1" x14ac:dyDescent="0.65"/>
    <row r="2572" ht="15" customHeight="1" x14ac:dyDescent="0.65"/>
    <row r="2573" ht="15" customHeight="1" x14ac:dyDescent="0.65"/>
    <row r="2575" ht="15" customHeight="1" x14ac:dyDescent="0.65"/>
    <row r="2576" ht="15" customHeight="1" x14ac:dyDescent="0.65"/>
    <row r="2577" ht="15" customHeight="1" x14ac:dyDescent="0.65"/>
    <row r="2578" ht="15" customHeight="1" x14ac:dyDescent="0.65"/>
    <row r="2579" ht="15" customHeight="1" x14ac:dyDescent="0.65"/>
    <row r="2581" ht="15" customHeight="1" x14ac:dyDescent="0.65"/>
    <row r="2582" ht="15" customHeight="1" x14ac:dyDescent="0.65"/>
    <row r="2583" ht="15" customHeight="1" x14ac:dyDescent="0.65"/>
    <row r="2584" ht="15" customHeight="1" x14ac:dyDescent="0.65"/>
    <row r="2585" ht="15" customHeight="1" x14ac:dyDescent="0.65"/>
    <row r="2586" ht="15" customHeight="1" x14ac:dyDescent="0.65"/>
    <row r="2588" ht="15" customHeight="1" x14ac:dyDescent="0.65"/>
    <row r="2589" ht="15" customHeight="1" x14ac:dyDescent="0.65"/>
    <row r="2590" ht="15" customHeight="1" x14ac:dyDescent="0.65"/>
    <row r="2591" ht="15" customHeight="1" x14ac:dyDescent="0.65"/>
    <row r="2592" ht="15" customHeight="1" x14ac:dyDescent="0.65"/>
    <row r="2593" spans="2:33" ht="15" customHeight="1" x14ac:dyDescent="0.65"/>
    <row r="2595" spans="2:33" ht="15" customHeight="1" x14ac:dyDescent="0.65"/>
    <row r="2596" spans="2:33" ht="15" customHeight="1" x14ac:dyDescent="0.65"/>
    <row r="2597" spans="2:33" ht="15" customHeight="1" x14ac:dyDescent="0.65"/>
    <row r="2598" spans="2:33" ht="15" customHeight="1" x14ac:dyDescent="0.65">
      <c r="B2598" s="475"/>
      <c r="C2598" s="475"/>
      <c r="D2598" s="475"/>
      <c r="E2598" s="475"/>
      <c r="F2598" s="475"/>
      <c r="G2598" s="475"/>
      <c r="H2598" s="475"/>
      <c r="I2598" s="475"/>
      <c r="J2598" s="475"/>
      <c r="K2598" s="475"/>
      <c r="L2598" s="475"/>
      <c r="M2598" s="475"/>
      <c r="N2598" s="475"/>
      <c r="O2598" s="475"/>
      <c r="P2598" s="475"/>
      <c r="Q2598" s="475"/>
      <c r="R2598" s="475"/>
      <c r="S2598" s="475"/>
      <c r="T2598" s="475"/>
      <c r="U2598" s="475"/>
      <c r="V2598" s="475"/>
      <c r="W2598" s="475"/>
      <c r="X2598" s="475"/>
      <c r="Y2598" s="475"/>
      <c r="Z2598" s="475"/>
      <c r="AA2598" s="475"/>
      <c r="AB2598" s="475"/>
      <c r="AC2598" s="475"/>
      <c r="AD2598" s="475"/>
      <c r="AE2598" s="475"/>
      <c r="AF2598" s="475"/>
      <c r="AG2598" s="475"/>
    </row>
    <row r="2599" spans="2:33" ht="15" customHeight="1" x14ac:dyDescent="0.65"/>
    <row r="2600" spans="2:33" ht="15" customHeight="1" x14ac:dyDescent="0.65"/>
    <row r="2601" spans="2:33" ht="15" customHeight="1" x14ac:dyDescent="0.65"/>
    <row r="2602" spans="2:33" ht="15" customHeight="1" x14ac:dyDescent="0.65"/>
    <row r="2603" spans="2:33" ht="15" customHeight="1" x14ac:dyDescent="0.65"/>
    <row r="2604" spans="2:33" ht="15" customHeight="1" x14ac:dyDescent="0.65"/>
    <row r="2605" spans="2:33" ht="15" customHeight="1" x14ac:dyDescent="0.65"/>
    <row r="2606" spans="2:33" ht="15" customHeight="1" x14ac:dyDescent="0.65"/>
    <row r="2607" spans="2:33" ht="15" customHeight="1" x14ac:dyDescent="0.65"/>
    <row r="2608" spans="2:33" ht="15" customHeight="1" x14ac:dyDescent="0.65"/>
    <row r="2609" ht="15" customHeight="1" x14ac:dyDescent="0.65"/>
    <row r="2610" ht="15" customHeight="1" x14ac:dyDescent="0.65"/>
    <row r="2611" ht="15" customHeight="1" x14ac:dyDescent="0.65"/>
    <row r="2612" ht="15" customHeight="1" x14ac:dyDescent="0.65"/>
    <row r="2613" ht="15" customHeight="1" x14ac:dyDescent="0.65"/>
    <row r="2614" ht="15" customHeight="1" x14ac:dyDescent="0.65"/>
    <row r="2625" ht="15" customHeight="1" x14ac:dyDescent="0.65"/>
    <row r="2626" ht="15" customHeight="1" x14ac:dyDescent="0.65"/>
    <row r="2627" ht="15" customHeight="1" x14ac:dyDescent="0.65"/>
    <row r="2628" ht="15" customHeight="1" x14ac:dyDescent="0.65"/>
    <row r="2629" ht="15" customHeight="1" x14ac:dyDescent="0.65"/>
    <row r="2630" ht="15" customHeight="1" x14ac:dyDescent="0.65"/>
    <row r="2631" ht="15" customHeight="1" x14ac:dyDescent="0.65"/>
    <row r="2632" ht="15" customHeight="1" x14ac:dyDescent="0.65"/>
    <row r="2633" ht="15" customHeight="1" x14ac:dyDescent="0.65"/>
    <row r="2634" ht="15" customHeight="1" x14ac:dyDescent="0.65"/>
    <row r="2635" ht="15" customHeight="1" x14ac:dyDescent="0.65"/>
    <row r="2636" ht="15" customHeight="1" x14ac:dyDescent="0.65"/>
    <row r="2637" ht="15" customHeight="1" x14ac:dyDescent="0.65"/>
    <row r="2638" ht="15" customHeight="1" x14ac:dyDescent="0.65"/>
    <row r="2639" ht="15" customHeight="1" x14ac:dyDescent="0.65"/>
    <row r="2640" ht="15" customHeight="1" x14ac:dyDescent="0.65"/>
    <row r="2641" ht="15" customHeight="1" x14ac:dyDescent="0.65"/>
    <row r="2642" ht="15" customHeight="1" x14ac:dyDescent="0.65"/>
    <row r="2643" ht="15" customHeight="1" x14ac:dyDescent="0.65"/>
    <row r="2644" ht="15" customHeight="1" x14ac:dyDescent="0.65"/>
    <row r="2645" ht="15" customHeight="1" x14ac:dyDescent="0.65"/>
    <row r="2646" ht="15" customHeight="1" x14ac:dyDescent="0.65"/>
    <row r="2648" ht="15" customHeight="1" x14ac:dyDescent="0.65"/>
    <row r="2649" ht="15" customHeight="1" x14ac:dyDescent="0.65"/>
    <row r="2650" ht="15" customHeight="1" x14ac:dyDescent="0.65"/>
    <row r="2651" ht="15" customHeight="1" x14ac:dyDescent="0.65"/>
    <row r="2652" ht="15" customHeight="1" x14ac:dyDescent="0.65"/>
    <row r="2653" ht="15" customHeight="1" x14ac:dyDescent="0.65"/>
    <row r="2654" ht="15" customHeight="1" x14ac:dyDescent="0.65"/>
    <row r="2655" ht="15" customHeight="1" x14ac:dyDescent="0.65"/>
    <row r="2656" ht="15" customHeight="1" x14ac:dyDescent="0.65"/>
    <row r="2657" ht="15" customHeight="1" x14ac:dyDescent="0.65"/>
    <row r="2658" ht="15" customHeight="1" x14ac:dyDescent="0.65"/>
    <row r="2659" ht="15" customHeight="1" x14ac:dyDescent="0.65"/>
    <row r="2662" ht="15" customHeight="1" x14ac:dyDescent="0.65"/>
    <row r="2663" ht="15" customHeight="1" x14ac:dyDescent="0.65"/>
    <row r="2664" ht="15" customHeight="1" x14ac:dyDescent="0.65"/>
    <row r="2665" ht="15" customHeight="1" x14ac:dyDescent="0.65"/>
    <row r="2666" ht="15" customHeight="1" x14ac:dyDescent="0.65"/>
    <row r="2667" ht="15" customHeight="1" x14ac:dyDescent="0.65"/>
    <row r="2668" ht="15" customHeight="1" x14ac:dyDescent="0.65"/>
    <row r="2669" ht="15" customHeight="1" x14ac:dyDescent="0.65"/>
    <row r="2670" ht="15" customHeight="1" x14ac:dyDescent="0.65"/>
    <row r="2671" ht="15" customHeight="1" x14ac:dyDescent="0.65"/>
    <row r="2672" ht="15" customHeight="1" x14ac:dyDescent="0.65"/>
    <row r="2673" ht="15" customHeight="1" x14ac:dyDescent="0.65"/>
    <row r="2674" ht="15" customHeight="1" x14ac:dyDescent="0.65"/>
    <row r="2675" ht="15" customHeight="1" x14ac:dyDescent="0.65"/>
    <row r="2676" ht="15" customHeight="1" x14ac:dyDescent="0.65"/>
    <row r="2677" ht="15" customHeight="1" x14ac:dyDescent="0.65"/>
    <row r="2678" ht="15" customHeight="1" x14ac:dyDescent="0.65"/>
    <row r="2679" ht="15" customHeight="1" x14ac:dyDescent="0.65"/>
    <row r="2680" ht="15" customHeight="1" x14ac:dyDescent="0.65"/>
    <row r="2681" ht="15" customHeight="1" x14ac:dyDescent="0.65"/>
    <row r="2682" ht="15" customHeight="1" x14ac:dyDescent="0.65"/>
    <row r="2683" ht="15" customHeight="1" x14ac:dyDescent="0.65"/>
    <row r="2684" ht="15" customHeight="1" x14ac:dyDescent="0.65"/>
    <row r="2685" ht="15" customHeight="1" x14ac:dyDescent="0.65"/>
    <row r="2686" ht="15" customHeight="1" x14ac:dyDescent="0.65"/>
    <row r="2687" ht="15" customHeight="1" x14ac:dyDescent="0.65"/>
    <row r="2689" ht="15" customHeight="1" x14ac:dyDescent="0.65"/>
    <row r="2690" ht="15" customHeight="1" x14ac:dyDescent="0.65"/>
    <row r="2691" ht="15" customHeight="1" x14ac:dyDescent="0.65"/>
    <row r="2692" ht="15" customHeight="1" x14ac:dyDescent="0.65"/>
    <row r="2693" ht="15" customHeight="1" x14ac:dyDescent="0.65"/>
    <row r="2694" ht="15" customHeight="1" x14ac:dyDescent="0.65"/>
    <row r="2695" ht="15" customHeight="1" x14ac:dyDescent="0.65"/>
    <row r="2696" ht="15" customHeight="1" x14ac:dyDescent="0.65"/>
    <row r="2697" ht="15" customHeight="1" x14ac:dyDescent="0.65"/>
    <row r="2698" ht="15" customHeight="1" x14ac:dyDescent="0.65"/>
    <row r="2699" ht="15" customHeight="1" x14ac:dyDescent="0.65"/>
    <row r="2700" ht="15" customHeight="1" x14ac:dyDescent="0.65"/>
    <row r="2701" ht="15" customHeight="1" x14ac:dyDescent="0.65"/>
    <row r="2702" ht="15" customHeight="1" x14ac:dyDescent="0.65"/>
    <row r="2703" ht="15" customHeight="1" x14ac:dyDescent="0.65"/>
    <row r="2704" ht="15" customHeight="1" x14ac:dyDescent="0.65"/>
    <row r="2707" spans="2:33" ht="15" customHeight="1" x14ac:dyDescent="0.65"/>
    <row r="2708" spans="2:33" ht="15" customHeight="1" x14ac:dyDescent="0.65"/>
    <row r="2709" spans="2:33" ht="15" customHeight="1" x14ac:dyDescent="0.65"/>
    <row r="2710" spans="2:33" ht="15" customHeight="1" x14ac:dyDescent="0.65"/>
    <row r="2711" spans="2:33" ht="15" customHeight="1" x14ac:dyDescent="0.65"/>
    <row r="2712" spans="2:33" ht="15" customHeight="1" x14ac:dyDescent="0.65"/>
    <row r="2713" spans="2:33" ht="15" customHeight="1" x14ac:dyDescent="0.65"/>
    <row r="2714" spans="2:33" ht="15" customHeight="1" x14ac:dyDescent="0.65"/>
    <row r="2715" spans="2:33" ht="15" customHeight="1" x14ac:dyDescent="0.65"/>
    <row r="2716" spans="2:33" ht="15" customHeight="1" x14ac:dyDescent="0.65"/>
    <row r="2717" spans="2:33" ht="15" customHeight="1" x14ac:dyDescent="0.65"/>
    <row r="2718" spans="2:33" ht="15" customHeight="1" x14ac:dyDescent="0.65"/>
    <row r="2719" spans="2:33" ht="15" customHeight="1" x14ac:dyDescent="0.65">
      <c r="B2719" s="475"/>
      <c r="C2719" s="475"/>
      <c r="D2719" s="475"/>
      <c r="E2719" s="475"/>
      <c r="F2719" s="475"/>
      <c r="G2719" s="475"/>
      <c r="H2719" s="475"/>
      <c r="I2719" s="475"/>
      <c r="J2719" s="475"/>
      <c r="K2719" s="475"/>
      <c r="L2719" s="475"/>
      <c r="M2719" s="475"/>
      <c r="N2719" s="475"/>
      <c r="O2719" s="475"/>
      <c r="P2719" s="475"/>
      <c r="Q2719" s="475"/>
      <c r="R2719" s="475"/>
      <c r="S2719" s="475"/>
      <c r="T2719" s="475"/>
      <c r="U2719" s="475"/>
      <c r="V2719" s="475"/>
      <c r="W2719" s="475"/>
      <c r="X2719" s="475"/>
      <c r="Y2719" s="475"/>
      <c r="Z2719" s="475"/>
      <c r="AA2719" s="475"/>
      <c r="AB2719" s="475"/>
      <c r="AC2719" s="475"/>
      <c r="AD2719" s="475"/>
      <c r="AE2719" s="475"/>
      <c r="AF2719" s="475"/>
      <c r="AG2719" s="475"/>
    </row>
    <row r="2720" spans="2:33" ht="15" customHeight="1" x14ac:dyDescent="0.65"/>
    <row r="2721" ht="15" customHeight="1" x14ac:dyDescent="0.65"/>
    <row r="2722" ht="15" customHeight="1" x14ac:dyDescent="0.65"/>
    <row r="2723" ht="15" customHeight="1" x14ac:dyDescent="0.65"/>
    <row r="2724" ht="15" customHeight="1" x14ac:dyDescent="0.65"/>
    <row r="2725" ht="15" customHeight="1" x14ac:dyDescent="0.65"/>
    <row r="2726" ht="15" customHeight="1" x14ac:dyDescent="0.65"/>
    <row r="2727" ht="15" customHeight="1" x14ac:dyDescent="0.65"/>
    <row r="2728" ht="15" customHeight="1" x14ac:dyDescent="0.65"/>
    <row r="2729" ht="15" customHeight="1" x14ac:dyDescent="0.65"/>
    <row r="2730" ht="15" customHeight="1" x14ac:dyDescent="0.65"/>
    <row r="2731" ht="15" customHeight="1" x14ac:dyDescent="0.65"/>
    <row r="2732" ht="15" customHeight="1" x14ac:dyDescent="0.65"/>
    <row r="2733" ht="15" customHeight="1" x14ac:dyDescent="0.65"/>
    <row r="2734" ht="15" customHeight="1" x14ac:dyDescent="0.65"/>
    <row r="2735" ht="15" customHeight="1" x14ac:dyDescent="0.65"/>
    <row r="2736" ht="15" customHeight="1" x14ac:dyDescent="0.65"/>
    <row r="2737" ht="15" customHeight="1" x14ac:dyDescent="0.65"/>
    <row r="2738" ht="15" customHeight="1" x14ac:dyDescent="0.65"/>
    <row r="2739" ht="15" customHeight="1" x14ac:dyDescent="0.65"/>
    <row r="2740" ht="15" customHeight="1" x14ac:dyDescent="0.65"/>
    <row r="2741" ht="15" customHeight="1" x14ac:dyDescent="0.65"/>
    <row r="2742" ht="15" customHeight="1" x14ac:dyDescent="0.65"/>
    <row r="2775" ht="15" customHeight="1" x14ac:dyDescent="0.65"/>
    <row r="2776" ht="15" customHeight="1" x14ac:dyDescent="0.65"/>
    <row r="2777" ht="15" customHeight="1" x14ac:dyDescent="0.65"/>
    <row r="2778" ht="15" customHeight="1" x14ac:dyDescent="0.65"/>
    <row r="2779" ht="15" customHeight="1" x14ac:dyDescent="0.65"/>
    <row r="2780" ht="15" customHeight="1" x14ac:dyDescent="0.65"/>
    <row r="2781" ht="15" customHeight="1" x14ac:dyDescent="0.65"/>
    <row r="2782" ht="15" customHeight="1" x14ac:dyDescent="0.65"/>
    <row r="2783" ht="15" customHeight="1" x14ac:dyDescent="0.65"/>
    <row r="2784" ht="15" customHeight="1" x14ac:dyDescent="0.65"/>
    <row r="2785" ht="15" customHeight="1" x14ac:dyDescent="0.65"/>
    <row r="2786" ht="15" customHeight="1" x14ac:dyDescent="0.65"/>
    <row r="2788" ht="15" customHeight="1" x14ac:dyDescent="0.65"/>
    <row r="2789" ht="15" customHeight="1" x14ac:dyDescent="0.65"/>
    <row r="2790" ht="15" customHeight="1" x14ac:dyDescent="0.65"/>
    <row r="2791" ht="15" customHeight="1" x14ac:dyDescent="0.65"/>
    <row r="2793" ht="15" customHeight="1" x14ac:dyDescent="0.65"/>
    <row r="2794" ht="15" customHeight="1" x14ac:dyDescent="0.65"/>
    <row r="2795" ht="15" customHeight="1" x14ac:dyDescent="0.65"/>
    <row r="2796" ht="15" customHeight="1" x14ac:dyDescent="0.65"/>
    <row r="2797" ht="15" customHeight="1" x14ac:dyDescent="0.65"/>
    <row r="2798" ht="15" customHeight="1" x14ac:dyDescent="0.65"/>
    <row r="2799" ht="15" customHeight="1" x14ac:dyDescent="0.65"/>
    <row r="2800" ht="15" customHeight="1" x14ac:dyDescent="0.65"/>
    <row r="2801" ht="15" customHeight="1" x14ac:dyDescent="0.65"/>
    <row r="2802" ht="15" customHeight="1" x14ac:dyDescent="0.65"/>
    <row r="2804" ht="15" customHeight="1" x14ac:dyDescent="0.65"/>
    <row r="2805" ht="15" customHeight="1" x14ac:dyDescent="0.65"/>
    <row r="2806" ht="15" customHeight="1" x14ac:dyDescent="0.65"/>
    <row r="2807" ht="15" customHeight="1" x14ac:dyDescent="0.65"/>
    <row r="2809" ht="15" customHeight="1" x14ac:dyDescent="0.65"/>
    <row r="2810" ht="15" customHeight="1" x14ac:dyDescent="0.65"/>
    <row r="2811" ht="15" customHeight="1" x14ac:dyDescent="0.65"/>
    <row r="2812" ht="15" customHeight="1" x14ac:dyDescent="0.65"/>
    <row r="2813" ht="15" customHeight="1" x14ac:dyDescent="0.65"/>
    <row r="2814" ht="15" customHeight="1" x14ac:dyDescent="0.65"/>
    <row r="2815" ht="15" customHeight="1" x14ac:dyDescent="0.65"/>
    <row r="2816" ht="15" customHeight="1" x14ac:dyDescent="0.65"/>
    <row r="2818" ht="15" customHeight="1" x14ac:dyDescent="0.65"/>
    <row r="2819" ht="15" customHeight="1" x14ac:dyDescent="0.65"/>
    <row r="2820" ht="15" customHeight="1" x14ac:dyDescent="0.65"/>
    <row r="2821" ht="15" customHeight="1" x14ac:dyDescent="0.65"/>
    <row r="2822" ht="15" customHeight="1" x14ac:dyDescent="0.65"/>
    <row r="2823" ht="15" customHeight="1" x14ac:dyDescent="0.65"/>
    <row r="2825" ht="15" customHeight="1" x14ac:dyDescent="0.65"/>
    <row r="2826" ht="15" customHeight="1" x14ac:dyDescent="0.65"/>
    <row r="2827" ht="15" customHeight="1" x14ac:dyDescent="0.65"/>
    <row r="2828" ht="15" customHeight="1" x14ac:dyDescent="0.65"/>
    <row r="2831" ht="15" customHeight="1" x14ac:dyDescent="0.65"/>
    <row r="2832" ht="15" customHeight="1" x14ac:dyDescent="0.65"/>
    <row r="2833" spans="2:33" ht="15" customHeight="1" x14ac:dyDescent="0.65"/>
    <row r="2834" spans="2:33" ht="15" customHeight="1" x14ac:dyDescent="0.65"/>
    <row r="2835" spans="2:33" ht="15" customHeight="1" x14ac:dyDescent="0.65"/>
    <row r="2836" spans="2:33" ht="15" customHeight="1" x14ac:dyDescent="0.65"/>
    <row r="2837" spans="2:33" ht="15" customHeight="1" x14ac:dyDescent="0.65">
      <c r="B2837" s="475"/>
      <c r="C2837" s="475"/>
      <c r="D2837" s="475"/>
      <c r="E2837" s="475"/>
      <c r="F2837" s="475"/>
      <c r="G2837" s="475"/>
      <c r="H2837" s="475"/>
      <c r="I2837" s="475"/>
      <c r="J2837" s="475"/>
      <c r="K2837" s="475"/>
      <c r="L2837" s="475"/>
      <c r="M2837" s="475"/>
      <c r="N2837" s="475"/>
      <c r="O2837" s="475"/>
      <c r="P2837" s="475"/>
      <c r="Q2837" s="475"/>
      <c r="R2837" s="475"/>
      <c r="S2837" s="475"/>
      <c r="T2837" s="475"/>
      <c r="U2837" s="475"/>
      <c r="V2837" s="475"/>
      <c r="W2837" s="475"/>
      <c r="X2837" s="475"/>
      <c r="Y2837" s="475"/>
      <c r="Z2837" s="475"/>
      <c r="AA2837" s="475"/>
      <c r="AB2837" s="475"/>
      <c r="AC2837" s="475"/>
      <c r="AD2837" s="475"/>
      <c r="AE2837" s="475"/>
      <c r="AF2837" s="475"/>
      <c r="AG2837" s="475"/>
    </row>
    <row r="2838" spans="2:33" ht="15" customHeight="1" x14ac:dyDescent="0.65"/>
    <row r="2839" spans="2:33" ht="15" customHeight="1" x14ac:dyDescent="0.65"/>
    <row r="2840" spans="2:33" ht="15" customHeight="1" x14ac:dyDescent="0.65"/>
    <row r="2841" spans="2:33" ht="15" customHeight="1" x14ac:dyDescent="0.65"/>
  </sheetData>
  <mergeCells count="20">
    <mergeCell ref="B112:AG112"/>
    <mergeCell ref="B308:AG308"/>
    <mergeCell ref="B511:AG511"/>
    <mergeCell ref="B712:AG712"/>
    <mergeCell ref="B887:AG887"/>
    <mergeCell ref="B1100:AG1100"/>
    <mergeCell ref="B1227:AG1227"/>
    <mergeCell ref="B1390:AG1390"/>
    <mergeCell ref="B1502:AG1502"/>
    <mergeCell ref="B1604:AG1604"/>
    <mergeCell ref="B1698:AG1698"/>
    <mergeCell ref="B1945:AG1945"/>
    <mergeCell ref="B2031:AG2031"/>
    <mergeCell ref="B2153:AG2153"/>
    <mergeCell ref="B2317:AG2317"/>
    <mergeCell ref="B2419:AG2419"/>
    <mergeCell ref="B2509:AG2509"/>
    <mergeCell ref="B2598:AG2598"/>
    <mergeCell ref="B2719:AG2719"/>
    <mergeCell ref="B2837:AG28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265625" defaultRowHeight="15" customHeight="1" x14ac:dyDescent="0.65"/>
  <cols>
    <col min="1" max="1" width="21.26953125" style="37" bestFit="1" customWidth="1"/>
    <col min="2" max="2" width="46.7265625" style="37" customWidth="1"/>
    <col min="3" max="16384" width="8.7265625" style="37"/>
  </cols>
  <sheetData>
    <row r="1" spans="1:33" ht="15" customHeight="1" thickBot="1" x14ac:dyDescent="0.8">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65"/>
    <row r="3" spans="1:33" ht="15" customHeight="1" x14ac:dyDescent="0.7">
      <c r="C3" s="73" t="s">
        <v>494</v>
      </c>
      <c r="D3" s="73" t="s">
        <v>640</v>
      </c>
      <c r="E3" s="55"/>
      <c r="F3" s="55"/>
      <c r="G3" s="55"/>
    </row>
    <row r="4" spans="1:33" ht="15" customHeight="1" x14ac:dyDescent="0.7">
      <c r="C4" s="73" t="s">
        <v>495</v>
      </c>
      <c r="D4" s="73" t="s">
        <v>641</v>
      </c>
      <c r="E4" s="55"/>
      <c r="F4" s="55"/>
      <c r="G4" s="73" t="s">
        <v>620</v>
      </c>
    </row>
    <row r="5" spans="1:33" ht="15" customHeight="1" x14ac:dyDescent="0.7">
      <c r="C5" s="73" t="s">
        <v>496</v>
      </c>
      <c r="D5" s="73" t="s">
        <v>642</v>
      </c>
      <c r="E5" s="55"/>
      <c r="F5" s="55"/>
      <c r="G5" s="55"/>
    </row>
    <row r="6" spans="1:33" ht="15" customHeight="1" x14ac:dyDescent="0.7">
      <c r="C6" s="73" t="s">
        <v>497</v>
      </c>
      <c r="D6" s="55"/>
      <c r="E6" s="73" t="s">
        <v>643</v>
      </c>
      <c r="F6" s="55"/>
      <c r="G6" s="55"/>
    </row>
    <row r="7" spans="1:33" ht="12.25" x14ac:dyDescent="0.65"/>
    <row r="8" spans="1:33" ht="12.25" x14ac:dyDescent="0.65"/>
    <row r="9" spans="1:33" ht="12.25" x14ac:dyDescent="0.65">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8">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65">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65">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8">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6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65">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65">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65">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65">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65">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65">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65">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65">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65">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65">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65">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65">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65">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65">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65">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65">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25" x14ac:dyDescent="0.65">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25" x14ac:dyDescent="0.65">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25" x14ac:dyDescent="0.65">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25" x14ac:dyDescent="0.65">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25" x14ac:dyDescent="0.65">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25" x14ac:dyDescent="0.65">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25" x14ac:dyDescent="0.65">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25" x14ac:dyDescent="0.65">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25" x14ac:dyDescent="0.65">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25" x14ac:dyDescent="0.65">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25" x14ac:dyDescent="0.65">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25" x14ac:dyDescent="0.65">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25" x14ac:dyDescent="0.65">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25" x14ac:dyDescent="0.65">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25" x14ac:dyDescent="0.65">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25" x14ac:dyDescent="0.65">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25" x14ac:dyDescent="0.65">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25" x14ac:dyDescent="0.65">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25" x14ac:dyDescent="0.65">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65">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65">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65">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65">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65">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65">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65">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65">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65">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65">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65">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65">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65">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65">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65">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65">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25" x14ac:dyDescent="0.65">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65">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65">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65">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65">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65">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25" x14ac:dyDescent="0.65">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65">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65">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65">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65">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65">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25" x14ac:dyDescent="0.65">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65">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25" x14ac:dyDescent="0.65">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65">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65">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65">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65">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65">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65">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65">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65">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65">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65">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25" x14ac:dyDescent="0.65">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65">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65">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65">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65">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65">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65">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65">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65">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25" x14ac:dyDescent="0.65">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25" x14ac:dyDescent="0.65">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65">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65">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65">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65">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65">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65">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65">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265625" defaultRowHeight="12.25" x14ac:dyDescent="0.65"/>
  <cols>
    <col min="1" max="1" width="19.81640625" style="37" bestFit="1" customWidth="1"/>
    <col min="2" max="2" width="46.7265625" style="37" customWidth="1"/>
    <col min="3" max="16384" width="8.7265625" style="37"/>
  </cols>
  <sheetData>
    <row r="1" spans="1:33" ht="15" customHeight="1" thickBot="1" x14ac:dyDescent="0.8">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65"/>
    <row r="3" spans="1:33" ht="15" customHeight="1" x14ac:dyDescent="0.65">
      <c r="C3" s="55" t="s">
        <v>494</v>
      </c>
      <c r="D3" s="55" t="s">
        <v>622</v>
      </c>
      <c r="E3" s="55"/>
      <c r="F3" s="55"/>
      <c r="G3" s="55"/>
    </row>
    <row r="4" spans="1:33" ht="15" customHeight="1" x14ac:dyDescent="0.65">
      <c r="C4" s="55" t="s">
        <v>495</v>
      </c>
      <c r="D4" s="55" t="s">
        <v>621</v>
      </c>
      <c r="E4" s="55"/>
      <c r="F4" s="55"/>
      <c r="G4" s="55" t="s">
        <v>620</v>
      </c>
    </row>
    <row r="5" spans="1:33" ht="15" customHeight="1" x14ac:dyDescent="0.65">
      <c r="C5" s="55" t="s">
        <v>496</v>
      </c>
      <c r="D5" s="55" t="s">
        <v>619</v>
      </c>
      <c r="E5" s="55"/>
      <c r="F5" s="55"/>
      <c r="G5" s="55"/>
    </row>
    <row r="6" spans="1:33" ht="15" customHeight="1" x14ac:dyDescent="0.65">
      <c r="C6" s="55" t="s">
        <v>497</v>
      </c>
      <c r="D6" s="55"/>
      <c r="E6" s="55" t="s">
        <v>618</v>
      </c>
      <c r="F6" s="55"/>
      <c r="G6" s="55"/>
    </row>
    <row r="10" spans="1:33" ht="15" customHeight="1" x14ac:dyDescent="0.8">
      <c r="A10" s="43" t="s">
        <v>373</v>
      </c>
      <c r="B10" s="54" t="s">
        <v>117</v>
      </c>
      <c r="AG10" s="51" t="s">
        <v>617</v>
      </c>
    </row>
    <row r="11" spans="1:33" ht="15" customHeight="1" x14ac:dyDescent="0.65">
      <c r="B11" s="53" t="s">
        <v>118</v>
      </c>
      <c r="AG11" s="51" t="s">
        <v>616</v>
      </c>
    </row>
    <row r="12" spans="1:33" ht="15" customHeight="1" x14ac:dyDescent="0.65">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8">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65"/>
    <row r="15" spans="1:33" ht="15" customHeight="1" x14ac:dyDescent="0.65">
      <c r="B15" s="46" t="s">
        <v>120</v>
      </c>
    </row>
    <row r="16" spans="1:33" ht="15" customHeight="1" x14ac:dyDescent="0.65"/>
    <row r="17" spans="1:33" ht="15" customHeight="1" x14ac:dyDescent="0.7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7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7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7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7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7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7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7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7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65">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7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7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7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7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4.75" x14ac:dyDescent="0.7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4.75" x14ac:dyDescent="0.7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65">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65">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4.75" x14ac:dyDescent="0.7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4.75" x14ac:dyDescent="0.75">
      <c r="B36"/>
      <c r="C36"/>
      <c r="D36"/>
      <c r="E36"/>
      <c r="F36"/>
      <c r="G36"/>
      <c r="H36"/>
      <c r="I36"/>
      <c r="J36"/>
      <c r="K36"/>
      <c r="L36"/>
      <c r="M36"/>
      <c r="N36"/>
      <c r="O36"/>
      <c r="P36"/>
      <c r="Q36"/>
      <c r="R36"/>
      <c r="S36"/>
      <c r="T36"/>
      <c r="U36"/>
      <c r="V36"/>
      <c r="W36"/>
      <c r="X36"/>
      <c r="Y36"/>
      <c r="Z36"/>
      <c r="AA36"/>
      <c r="AB36"/>
      <c r="AC36"/>
      <c r="AD36"/>
      <c r="AE36"/>
      <c r="AF36"/>
      <c r="AG36"/>
    </row>
    <row r="37" spans="1:33" x14ac:dyDescent="0.65">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4.75" x14ac:dyDescent="0.75">
      <c r="B38"/>
      <c r="C38"/>
      <c r="D38"/>
      <c r="E38"/>
      <c r="F38"/>
      <c r="G38"/>
      <c r="H38"/>
      <c r="I38"/>
      <c r="J38"/>
      <c r="K38"/>
      <c r="L38"/>
      <c r="M38"/>
      <c r="N38"/>
      <c r="O38"/>
      <c r="P38"/>
      <c r="Q38"/>
      <c r="R38"/>
      <c r="S38"/>
      <c r="T38"/>
      <c r="U38"/>
      <c r="V38"/>
      <c r="W38"/>
      <c r="X38"/>
      <c r="Y38"/>
      <c r="Z38"/>
      <c r="AA38"/>
      <c r="AB38"/>
      <c r="AC38"/>
      <c r="AD38"/>
      <c r="AE38"/>
      <c r="AF38"/>
      <c r="AG38"/>
    </row>
    <row r="39" spans="1:33" ht="14.75" x14ac:dyDescent="0.75">
      <c r="B39" s="46" t="s">
        <v>135</v>
      </c>
      <c r="C39"/>
      <c r="D39"/>
      <c r="E39"/>
      <c r="F39"/>
      <c r="G39"/>
      <c r="H39"/>
      <c r="I39"/>
      <c r="J39"/>
      <c r="K39"/>
      <c r="L39"/>
      <c r="M39"/>
      <c r="N39"/>
      <c r="O39"/>
      <c r="P39"/>
      <c r="Q39"/>
      <c r="R39"/>
      <c r="S39"/>
      <c r="T39"/>
      <c r="U39"/>
      <c r="V39"/>
      <c r="W39"/>
      <c r="X39"/>
      <c r="Y39"/>
      <c r="Z39"/>
      <c r="AA39"/>
      <c r="AB39"/>
      <c r="AC39"/>
      <c r="AD39"/>
      <c r="AE39"/>
      <c r="AF39"/>
      <c r="AG39"/>
    </row>
    <row r="40" spans="1:33" ht="14.75" x14ac:dyDescent="0.7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4.75" x14ac:dyDescent="0.7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4.75" x14ac:dyDescent="0.7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4.75" x14ac:dyDescent="0.7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4.75" x14ac:dyDescent="0.7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4.75" x14ac:dyDescent="0.7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65">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4.75" x14ac:dyDescent="0.7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65">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4.75" x14ac:dyDescent="0.7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7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7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7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7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7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7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7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65">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65">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7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65">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7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7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7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7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7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4.75" x14ac:dyDescent="0.7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65">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7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65">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7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7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75">
      <c r="B72" s="46" t="s">
        <v>626</v>
      </c>
      <c r="C72"/>
      <c r="D72"/>
      <c r="E72"/>
      <c r="F72"/>
      <c r="G72"/>
      <c r="H72"/>
      <c r="I72"/>
      <c r="J72"/>
      <c r="K72"/>
      <c r="L72"/>
      <c r="M72"/>
      <c r="N72"/>
      <c r="O72"/>
      <c r="P72"/>
      <c r="Q72"/>
      <c r="R72"/>
      <c r="S72"/>
      <c r="T72"/>
      <c r="U72"/>
      <c r="V72"/>
      <c r="W72"/>
      <c r="X72"/>
      <c r="Y72"/>
      <c r="Z72"/>
      <c r="AA72"/>
      <c r="AB72"/>
      <c r="AC72"/>
      <c r="AD72"/>
      <c r="AE72"/>
      <c r="AF72"/>
      <c r="AG72"/>
    </row>
    <row r="73" spans="1:33" ht="14.75" x14ac:dyDescent="0.7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7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7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7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65">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75">
      <c r="B78" s="46" t="s">
        <v>155</v>
      </c>
      <c r="C78"/>
      <c r="D78"/>
      <c r="E78"/>
      <c r="F78"/>
      <c r="G78"/>
      <c r="H78"/>
      <c r="I78"/>
      <c r="J78"/>
      <c r="K78"/>
      <c r="L78"/>
      <c r="M78"/>
      <c r="N78"/>
      <c r="O78"/>
      <c r="P78"/>
      <c r="Q78"/>
      <c r="R78"/>
      <c r="S78"/>
      <c r="T78"/>
      <c r="U78"/>
      <c r="V78"/>
      <c r="W78"/>
      <c r="X78"/>
      <c r="Y78"/>
      <c r="Z78"/>
      <c r="AA78"/>
      <c r="AB78"/>
      <c r="AC78"/>
      <c r="AD78"/>
      <c r="AE78"/>
      <c r="AF78"/>
      <c r="AG78"/>
    </row>
    <row r="79" spans="1:33" ht="14.75" x14ac:dyDescent="0.7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7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4.75" x14ac:dyDescent="0.7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7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65">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7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7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7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7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7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7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7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7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4.75" x14ac:dyDescent="0.7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7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7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7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7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7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7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8"/>
    <row r="100" spans="1:33" ht="15" customHeight="1" x14ac:dyDescent="0.65">
      <c r="B100" s="39" t="s">
        <v>568</v>
      </c>
    </row>
    <row r="101" spans="1:33" x14ac:dyDescent="0.65">
      <c r="B101" s="38" t="s">
        <v>557</v>
      </c>
    </row>
    <row r="102" spans="1:33" x14ac:dyDescent="0.65">
      <c r="B102" s="38" t="s">
        <v>558</v>
      </c>
    </row>
    <row r="103" spans="1:33" ht="15" customHeight="1" x14ac:dyDescent="0.65">
      <c r="B103" s="38" t="s">
        <v>559</v>
      </c>
    </row>
    <row r="104" spans="1:33" ht="15" customHeight="1" x14ac:dyDescent="0.65">
      <c r="B104" s="38" t="s">
        <v>560</v>
      </c>
    </row>
    <row r="105" spans="1:33" ht="15" customHeight="1" x14ac:dyDescent="0.65">
      <c r="B105" s="38" t="s">
        <v>561</v>
      </c>
    </row>
    <row r="106" spans="1:33" ht="15" customHeight="1" x14ac:dyDescent="0.65">
      <c r="B106" s="38" t="s">
        <v>562</v>
      </c>
    </row>
    <row r="107" spans="1:33" ht="15" customHeight="1" x14ac:dyDescent="0.65">
      <c r="B107" s="38" t="s">
        <v>164</v>
      </c>
    </row>
    <row r="108" spans="1:33" ht="15" customHeight="1" x14ac:dyDescent="0.65">
      <c r="B108" s="38" t="s">
        <v>563</v>
      </c>
    </row>
    <row r="109" spans="1:33" ht="15" customHeight="1" x14ac:dyDescent="0.65">
      <c r="B109" s="38" t="s">
        <v>76</v>
      </c>
    </row>
    <row r="110" spans="1:33" ht="15" customHeight="1" x14ac:dyDescent="0.65">
      <c r="B110" s="38" t="s">
        <v>77</v>
      </c>
    </row>
    <row r="111" spans="1:33" ht="15" customHeight="1" x14ac:dyDescent="0.65">
      <c r="B111" s="38" t="s">
        <v>564</v>
      </c>
    </row>
    <row r="112" spans="1:33" ht="15" customHeight="1" x14ac:dyDescent="0.65">
      <c r="B112" s="476"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row>
    <row r="113" spans="2:2" ht="15" customHeight="1" x14ac:dyDescent="0.65">
      <c r="B113" s="38" t="s">
        <v>565</v>
      </c>
    </row>
    <row r="114" spans="2:2" ht="15" customHeight="1" x14ac:dyDescent="0.65">
      <c r="B114" s="38" t="s">
        <v>566</v>
      </c>
    </row>
    <row r="115" spans="2:2" ht="15" customHeight="1" x14ac:dyDescent="0.65">
      <c r="B115" s="38" t="s">
        <v>567</v>
      </c>
    </row>
    <row r="116" spans="2:2" ht="15" customHeight="1" x14ac:dyDescent="0.65">
      <c r="B116" s="38" t="s">
        <v>165</v>
      </c>
    </row>
    <row r="117" spans="2:2" ht="15" customHeight="1" x14ac:dyDescent="0.65">
      <c r="B117" s="38" t="s">
        <v>554</v>
      </c>
    </row>
    <row r="118" spans="2:2" ht="15" customHeight="1" x14ac:dyDescent="0.65">
      <c r="B118" s="38" t="s">
        <v>555</v>
      </c>
    </row>
    <row r="119" spans="2:2" ht="15" customHeight="1" x14ac:dyDescent="0.65">
      <c r="B119" s="38" t="s">
        <v>625</v>
      </c>
    </row>
    <row r="120" spans="2:2" ht="15" customHeight="1" x14ac:dyDescent="0.65">
      <c r="B120" s="38" t="s">
        <v>624</v>
      </c>
    </row>
    <row r="121" spans="2:2" ht="15" customHeight="1" x14ac:dyDescent="0.65"/>
    <row r="122" spans="2:2" ht="15" customHeight="1" x14ac:dyDescent="0.65"/>
    <row r="123" spans="2:2" ht="15" customHeight="1" x14ac:dyDescent="0.65"/>
    <row r="124" spans="2:2" ht="15" customHeight="1" x14ac:dyDescent="0.65"/>
    <row r="125" spans="2:2" ht="15" customHeight="1" x14ac:dyDescent="0.65"/>
    <row r="126" spans="2:2" ht="15" customHeight="1" x14ac:dyDescent="0.65"/>
    <row r="127" spans="2:2" ht="15" customHeight="1" x14ac:dyDescent="0.65"/>
    <row r="128" spans="2:2" ht="15" customHeight="1" x14ac:dyDescent="0.65"/>
    <row r="129" ht="15" customHeight="1" x14ac:dyDescent="0.65"/>
    <row r="130" ht="15" customHeight="1" x14ac:dyDescent="0.65"/>
    <row r="131" ht="15" customHeight="1" x14ac:dyDescent="0.65"/>
    <row r="132" ht="15" customHeight="1" x14ac:dyDescent="0.65"/>
    <row r="133" ht="15" customHeight="1" x14ac:dyDescent="0.65"/>
    <row r="134" ht="15" customHeight="1" x14ac:dyDescent="0.65"/>
    <row r="135" ht="15" customHeight="1" x14ac:dyDescent="0.65"/>
    <row r="136" ht="15" customHeight="1" x14ac:dyDescent="0.65"/>
    <row r="137" ht="15" customHeight="1" x14ac:dyDescent="0.65"/>
    <row r="138" ht="15" customHeight="1" x14ac:dyDescent="0.65"/>
    <row r="139" ht="15" customHeight="1" x14ac:dyDescent="0.65"/>
    <row r="140" ht="15" customHeight="1" x14ac:dyDescent="0.65"/>
    <row r="141" ht="15" customHeight="1" x14ac:dyDescent="0.65"/>
    <row r="142" ht="15" customHeight="1" x14ac:dyDescent="0.65"/>
    <row r="143" ht="15" customHeight="1" x14ac:dyDescent="0.65"/>
    <row r="144" ht="15" customHeight="1" x14ac:dyDescent="0.65"/>
    <row r="145" ht="15" customHeight="1" x14ac:dyDescent="0.65"/>
    <row r="146" ht="15" customHeight="1" x14ac:dyDescent="0.65"/>
    <row r="147" ht="15" customHeight="1" x14ac:dyDescent="0.65"/>
    <row r="148" ht="15" customHeight="1" x14ac:dyDescent="0.65"/>
    <row r="149" ht="15" customHeight="1" x14ac:dyDescent="0.65"/>
    <row r="150" ht="15" customHeight="1" x14ac:dyDescent="0.65"/>
    <row r="151" ht="15" customHeight="1" x14ac:dyDescent="0.65"/>
    <row r="152" ht="15" customHeight="1" x14ac:dyDescent="0.65"/>
    <row r="153" ht="15" customHeight="1" x14ac:dyDescent="0.65"/>
    <row r="154" ht="15" customHeight="1" x14ac:dyDescent="0.65"/>
    <row r="155" ht="15" customHeight="1" x14ac:dyDescent="0.65"/>
    <row r="156" ht="15" customHeight="1" x14ac:dyDescent="0.65"/>
    <row r="157" ht="15" customHeight="1" x14ac:dyDescent="0.65"/>
    <row r="158" ht="15" customHeight="1" x14ac:dyDescent="0.65"/>
    <row r="159" ht="15" customHeight="1" x14ac:dyDescent="0.65"/>
    <row r="160" ht="15" customHeight="1" x14ac:dyDescent="0.65"/>
    <row r="161" ht="15" customHeight="1" x14ac:dyDescent="0.65"/>
    <row r="162" ht="15" customHeight="1" x14ac:dyDescent="0.65"/>
    <row r="163" ht="15" customHeight="1" x14ac:dyDescent="0.65"/>
    <row r="164" ht="15" customHeight="1" x14ac:dyDescent="0.65"/>
    <row r="165" ht="15" customHeight="1" x14ac:dyDescent="0.65"/>
    <row r="166" ht="15" customHeight="1" x14ac:dyDescent="0.65"/>
    <row r="167" ht="15" customHeight="1" x14ac:dyDescent="0.65"/>
    <row r="168" ht="15" customHeight="1" x14ac:dyDescent="0.65"/>
    <row r="169" ht="15" customHeight="1" x14ac:dyDescent="0.65"/>
    <row r="170" ht="15" customHeight="1" x14ac:dyDescent="0.65"/>
    <row r="171" ht="15" customHeight="1" x14ac:dyDescent="0.65"/>
    <row r="172" ht="15" customHeight="1" x14ac:dyDescent="0.65"/>
    <row r="173" ht="15" customHeight="1" x14ac:dyDescent="0.65"/>
    <row r="174" ht="15" customHeight="1" x14ac:dyDescent="0.65"/>
    <row r="175" ht="15" customHeight="1" x14ac:dyDescent="0.65"/>
    <row r="176" ht="15" customHeight="1" x14ac:dyDescent="0.65"/>
    <row r="177" ht="15" customHeight="1" x14ac:dyDescent="0.65"/>
    <row r="178" ht="15" customHeight="1" x14ac:dyDescent="0.65"/>
    <row r="179" ht="15" customHeight="1" x14ac:dyDescent="0.65"/>
    <row r="180" ht="15" customHeight="1" x14ac:dyDescent="0.65"/>
    <row r="181" ht="15" customHeight="1" x14ac:dyDescent="0.65"/>
    <row r="182" ht="15" customHeight="1" x14ac:dyDescent="0.65"/>
    <row r="183" ht="15" customHeight="1" x14ac:dyDescent="0.65"/>
    <row r="184" ht="15" customHeight="1" x14ac:dyDescent="0.65"/>
    <row r="185" ht="15" customHeight="1" x14ac:dyDescent="0.65"/>
    <row r="186" ht="15" customHeight="1" x14ac:dyDescent="0.65"/>
    <row r="187" ht="15" customHeight="1" x14ac:dyDescent="0.65"/>
    <row r="188" ht="15" customHeight="1" x14ac:dyDescent="0.65"/>
    <row r="189" ht="15" customHeight="1" x14ac:dyDescent="0.65"/>
    <row r="190" ht="15" customHeight="1" x14ac:dyDescent="0.65"/>
    <row r="191" ht="15" customHeight="1" x14ac:dyDescent="0.65"/>
    <row r="192" ht="15" customHeight="1" x14ac:dyDescent="0.65"/>
    <row r="193" ht="15" customHeight="1" x14ac:dyDescent="0.65"/>
    <row r="194" ht="15" customHeight="1" x14ac:dyDescent="0.65"/>
    <row r="195" ht="15" customHeight="1" x14ac:dyDescent="0.65"/>
    <row r="196" ht="15" customHeight="1" x14ac:dyDescent="0.65"/>
    <row r="197" ht="15" customHeight="1" x14ac:dyDescent="0.65"/>
    <row r="198" ht="15" customHeight="1" x14ac:dyDescent="0.65"/>
    <row r="199" ht="15" customHeight="1" x14ac:dyDescent="0.65"/>
    <row r="200" ht="15" customHeight="1" x14ac:dyDescent="0.65"/>
    <row r="201" ht="15" customHeight="1" x14ac:dyDescent="0.65"/>
    <row r="202" ht="15" customHeight="1" x14ac:dyDescent="0.65"/>
    <row r="203" ht="15" customHeight="1" x14ac:dyDescent="0.65"/>
    <row r="204" ht="15" customHeight="1" x14ac:dyDescent="0.65"/>
    <row r="205" ht="15" customHeight="1" x14ac:dyDescent="0.65"/>
    <row r="206" ht="15" customHeight="1" x14ac:dyDescent="0.65"/>
    <row r="207" ht="15" customHeight="1" x14ac:dyDescent="0.65"/>
    <row r="208" ht="15" customHeight="1" x14ac:dyDescent="0.65"/>
    <row r="209" ht="15" customHeight="1" x14ac:dyDescent="0.65"/>
    <row r="210" ht="15" customHeight="1" x14ac:dyDescent="0.65"/>
    <row r="211" ht="15" customHeight="1" x14ac:dyDescent="0.65"/>
    <row r="212" ht="15" customHeight="1" x14ac:dyDescent="0.65"/>
    <row r="213" ht="15" customHeight="1" x14ac:dyDescent="0.65"/>
    <row r="214" ht="15" customHeight="1" x14ac:dyDescent="0.65"/>
    <row r="215" ht="15" customHeight="1" x14ac:dyDescent="0.65"/>
    <row r="216" ht="15" customHeight="1" x14ac:dyDescent="0.65"/>
    <row r="217" ht="15" customHeight="1" x14ac:dyDescent="0.65"/>
    <row r="218" ht="15" customHeight="1" x14ac:dyDescent="0.65"/>
    <row r="219" ht="15" customHeight="1" x14ac:dyDescent="0.65"/>
    <row r="220" ht="15" customHeight="1" x14ac:dyDescent="0.65"/>
    <row r="221" ht="15" customHeight="1" x14ac:dyDescent="0.65"/>
    <row r="222" ht="15" customHeight="1" x14ac:dyDescent="0.65"/>
    <row r="223" ht="15" customHeight="1" x14ac:dyDescent="0.65"/>
    <row r="224" ht="15" customHeight="1" x14ac:dyDescent="0.65"/>
    <row r="225" ht="15" customHeight="1" x14ac:dyDescent="0.65"/>
    <row r="226" ht="15" customHeight="1" x14ac:dyDescent="0.65"/>
    <row r="227" ht="15" customHeight="1" x14ac:dyDescent="0.65"/>
    <row r="228" ht="15" customHeight="1" x14ac:dyDescent="0.65"/>
    <row r="229" ht="15" customHeight="1" x14ac:dyDescent="0.65"/>
    <row r="230" ht="15" customHeight="1" x14ac:dyDescent="0.65"/>
    <row r="231" ht="15" customHeight="1" x14ac:dyDescent="0.65"/>
    <row r="232" ht="15" customHeight="1" x14ac:dyDescent="0.65"/>
    <row r="233" ht="15" customHeight="1" x14ac:dyDescent="0.65"/>
    <row r="234" ht="15" customHeight="1" x14ac:dyDescent="0.65"/>
    <row r="235" ht="15" customHeight="1" x14ac:dyDescent="0.65"/>
    <row r="236" ht="15" customHeight="1" x14ac:dyDescent="0.65"/>
    <row r="237" ht="15" customHeight="1" x14ac:dyDescent="0.65"/>
    <row r="238" ht="15" customHeight="1" x14ac:dyDescent="0.65"/>
    <row r="239" ht="15" customHeight="1" x14ac:dyDescent="0.65"/>
    <row r="240" ht="15" customHeight="1" x14ac:dyDescent="0.65"/>
    <row r="241" ht="15" customHeight="1" x14ac:dyDescent="0.65"/>
    <row r="242" ht="15" customHeight="1" x14ac:dyDescent="0.65"/>
    <row r="243" ht="15" customHeight="1" x14ac:dyDescent="0.65"/>
    <row r="244" ht="15" customHeight="1" x14ac:dyDescent="0.65"/>
    <row r="245" ht="15" customHeight="1" x14ac:dyDescent="0.65"/>
    <row r="246" ht="15" customHeight="1" x14ac:dyDescent="0.65"/>
    <row r="247" ht="15" customHeight="1" x14ac:dyDescent="0.65"/>
    <row r="248" ht="15" customHeight="1" x14ac:dyDescent="0.65"/>
    <row r="249" ht="15" customHeight="1" x14ac:dyDescent="0.65"/>
    <row r="250" ht="15" customHeight="1" x14ac:dyDescent="0.65"/>
    <row r="251" ht="15" customHeight="1" x14ac:dyDescent="0.65"/>
    <row r="252" ht="15" customHeight="1" x14ac:dyDescent="0.65"/>
    <row r="253" ht="15" customHeight="1" x14ac:dyDescent="0.65"/>
    <row r="254" ht="15" customHeight="1" x14ac:dyDescent="0.65"/>
    <row r="255" ht="15" customHeight="1" x14ac:dyDescent="0.65"/>
    <row r="256" ht="15" customHeight="1" x14ac:dyDescent="0.65"/>
    <row r="257" ht="15" customHeight="1" x14ac:dyDescent="0.65"/>
    <row r="258" ht="15" customHeight="1" x14ac:dyDescent="0.65"/>
    <row r="259" ht="15" customHeight="1" x14ac:dyDescent="0.65"/>
    <row r="260" ht="15" customHeight="1" x14ac:dyDescent="0.65"/>
    <row r="261" ht="15" customHeight="1" x14ac:dyDescent="0.65"/>
    <row r="262" ht="15" customHeight="1" x14ac:dyDescent="0.65"/>
    <row r="263" ht="15" customHeight="1" x14ac:dyDescent="0.65"/>
    <row r="264" ht="15" customHeight="1" x14ac:dyDescent="0.65"/>
    <row r="265" ht="15" customHeight="1" x14ac:dyDescent="0.65"/>
    <row r="266" ht="15" customHeight="1" x14ac:dyDescent="0.65"/>
    <row r="267" ht="15" customHeight="1" x14ac:dyDescent="0.65"/>
    <row r="268" ht="15" customHeight="1" x14ac:dyDescent="0.65"/>
    <row r="269" ht="15" customHeight="1" x14ac:dyDescent="0.65"/>
    <row r="270" ht="15" customHeight="1" x14ac:dyDescent="0.65"/>
    <row r="271" ht="15" customHeight="1" x14ac:dyDescent="0.65"/>
    <row r="272" ht="15" customHeight="1" x14ac:dyDescent="0.65"/>
    <row r="273" ht="15" customHeight="1" x14ac:dyDescent="0.65"/>
    <row r="274" ht="15" customHeight="1" x14ac:dyDescent="0.65"/>
    <row r="275" ht="15" customHeight="1" x14ac:dyDescent="0.65"/>
    <row r="276" ht="15" customHeight="1" x14ac:dyDescent="0.65"/>
    <row r="277" ht="15" customHeight="1" x14ac:dyDescent="0.65"/>
    <row r="278" ht="15" customHeight="1" x14ac:dyDescent="0.65"/>
    <row r="279" ht="15" customHeight="1" x14ac:dyDescent="0.65"/>
    <row r="280" ht="15" customHeight="1" x14ac:dyDescent="0.65"/>
    <row r="281" ht="15" customHeight="1" x14ac:dyDescent="0.65"/>
    <row r="282" ht="15" customHeight="1" x14ac:dyDescent="0.65"/>
    <row r="283" ht="15" customHeight="1" x14ac:dyDescent="0.65"/>
    <row r="284" ht="15" customHeight="1" x14ac:dyDescent="0.65"/>
    <row r="285" ht="15" customHeight="1" x14ac:dyDescent="0.65"/>
    <row r="286" ht="15" customHeight="1" x14ac:dyDescent="0.65"/>
    <row r="287" ht="15" customHeight="1" x14ac:dyDescent="0.65"/>
    <row r="288" ht="15" customHeight="1" x14ac:dyDescent="0.65"/>
    <row r="289" ht="15" customHeight="1" x14ac:dyDescent="0.65"/>
    <row r="290" ht="15" customHeight="1" x14ac:dyDescent="0.65"/>
    <row r="291" ht="15" customHeight="1" x14ac:dyDescent="0.65"/>
    <row r="292" ht="15" customHeight="1" x14ac:dyDescent="0.65"/>
    <row r="293" ht="15" customHeight="1" x14ac:dyDescent="0.65"/>
    <row r="294" ht="15" customHeight="1" x14ac:dyDescent="0.65"/>
    <row r="295" ht="15" customHeight="1" x14ac:dyDescent="0.65"/>
    <row r="296" ht="15" customHeight="1" x14ac:dyDescent="0.65"/>
    <row r="297" ht="15" customHeight="1" x14ac:dyDescent="0.65"/>
    <row r="298" ht="15" customHeight="1" x14ac:dyDescent="0.65"/>
    <row r="299" ht="15" customHeight="1" x14ac:dyDescent="0.65"/>
    <row r="300" ht="15" customHeight="1" x14ac:dyDescent="0.65"/>
    <row r="301" ht="15" customHeight="1" x14ac:dyDescent="0.65"/>
    <row r="302" ht="15" customHeight="1" x14ac:dyDescent="0.65"/>
    <row r="303" ht="15" customHeight="1" x14ac:dyDescent="0.65"/>
    <row r="304" ht="15" customHeight="1" x14ac:dyDescent="0.65"/>
    <row r="305" spans="2:33" ht="15" customHeight="1" x14ac:dyDescent="0.65"/>
    <row r="306" spans="2:33" ht="15" customHeight="1" x14ac:dyDescent="0.65"/>
    <row r="307" spans="2:33" ht="15" customHeight="1" x14ac:dyDescent="0.65"/>
    <row r="308" spans="2:33" ht="15" customHeight="1" x14ac:dyDescent="0.65">
      <c r="B308" s="475"/>
      <c r="C308" s="475"/>
      <c r="D308" s="475"/>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c r="AA308" s="475"/>
      <c r="AB308" s="475"/>
      <c r="AC308" s="475"/>
      <c r="AD308" s="475"/>
      <c r="AE308" s="475"/>
      <c r="AF308" s="475"/>
      <c r="AG308" s="475"/>
    </row>
    <row r="309" spans="2:33" ht="15" customHeight="1" x14ac:dyDescent="0.65"/>
    <row r="310" spans="2:33" ht="15" customHeight="1" x14ac:dyDescent="0.65"/>
    <row r="311" spans="2:33" ht="15" customHeight="1" x14ac:dyDescent="0.65"/>
    <row r="312" spans="2:33" ht="15" customHeight="1" x14ac:dyDescent="0.65"/>
    <row r="313" spans="2:33" ht="15" customHeight="1" x14ac:dyDescent="0.65"/>
    <row r="314" spans="2:33" ht="15" customHeight="1" x14ac:dyDescent="0.65"/>
    <row r="315" spans="2:33" ht="15" customHeight="1" x14ac:dyDescent="0.65"/>
    <row r="316" spans="2:33" ht="15" customHeight="1" x14ac:dyDescent="0.65"/>
    <row r="317" spans="2:33" ht="15" customHeight="1" x14ac:dyDescent="0.65"/>
    <row r="318" spans="2:33" ht="15" customHeight="1" x14ac:dyDescent="0.65"/>
    <row r="319" spans="2:33" ht="15" customHeight="1" x14ac:dyDescent="0.65"/>
    <row r="320" spans="2:33" ht="15" customHeight="1" x14ac:dyDescent="0.65"/>
    <row r="321" ht="15" customHeight="1" x14ac:dyDescent="0.65"/>
    <row r="322" ht="15" customHeight="1" x14ac:dyDescent="0.65"/>
    <row r="323" ht="15" customHeight="1" x14ac:dyDescent="0.65"/>
    <row r="324" ht="15" customHeight="1" x14ac:dyDescent="0.65"/>
    <row r="325" ht="15" customHeight="1" x14ac:dyDescent="0.65"/>
    <row r="326" ht="15" customHeight="1" x14ac:dyDescent="0.65"/>
    <row r="327" ht="15" customHeight="1" x14ac:dyDescent="0.65"/>
    <row r="328" ht="15" customHeight="1" x14ac:dyDescent="0.65"/>
    <row r="329" ht="15" customHeight="1" x14ac:dyDescent="0.65"/>
    <row r="330" ht="15" customHeight="1" x14ac:dyDescent="0.65"/>
    <row r="331" ht="15" customHeight="1" x14ac:dyDescent="0.65"/>
    <row r="332" ht="15" customHeight="1" x14ac:dyDescent="0.65"/>
    <row r="333" ht="15" customHeight="1" x14ac:dyDescent="0.65"/>
    <row r="334" ht="15" customHeight="1" x14ac:dyDescent="0.65"/>
    <row r="335" ht="15" customHeight="1" x14ac:dyDescent="0.65"/>
    <row r="336" ht="15" customHeight="1" x14ac:dyDescent="0.65"/>
    <row r="337" ht="15" customHeight="1" x14ac:dyDescent="0.65"/>
    <row r="338" ht="15" customHeight="1" x14ac:dyDescent="0.65"/>
    <row r="339" ht="15" customHeight="1" x14ac:dyDescent="0.65"/>
    <row r="340" ht="15" customHeight="1" x14ac:dyDescent="0.65"/>
    <row r="341" ht="15" customHeight="1" x14ac:dyDescent="0.65"/>
    <row r="342" ht="15" customHeight="1" x14ac:dyDescent="0.65"/>
    <row r="343" ht="15" customHeight="1" x14ac:dyDescent="0.65"/>
    <row r="344" ht="15" customHeight="1" x14ac:dyDescent="0.65"/>
    <row r="345" ht="15" customHeight="1" x14ac:dyDescent="0.65"/>
    <row r="346" ht="15" customHeight="1" x14ac:dyDescent="0.65"/>
    <row r="347" ht="15" customHeight="1" x14ac:dyDescent="0.65"/>
    <row r="348" ht="15" customHeight="1" x14ac:dyDescent="0.65"/>
    <row r="349" ht="15" customHeight="1" x14ac:dyDescent="0.65"/>
    <row r="350" ht="15" customHeight="1" x14ac:dyDescent="0.65"/>
    <row r="351" ht="15" customHeight="1" x14ac:dyDescent="0.65"/>
    <row r="352" ht="15" customHeight="1" x14ac:dyDescent="0.65"/>
    <row r="353" ht="15" customHeight="1" x14ac:dyDescent="0.65"/>
    <row r="354" ht="15" customHeight="1" x14ac:dyDescent="0.65"/>
    <row r="355" ht="15" customHeight="1" x14ac:dyDescent="0.65"/>
    <row r="356" ht="15" customHeight="1" x14ac:dyDescent="0.65"/>
    <row r="357" ht="15" customHeight="1" x14ac:dyDescent="0.65"/>
    <row r="358" ht="15" customHeight="1" x14ac:dyDescent="0.65"/>
    <row r="359" ht="15" customHeight="1" x14ac:dyDescent="0.65"/>
    <row r="360" ht="15" customHeight="1" x14ac:dyDescent="0.65"/>
    <row r="361" ht="15" customHeight="1" x14ac:dyDescent="0.65"/>
    <row r="362" ht="15" customHeight="1" x14ac:dyDescent="0.65"/>
    <row r="363" ht="15" customHeight="1" x14ac:dyDescent="0.65"/>
    <row r="364" ht="15" customHeight="1" x14ac:dyDescent="0.65"/>
    <row r="365" ht="15" customHeight="1" x14ac:dyDescent="0.65"/>
    <row r="366" ht="15" customHeight="1" x14ac:dyDescent="0.65"/>
    <row r="367" ht="15" customHeight="1" x14ac:dyDescent="0.65"/>
    <row r="368" ht="15" customHeight="1" x14ac:dyDescent="0.65"/>
    <row r="369" ht="15" customHeight="1" x14ac:dyDescent="0.65"/>
    <row r="370" ht="15" customHeight="1" x14ac:dyDescent="0.65"/>
    <row r="371" ht="15" customHeight="1" x14ac:dyDescent="0.65"/>
    <row r="372" ht="15" customHeight="1" x14ac:dyDescent="0.65"/>
    <row r="373" ht="15" customHeight="1" x14ac:dyDescent="0.65"/>
    <row r="374" ht="15" customHeight="1" x14ac:dyDescent="0.65"/>
    <row r="375" ht="15" customHeight="1" x14ac:dyDescent="0.65"/>
    <row r="376" ht="15" customHeight="1" x14ac:dyDescent="0.65"/>
    <row r="377" ht="15" customHeight="1" x14ac:dyDescent="0.65"/>
    <row r="378" ht="15" customHeight="1" x14ac:dyDescent="0.65"/>
    <row r="379" ht="15" customHeight="1" x14ac:dyDescent="0.65"/>
    <row r="380" ht="15" customHeight="1" x14ac:dyDescent="0.65"/>
    <row r="381" ht="15" customHeight="1" x14ac:dyDescent="0.65"/>
    <row r="382" ht="15" customHeight="1" x14ac:dyDescent="0.65"/>
    <row r="383" ht="15" customHeight="1" x14ac:dyDescent="0.65"/>
    <row r="384" ht="15" customHeight="1" x14ac:dyDescent="0.65"/>
    <row r="385" ht="15" customHeight="1" x14ac:dyDescent="0.65"/>
    <row r="386" ht="15" customHeight="1" x14ac:dyDescent="0.65"/>
    <row r="387" ht="15" customHeight="1" x14ac:dyDescent="0.65"/>
    <row r="388" ht="15" customHeight="1" x14ac:dyDescent="0.65"/>
    <row r="389" ht="15" customHeight="1" x14ac:dyDescent="0.65"/>
    <row r="390" ht="15" customHeight="1" x14ac:dyDescent="0.65"/>
    <row r="391" ht="15" customHeight="1" x14ac:dyDescent="0.65"/>
    <row r="392" ht="15" customHeight="1" x14ac:dyDescent="0.65"/>
    <row r="393" ht="15" customHeight="1" x14ac:dyDescent="0.65"/>
    <row r="394" ht="15" customHeight="1" x14ac:dyDescent="0.65"/>
    <row r="395" ht="15" customHeight="1" x14ac:dyDescent="0.65"/>
    <row r="396" ht="15" customHeight="1" x14ac:dyDescent="0.65"/>
    <row r="397" ht="15" customHeight="1" x14ac:dyDescent="0.65"/>
    <row r="398" ht="15" customHeight="1" x14ac:dyDescent="0.65"/>
    <row r="399" ht="15" customHeight="1" x14ac:dyDescent="0.65"/>
    <row r="400" ht="15" customHeight="1" x14ac:dyDescent="0.65"/>
    <row r="401" ht="15" customHeight="1" x14ac:dyDescent="0.65"/>
    <row r="402" ht="15" customHeight="1" x14ac:dyDescent="0.65"/>
    <row r="403" ht="15" customHeight="1" x14ac:dyDescent="0.65"/>
    <row r="404" ht="15" customHeight="1" x14ac:dyDescent="0.65"/>
    <row r="405" ht="15" customHeight="1" x14ac:dyDescent="0.65"/>
    <row r="406" ht="15" customHeight="1" x14ac:dyDescent="0.65"/>
    <row r="407" ht="15" customHeight="1" x14ac:dyDescent="0.65"/>
    <row r="408" ht="15" customHeight="1" x14ac:dyDescent="0.65"/>
    <row r="409" ht="15" customHeight="1" x14ac:dyDescent="0.65"/>
    <row r="410" ht="15" customHeight="1" x14ac:dyDescent="0.65"/>
    <row r="411" ht="15" customHeight="1" x14ac:dyDescent="0.65"/>
    <row r="412" ht="15" customHeight="1" x14ac:dyDescent="0.65"/>
    <row r="413" ht="15" customHeight="1" x14ac:dyDescent="0.65"/>
    <row r="414" ht="15" customHeight="1" x14ac:dyDescent="0.65"/>
    <row r="415" ht="15" customHeight="1" x14ac:dyDescent="0.65"/>
    <row r="416" ht="15" customHeight="1" x14ac:dyDescent="0.65"/>
    <row r="417" ht="15" customHeight="1" x14ac:dyDescent="0.65"/>
    <row r="418" ht="15" customHeight="1" x14ac:dyDescent="0.65"/>
    <row r="419" ht="15" customHeight="1" x14ac:dyDescent="0.65"/>
    <row r="420" ht="15" customHeight="1" x14ac:dyDescent="0.65"/>
    <row r="421" ht="15" customHeight="1" x14ac:dyDescent="0.65"/>
    <row r="422" ht="15" customHeight="1" x14ac:dyDescent="0.65"/>
    <row r="423" ht="15" customHeight="1" x14ac:dyDescent="0.65"/>
    <row r="424" ht="15" customHeight="1" x14ac:dyDescent="0.65"/>
    <row r="425" ht="15" customHeight="1" x14ac:dyDescent="0.65"/>
    <row r="426" ht="15" customHeight="1" x14ac:dyDescent="0.65"/>
    <row r="427" ht="15" customHeight="1" x14ac:dyDescent="0.65"/>
    <row r="428" ht="15" customHeight="1" x14ac:dyDescent="0.65"/>
    <row r="429" ht="15" customHeight="1" x14ac:dyDescent="0.65"/>
    <row r="430" ht="15" customHeight="1" x14ac:dyDescent="0.65"/>
    <row r="431" ht="15" customHeight="1" x14ac:dyDescent="0.65"/>
    <row r="432" ht="15" customHeight="1" x14ac:dyDescent="0.65"/>
    <row r="433" ht="15" customHeight="1" x14ac:dyDescent="0.65"/>
    <row r="434" ht="15" customHeight="1" x14ac:dyDescent="0.65"/>
    <row r="435" ht="15" customHeight="1" x14ac:dyDescent="0.65"/>
    <row r="436" ht="15" customHeight="1" x14ac:dyDescent="0.65"/>
    <row r="437" ht="15" customHeight="1" x14ac:dyDescent="0.65"/>
    <row r="438" ht="15" customHeight="1" x14ac:dyDescent="0.65"/>
    <row r="439" ht="15" customHeight="1" x14ac:dyDescent="0.65"/>
    <row r="440" ht="15" customHeight="1" x14ac:dyDescent="0.65"/>
    <row r="441" ht="15" customHeight="1" x14ac:dyDescent="0.65"/>
    <row r="442" ht="15" customHeight="1" x14ac:dyDescent="0.65"/>
    <row r="443" ht="15" customHeight="1" x14ac:dyDescent="0.65"/>
    <row r="444" ht="15" customHeight="1" x14ac:dyDescent="0.65"/>
    <row r="445" ht="15" customHeight="1" x14ac:dyDescent="0.65"/>
    <row r="446" ht="15" customHeight="1" x14ac:dyDescent="0.65"/>
    <row r="447" ht="15" customHeight="1" x14ac:dyDescent="0.65"/>
    <row r="448" ht="15" customHeight="1" x14ac:dyDescent="0.65"/>
    <row r="449" ht="15" customHeight="1" x14ac:dyDescent="0.65"/>
    <row r="450" ht="15" customHeight="1" x14ac:dyDescent="0.65"/>
    <row r="451" ht="15" customHeight="1" x14ac:dyDescent="0.65"/>
    <row r="452" ht="15" customHeight="1" x14ac:dyDescent="0.65"/>
    <row r="453" ht="15" customHeight="1" x14ac:dyDescent="0.65"/>
    <row r="454" ht="15" customHeight="1" x14ac:dyDescent="0.65"/>
    <row r="455" ht="15" customHeight="1" x14ac:dyDescent="0.65"/>
    <row r="456" ht="15" customHeight="1" x14ac:dyDescent="0.65"/>
    <row r="457" ht="15" customHeight="1" x14ac:dyDescent="0.65"/>
    <row r="458" ht="15" customHeight="1" x14ac:dyDescent="0.65"/>
    <row r="459" ht="15" customHeight="1" x14ac:dyDescent="0.65"/>
    <row r="460" ht="15" customHeight="1" x14ac:dyDescent="0.65"/>
    <row r="461" ht="15" customHeight="1" x14ac:dyDescent="0.65"/>
    <row r="462" ht="15" customHeight="1" x14ac:dyDescent="0.65"/>
    <row r="463" ht="15" customHeight="1" x14ac:dyDescent="0.65"/>
    <row r="464" ht="15" customHeight="1" x14ac:dyDescent="0.65"/>
    <row r="465" ht="15" customHeight="1" x14ac:dyDescent="0.65"/>
    <row r="466" ht="15" customHeight="1" x14ac:dyDescent="0.65"/>
    <row r="467" ht="15" customHeight="1" x14ac:dyDescent="0.65"/>
    <row r="468" ht="15" customHeight="1" x14ac:dyDescent="0.65"/>
    <row r="469" ht="15" customHeight="1" x14ac:dyDescent="0.65"/>
    <row r="470" ht="15" customHeight="1" x14ac:dyDescent="0.65"/>
    <row r="471" ht="15" customHeight="1" x14ac:dyDescent="0.65"/>
    <row r="472" ht="15" customHeight="1" x14ac:dyDescent="0.65"/>
    <row r="473" ht="15" customHeight="1" x14ac:dyDescent="0.65"/>
    <row r="474" ht="15" customHeight="1" x14ac:dyDescent="0.65"/>
    <row r="475" ht="15" customHeight="1" x14ac:dyDescent="0.65"/>
    <row r="476" ht="15" customHeight="1" x14ac:dyDescent="0.65"/>
    <row r="477" ht="15" customHeight="1" x14ac:dyDescent="0.65"/>
    <row r="478" ht="15" customHeight="1" x14ac:dyDescent="0.65"/>
    <row r="479" ht="15" customHeight="1" x14ac:dyDescent="0.65"/>
    <row r="480" ht="15" customHeight="1" x14ac:dyDescent="0.65"/>
    <row r="481" ht="15" customHeight="1" x14ac:dyDescent="0.65"/>
    <row r="482" ht="15" customHeight="1" x14ac:dyDescent="0.65"/>
    <row r="483" ht="15" customHeight="1" x14ac:dyDescent="0.65"/>
    <row r="484" ht="15" customHeight="1" x14ac:dyDescent="0.65"/>
    <row r="485" ht="15" customHeight="1" x14ac:dyDescent="0.65"/>
    <row r="486" ht="15" customHeight="1" x14ac:dyDescent="0.65"/>
    <row r="487" ht="15" customHeight="1" x14ac:dyDescent="0.65"/>
    <row r="488" ht="15" customHeight="1" x14ac:dyDescent="0.65"/>
    <row r="489" ht="15" customHeight="1" x14ac:dyDescent="0.65"/>
    <row r="490" ht="15" customHeight="1" x14ac:dyDescent="0.65"/>
    <row r="491" ht="15" customHeight="1" x14ac:dyDescent="0.65"/>
    <row r="492" ht="15" customHeight="1" x14ac:dyDescent="0.65"/>
    <row r="493" ht="15" customHeight="1" x14ac:dyDescent="0.65"/>
    <row r="494" ht="15" customHeight="1" x14ac:dyDescent="0.65"/>
    <row r="495" ht="15" customHeight="1" x14ac:dyDescent="0.65"/>
    <row r="496" ht="15" customHeight="1" x14ac:dyDescent="0.65"/>
    <row r="497" spans="2:33" ht="15" customHeight="1" x14ac:dyDescent="0.65"/>
    <row r="498" spans="2:33" ht="15" customHeight="1" x14ac:dyDescent="0.65"/>
    <row r="499" spans="2:33" ht="15" customHeight="1" x14ac:dyDescent="0.65"/>
    <row r="500" spans="2:33" ht="15" customHeight="1" x14ac:dyDescent="0.65"/>
    <row r="501" spans="2:33" ht="15" customHeight="1" x14ac:dyDescent="0.65"/>
    <row r="502" spans="2:33" ht="15" customHeight="1" x14ac:dyDescent="0.65"/>
    <row r="503" spans="2:33" ht="15" customHeight="1" x14ac:dyDescent="0.65"/>
    <row r="504" spans="2:33" ht="15" customHeight="1" x14ac:dyDescent="0.65"/>
    <row r="505" spans="2:33" ht="15" customHeight="1" x14ac:dyDescent="0.65"/>
    <row r="506" spans="2:33" ht="15" customHeight="1" x14ac:dyDescent="0.65"/>
    <row r="507" spans="2:33" ht="15" customHeight="1" x14ac:dyDescent="0.65"/>
    <row r="508" spans="2:33" ht="15" customHeight="1" x14ac:dyDescent="0.65"/>
    <row r="509" spans="2:33" ht="15" customHeight="1" x14ac:dyDescent="0.65"/>
    <row r="510" spans="2:33" ht="15" customHeight="1" x14ac:dyDescent="0.65"/>
    <row r="511" spans="2:33" ht="15" customHeight="1" x14ac:dyDescent="0.65">
      <c r="B511" s="475"/>
      <c r="C511" s="475"/>
      <c r="D511" s="475"/>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c r="AA511" s="475"/>
      <c r="AB511" s="475"/>
      <c r="AC511" s="475"/>
      <c r="AD511" s="475"/>
      <c r="AE511" s="475"/>
      <c r="AF511" s="475"/>
      <c r="AG511" s="475"/>
    </row>
    <row r="512" spans="2:33" ht="15" customHeight="1" x14ac:dyDescent="0.65"/>
    <row r="513" ht="15" customHeight="1" x14ac:dyDescent="0.65"/>
    <row r="514" ht="15" customHeight="1" x14ac:dyDescent="0.65"/>
    <row r="515" ht="15" customHeight="1" x14ac:dyDescent="0.65"/>
    <row r="516" ht="15" customHeight="1" x14ac:dyDescent="0.65"/>
    <row r="517" ht="15" customHeight="1" x14ac:dyDescent="0.65"/>
    <row r="518" ht="15" customHeight="1" x14ac:dyDescent="0.65"/>
    <row r="519" ht="15" customHeight="1" x14ac:dyDescent="0.65"/>
    <row r="520" ht="15" customHeight="1" x14ac:dyDescent="0.65"/>
    <row r="521" ht="15" customHeight="1" x14ac:dyDescent="0.65"/>
    <row r="522" ht="15" customHeight="1" x14ac:dyDescent="0.65"/>
    <row r="523" ht="15" customHeight="1" x14ac:dyDescent="0.65"/>
    <row r="524" ht="15" customHeight="1" x14ac:dyDescent="0.65"/>
    <row r="525" ht="15" customHeight="1" x14ac:dyDescent="0.65"/>
    <row r="526" ht="15" customHeight="1" x14ac:dyDescent="0.65"/>
    <row r="527" ht="15" customHeight="1" x14ac:dyDescent="0.65"/>
    <row r="528" ht="15" customHeight="1" x14ac:dyDescent="0.65"/>
    <row r="529" ht="15" customHeight="1" x14ac:dyDescent="0.65"/>
    <row r="530" ht="15" customHeight="1" x14ac:dyDescent="0.65"/>
    <row r="531" ht="15" customHeight="1" x14ac:dyDescent="0.65"/>
    <row r="532" ht="15" customHeight="1" x14ac:dyDescent="0.65"/>
    <row r="533" ht="15" customHeight="1" x14ac:dyDescent="0.65"/>
    <row r="534" ht="15" customHeight="1" x14ac:dyDescent="0.65"/>
    <row r="535" ht="15" customHeight="1" x14ac:dyDescent="0.65"/>
    <row r="536" ht="15" customHeight="1" x14ac:dyDescent="0.65"/>
    <row r="537" ht="15" customHeight="1" x14ac:dyDescent="0.65"/>
    <row r="538" ht="15" customHeight="1" x14ac:dyDescent="0.65"/>
    <row r="539" ht="15" customHeight="1" x14ac:dyDescent="0.65"/>
    <row r="540" ht="15" customHeight="1" x14ac:dyDescent="0.65"/>
    <row r="541" ht="15" customHeight="1" x14ac:dyDescent="0.65"/>
    <row r="542" ht="15" customHeight="1" x14ac:dyDescent="0.65"/>
    <row r="543" ht="15" customHeight="1" x14ac:dyDescent="0.65"/>
    <row r="544" ht="15" customHeight="1" x14ac:dyDescent="0.65"/>
    <row r="545" ht="15" customHeight="1" x14ac:dyDescent="0.65"/>
    <row r="546" ht="15" customHeight="1" x14ac:dyDescent="0.65"/>
    <row r="547" ht="15" customHeight="1" x14ac:dyDescent="0.65"/>
    <row r="548" ht="15" customHeight="1" x14ac:dyDescent="0.65"/>
    <row r="549" ht="15" customHeight="1" x14ac:dyDescent="0.65"/>
    <row r="550" ht="15" customHeight="1" x14ac:dyDescent="0.65"/>
    <row r="551" ht="15" customHeight="1" x14ac:dyDescent="0.65"/>
    <row r="552" ht="15" customHeight="1" x14ac:dyDescent="0.65"/>
    <row r="553" ht="15" customHeight="1" x14ac:dyDescent="0.65"/>
    <row r="554" ht="15" customHeight="1" x14ac:dyDescent="0.65"/>
    <row r="555" ht="15" customHeight="1" x14ac:dyDescent="0.65"/>
    <row r="556" ht="15" customHeight="1" x14ac:dyDescent="0.65"/>
    <row r="557" ht="15" customHeight="1" x14ac:dyDescent="0.65"/>
    <row r="558" ht="15" customHeight="1" x14ac:dyDescent="0.65"/>
    <row r="559" ht="15" customHeight="1" x14ac:dyDescent="0.65"/>
    <row r="560" ht="15" customHeight="1" x14ac:dyDescent="0.65"/>
    <row r="561" ht="15" customHeight="1" x14ac:dyDescent="0.65"/>
    <row r="562" ht="15" customHeight="1" x14ac:dyDescent="0.65"/>
    <row r="563" ht="15" customHeight="1" x14ac:dyDescent="0.65"/>
    <row r="564" ht="15" customHeight="1" x14ac:dyDescent="0.65"/>
    <row r="565" ht="15" customHeight="1" x14ac:dyDescent="0.65"/>
    <row r="566" ht="15" customHeight="1" x14ac:dyDescent="0.65"/>
    <row r="567" ht="15" customHeight="1" x14ac:dyDescent="0.65"/>
    <row r="568" ht="15" customHeight="1" x14ac:dyDescent="0.65"/>
    <row r="569" ht="15" customHeight="1" x14ac:dyDescent="0.65"/>
    <row r="570" ht="15" customHeight="1" x14ac:dyDescent="0.65"/>
    <row r="571" ht="15" customHeight="1" x14ac:dyDescent="0.65"/>
    <row r="572" ht="15" customHeight="1" x14ac:dyDescent="0.65"/>
    <row r="573" ht="15" customHeight="1" x14ac:dyDescent="0.65"/>
    <row r="574" ht="15" customHeight="1" x14ac:dyDescent="0.65"/>
    <row r="575" ht="15" customHeight="1" x14ac:dyDescent="0.65"/>
    <row r="576" ht="15" customHeight="1" x14ac:dyDescent="0.65"/>
    <row r="577" ht="15" customHeight="1" x14ac:dyDescent="0.65"/>
    <row r="578" ht="15" customHeight="1" x14ac:dyDescent="0.65"/>
    <row r="579" ht="15" customHeight="1" x14ac:dyDescent="0.65"/>
    <row r="580" ht="15" customHeight="1" x14ac:dyDescent="0.65"/>
    <row r="581" ht="15" customHeight="1" x14ac:dyDescent="0.65"/>
    <row r="582" ht="15" customHeight="1" x14ac:dyDescent="0.65"/>
    <row r="583" ht="15" customHeight="1" x14ac:dyDescent="0.65"/>
    <row r="584" ht="15" customHeight="1" x14ac:dyDescent="0.65"/>
    <row r="585" ht="15" customHeight="1" x14ac:dyDescent="0.65"/>
    <row r="586" ht="15" customHeight="1" x14ac:dyDescent="0.65"/>
    <row r="587" ht="15" customHeight="1" x14ac:dyDescent="0.65"/>
    <row r="588" ht="15" customHeight="1" x14ac:dyDescent="0.65"/>
    <row r="589" ht="15" customHeight="1" x14ac:dyDescent="0.65"/>
    <row r="590" ht="15" customHeight="1" x14ac:dyDescent="0.65"/>
    <row r="591" ht="15" customHeight="1" x14ac:dyDescent="0.65"/>
    <row r="592" ht="15" customHeight="1" x14ac:dyDescent="0.65"/>
    <row r="593" ht="15" customHeight="1" x14ac:dyDescent="0.65"/>
    <row r="594" ht="15" customHeight="1" x14ac:dyDescent="0.65"/>
    <row r="595" ht="15" customHeight="1" x14ac:dyDescent="0.65"/>
    <row r="596" ht="15" customHeight="1" x14ac:dyDescent="0.65"/>
    <row r="597" ht="15" customHeight="1" x14ac:dyDescent="0.65"/>
    <row r="598" ht="15" customHeight="1" x14ac:dyDescent="0.65"/>
    <row r="599" ht="15" customHeight="1" x14ac:dyDescent="0.65"/>
    <row r="600" ht="15" customHeight="1" x14ac:dyDescent="0.65"/>
    <row r="601" ht="15" customHeight="1" x14ac:dyDescent="0.65"/>
    <row r="602" ht="15" customHeight="1" x14ac:dyDescent="0.65"/>
    <row r="603" ht="15" customHeight="1" x14ac:dyDescent="0.65"/>
    <row r="604" ht="15" customHeight="1" x14ac:dyDescent="0.65"/>
    <row r="605" ht="15" customHeight="1" x14ac:dyDescent="0.65"/>
    <row r="606" ht="15" customHeight="1" x14ac:dyDescent="0.65"/>
    <row r="607" ht="15" customHeight="1" x14ac:dyDescent="0.65"/>
    <row r="608" ht="15" customHeight="1" x14ac:dyDescent="0.65"/>
    <row r="609" ht="15" customHeight="1" x14ac:dyDescent="0.65"/>
    <row r="610" ht="15" customHeight="1" x14ac:dyDescent="0.65"/>
    <row r="611" ht="15" customHeight="1" x14ac:dyDescent="0.65"/>
    <row r="612" ht="15" customHeight="1" x14ac:dyDescent="0.65"/>
    <row r="613" ht="15" customHeight="1" x14ac:dyDescent="0.65"/>
    <row r="614" ht="15" customHeight="1" x14ac:dyDescent="0.65"/>
    <row r="615" ht="15" customHeight="1" x14ac:dyDescent="0.65"/>
    <row r="616" ht="15" customHeight="1" x14ac:dyDescent="0.65"/>
    <row r="617" ht="15" customHeight="1" x14ac:dyDescent="0.65"/>
    <row r="618" ht="15" customHeight="1" x14ac:dyDescent="0.65"/>
    <row r="619" ht="15" customHeight="1" x14ac:dyDescent="0.65"/>
    <row r="620" ht="15" customHeight="1" x14ac:dyDescent="0.65"/>
    <row r="621" ht="15" customHeight="1" x14ac:dyDescent="0.65"/>
    <row r="622" ht="15" customHeight="1" x14ac:dyDescent="0.65"/>
    <row r="623" ht="15" customHeight="1" x14ac:dyDescent="0.65"/>
    <row r="624" ht="15" customHeight="1" x14ac:dyDescent="0.65"/>
    <row r="625" ht="15" customHeight="1" x14ac:dyDescent="0.65"/>
    <row r="626" ht="15" customHeight="1" x14ac:dyDescent="0.65"/>
    <row r="627" ht="15" customHeight="1" x14ac:dyDescent="0.65"/>
    <row r="628" ht="15" customHeight="1" x14ac:dyDescent="0.65"/>
    <row r="629" ht="15" customHeight="1" x14ac:dyDescent="0.65"/>
    <row r="630" ht="15" customHeight="1" x14ac:dyDescent="0.65"/>
    <row r="631" ht="15" customHeight="1" x14ac:dyDescent="0.65"/>
    <row r="632" ht="15" customHeight="1" x14ac:dyDescent="0.65"/>
    <row r="633" ht="15" customHeight="1" x14ac:dyDescent="0.65"/>
    <row r="634" ht="15" customHeight="1" x14ac:dyDescent="0.65"/>
    <row r="635" ht="15" customHeight="1" x14ac:dyDescent="0.65"/>
    <row r="636" ht="15" customHeight="1" x14ac:dyDescent="0.65"/>
    <row r="637" ht="15" customHeight="1" x14ac:dyDescent="0.65"/>
    <row r="638" ht="15" customHeight="1" x14ac:dyDescent="0.65"/>
    <row r="639" ht="15" customHeight="1" x14ac:dyDescent="0.65"/>
    <row r="640" ht="15" customHeight="1" x14ac:dyDescent="0.65"/>
    <row r="641" ht="15" customHeight="1" x14ac:dyDescent="0.65"/>
    <row r="642" ht="15" customHeight="1" x14ac:dyDescent="0.65"/>
    <row r="643" ht="15" customHeight="1" x14ac:dyDescent="0.65"/>
    <row r="644" ht="15" customHeight="1" x14ac:dyDescent="0.65"/>
    <row r="645" ht="15" customHeight="1" x14ac:dyDescent="0.65"/>
    <row r="646" ht="15" customHeight="1" x14ac:dyDescent="0.65"/>
    <row r="647" ht="15" customHeight="1" x14ac:dyDescent="0.65"/>
    <row r="648" ht="15" customHeight="1" x14ac:dyDescent="0.65"/>
    <row r="649" ht="15" customHeight="1" x14ac:dyDescent="0.65"/>
    <row r="650" ht="15" customHeight="1" x14ac:dyDescent="0.65"/>
    <row r="651" ht="15" customHeight="1" x14ac:dyDescent="0.65"/>
    <row r="652" ht="15" customHeight="1" x14ac:dyDescent="0.65"/>
    <row r="653" ht="15" customHeight="1" x14ac:dyDescent="0.65"/>
    <row r="654" ht="15" customHeight="1" x14ac:dyDescent="0.65"/>
    <row r="655" ht="15" customHeight="1" x14ac:dyDescent="0.65"/>
    <row r="656" ht="15" customHeight="1" x14ac:dyDescent="0.65"/>
    <row r="657" ht="15" customHeight="1" x14ac:dyDescent="0.65"/>
    <row r="658" ht="15" customHeight="1" x14ac:dyDescent="0.65"/>
    <row r="659" ht="15" customHeight="1" x14ac:dyDescent="0.65"/>
    <row r="660" ht="15" customHeight="1" x14ac:dyDescent="0.65"/>
    <row r="661" ht="15" customHeight="1" x14ac:dyDescent="0.65"/>
    <row r="662" ht="15" customHeight="1" x14ac:dyDescent="0.65"/>
    <row r="663" ht="15" customHeight="1" x14ac:dyDescent="0.65"/>
    <row r="664" ht="15" customHeight="1" x14ac:dyDescent="0.65"/>
    <row r="665" ht="15" customHeight="1" x14ac:dyDescent="0.65"/>
    <row r="666" ht="15" customHeight="1" x14ac:dyDescent="0.65"/>
    <row r="667" ht="15" customHeight="1" x14ac:dyDescent="0.65"/>
    <row r="668" ht="15" customHeight="1" x14ac:dyDescent="0.65"/>
    <row r="669" ht="15" customHeight="1" x14ac:dyDescent="0.65"/>
    <row r="670" ht="15" customHeight="1" x14ac:dyDescent="0.65"/>
    <row r="671" ht="15" customHeight="1" x14ac:dyDescent="0.65"/>
    <row r="672" ht="15" customHeight="1" x14ac:dyDescent="0.65"/>
    <row r="673" ht="15" customHeight="1" x14ac:dyDescent="0.65"/>
    <row r="674" ht="15" customHeight="1" x14ac:dyDescent="0.65"/>
    <row r="675" ht="15" customHeight="1" x14ac:dyDescent="0.65"/>
    <row r="676" ht="15" customHeight="1" x14ac:dyDescent="0.65"/>
    <row r="677" ht="15" customHeight="1" x14ac:dyDescent="0.65"/>
    <row r="678" ht="15" customHeight="1" x14ac:dyDescent="0.65"/>
    <row r="679" ht="15" customHeight="1" x14ac:dyDescent="0.65"/>
    <row r="680" ht="15" customHeight="1" x14ac:dyDescent="0.65"/>
    <row r="681" ht="15" customHeight="1" x14ac:dyDescent="0.65"/>
    <row r="682" ht="15" customHeight="1" x14ac:dyDescent="0.65"/>
    <row r="683" ht="15" customHeight="1" x14ac:dyDescent="0.65"/>
    <row r="684" ht="15" customHeight="1" x14ac:dyDescent="0.65"/>
    <row r="685" ht="15" customHeight="1" x14ac:dyDescent="0.65"/>
    <row r="686" ht="15" customHeight="1" x14ac:dyDescent="0.65"/>
    <row r="687" ht="15" customHeight="1" x14ac:dyDescent="0.65"/>
    <row r="688" ht="15" customHeight="1" x14ac:dyDescent="0.65"/>
    <row r="689" ht="15" customHeight="1" x14ac:dyDescent="0.65"/>
    <row r="690" ht="15" customHeight="1" x14ac:dyDescent="0.65"/>
    <row r="691" ht="15" customHeight="1" x14ac:dyDescent="0.65"/>
    <row r="692" ht="15" customHeight="1" x14ac:dyDescent="0.65"/>
    <row r="693" ht="15" customHeight="1" x14ac:dyDescent="0.65"/>
    <row r="694" ht="15" customHeight="1" x14ac:dyDescent="0.65"/>
    <row r="695" ht="15" customHeight="1" x14ac:dyDescent="0.65"/>
    <row r="696" ht="15" customHeight="1" x14ac:dyDescent="0.65"/>
    <row r="697" ht="15" customHeight="1" x14ac:dyDescent="0.65"/>
    <row r="698" ht="15" customHeight="1" x14ac:dyDescent="0.65"/>
    <row r="699" ht="15" customHeight="1" x14ac:dyDescent="0.65"/>
    <row r="700" ht="15" customHeight="1" x14ac:dyDescent="0.65"/>
    <row r="701" ht="15" customHeight="1" x14ac:dyDescent="0.65"/>
    <row r="702" ht="15" customHeight="1" x14ac:dyDescent="0.65"/>
    <row r="703" ht="15" customHeight="1" x14ac:dyDescent="0.65"/>
    <row r="704" ht="15" customHeight="1" x14ac:dyDescent="0.65"/>
    <row r="705" spans="2:33" ht="15" customHeight="1" x14ac:dyDescent="0.65"/>
    <row r="706" spans="2:33" ht="15" customHeight="1" x14ac:dyDescent="0.65"/>
    <row r="707" spans="2:33" ht="15" customHeight="1" x14ac:dyDescent="0.65"/>
    <row r="708" spans="2:33" ht="15" customHeight="1" x14ac:dyDescent="0.65"/>
    <row r="709" spans="2:33" ht="15" customHeight="1" x14ac:dyDescent="0.65"/>
    <row r="710" spans="2:33" ht="15" customHeight="1" x14ac:dyDescent="0.65"/>
    <row r="711" spans="2:33" ht="15" customHeight="1" x14ac:dyDescent="0.65"/>
    <row r="712" spans="2:33" ht="15" customHeight="1" x14ac:dyDescent="0.65">
      <c r="B712" s="475"/>
      <c r="C712" s="475"/>
      <c r="D712" s="475"/>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c r="AA712" s="475"/>
      <c r="AB712" s="475"/>
      <c r="AC712" s="475"/>
      <c r="AD712" s="475"/>
      <c r="AE712" s="475"/>
      <c r="AF712" s="475"/>
      <c r="AG712" s="475"/>
    </row>
    <row r="713" spans="2:33" ht="15" customHeight="1" x14ac:dyDescent="0.65"/>
    <row r="714" spans="2:33" ht="15" customHeight="1" x14ac:dyDescent="0.65"/>
    <row r="715" spans="2:33" ht="15" customHeight="1" x14ac:dyDescent="0.65"/>
    <row r="716" spans="2:33" ht="15" customHeight="1" x14ac:dyDescent="0.65"/>
    <row r="717" spans="2:33" ht="15" customHeight="1" x14ac:dyDescent="0.65"/>
    <row r="718" spans="2:33" ht="15" customHeight="1" x14ac:dyDescent="0.65"/>
    <row r="719" spans="2:33" ht="15" customHeight="1" x14ac:dyDescent="0.65"/>
    <row r="720" spans="2:33" ht="15" customHeight="1" x14ac:dyDescent="0.65"/>
    <row r="721" ht="15" customHeight="1" x14ac:dyDescent="0.65"/>
    <row r="722" ht="15" customHeight="1" x14ac:dyDescent="0.65"/>
    <row r="723" ht="15" customHeight="1" x14ac:dyDescent="0.65"/>
    <row r="724" ht="15" customHeight="1" x14ac:dyDescent="0.65"/>
    <row r="725" ht="15" customHeight="1" x14ac:dyDescent="0.65"/>
    <row r="726" ht="15" customHeight="1" x14ac:dyDescent="0.65"/>
    <row r="727" ht="15" customHeight="1" x14ac:dyDescent="0.65"/>
    <row r="728" ht="15" customHeight="1" x14ac:dyDescent="0.65"/>
    <row r="729" ht="15" customHeight="1" x14ac:dyDescent="0.65"/>
    <row r="730" ht="15" customHeight="1" x14ac:dyDescent="0.65"/>
    <row r="731" ht="15" customHeight="1" x14ac:dyDescent="0.65"/>
    <row r="732" ht="15" customHeight="1" x14ac:dyDescent="0.65"/>
    <row r="733" ht="15" customHeight="1" x14ac:dyDescent="0.65"/>
    <row r="734" ht="15" customHeight="1" x14ac:dyDescent="0.65"/>
    <row r="735" ht="15" customHeight="1" x14ac:dyDescent="0.65"/>
    <row r="736" ht="15" customHeight="1" x14ac:dyDescent="0.65"/>
    <row r="737" ht="15" customHeight="1" x14ac:dyDescent="0.65"/>
    <row r="738" ht="15" customHeight="1" x14ac:dyDescent="0.65"/>
    <row r="739" ht="15" customHeight="1" x14ac:dyDescent="0.65"/>
    <row r="740" ht="15" customHeight="1" x14ac:dyDescent="0.65"/>
    <row r="741" ht="15" customHeight="1" x14ac:dyDescent="0.65"/>
    <row r="742" ht="15" customHeight="1" x14ac:dyDescent="0.65"/>
    <row r="743" ht="15" customHeight="1" x14ac:dyDescent="0.65"/>
    <row r="744" ht="15" customHeight="1" x14ac:dyDescent="0.65"/>
    <row r="745" ht="15" customHeight="1" x14ac:dyDescent="0.65"/>
    <row r="746" ht="15" customHeight="1" x14ac:dyDescent="0.65"/>
    <row r="747" ht="15" customHeight="1" x14ac:dyDescent="0.65"/>
    <row r="748" ht="15" customHeight="1" x14ac:dyDescent="0.65"/>
    <row r="749" ht="15" customHeight="1" x14ac:dyDescent="0.65"/>
    <row r="750" ht="15" customHeight="1" x14ac:dyDescent="0.65"/>
    <row r="751" ht="15" customHeight="1" x14ac:dyDescent="0.65"/>
    <row r="752" ht="15" customHeight="1" x14ac:dyDescent="0.65"/>
    <row r="753" ht="15" customHeight="1" x14ac:dyDescent="0.65"/>
    <row r="754" ht="15" customHeight="1" x14ac:dyDescent="0.65"/>
    <row r="755" ht="15" customHeight="1" x14ac:dyDescent="0.65"/>
    <row r="756" ht="15" customHeight="1" x14ac:dyDescent="0.65"/>
    <row r="757" ht="15" customHeight="1" x14ac:dyDescent="0.65"/>
    <row r="758" ht="15" customHeight="1" x14ac:dyDescent="0.65"/>
    <row r="759" ht="15" customHeight="1" x14ac:dyDescent="0.65"/>
    <row r="760" ht="15" customHeight="1" x14ac:dyDescent="0.65"/>
    <row r="761" ht="15" customHeight="1" x14ac:dyDescent="0.65"/>
    <row r="762" ht="15" customHeight="1" x14ac:dyDescent="0.65"/>
    <row r="763" ht="15" customHeight="1" x14ac:dyDescent="0.65"/>
    <row r="764" ht="15" customHeight="1" x14ac:dyDescent="0.65"/>
    <row r="765" ht="15" customHeight="1" x14ac:dyDescent="0.65"/>
    <row r="766" ht="15" customHeight="1" x14ac:dyDescent="0.65"/>
    <row r="767" ht="15" customHeight="1" x14ac:dyDescent="0.65"/>
    <row r="768" ht="15" customHeight="1" x14ac:dyDescent="0.65"/>
    <row r="769" ht="15" customHeight="1" x14ac:dyDescent="0.65"/>
    <row r="770" ht="15" customHeight="1" x14ac:dyDescent="0.65"/>
    <row r="771" ht="15" customHeight="1" x14ac:dyDescent="0.65"/>
    <row r="772" ht="15" customHeight="1" x14ac:dyDescent="0.65"/>
    <row r="773" ht="15" customHeight="1" x14ac:dyDescent="0.65"/>
    <row r="774" ht="15" customHeight="1" x14ac:dyDescent="0.65"/>
    <row r="775" ht="15" customHeight="1" x14ac:dyDescent="0.65"/>
    <row r="776" ht="15" customHeight="1" x14ac:dyDescent="0.65"/>
    <row r="777" ht="15" customHeight="1" x14ac:dyDescent="0.65"/>
    <row r="778" ht="15" customHeight="1" x14ac:dyDescent="0.65"/>
    <row r="779" ht="15" customHeight="1" x14ac:dyDescent="0.65"/>
    <row r="780" ht="15" customHeight="1" x14ac:dyDescent="0.65"/>
    <row r="781" ht="15" customHeight="1" x14ac:dyDescent="0.65"/>
    <row r="782" ht="15" customHeight="1" x14ac:dyDescent="0.65"/>
    <row r="783" ht="15" customHeight="1" x14ac:dyDescent="0.65"/>
    <row r="784" ht="15" customHeight="1" x14ac:dyDescent="0.65"/>
    <row r="785" ht="15" customHeight="1" x14ac:dyDescent="0.65"/>
    <row r="786" ht="15" customHeight="1" x14ac:dyDescent="0.65"/>
    <row r="787" ht="15" customHeight="1" x14ac:dyDescent="0.65"/>
    <row r="788" ht="15" customHeight="1" x14ac:dyDescent="0.65"/>
    <row r="789" ht="15" customHeight="1" x14ac:dyDescent="0.65"/>
    <row r="790" ht="15" customHeight="1" x14ac:dyDescent="0.65"/>
    <row r="791" ht="15" customHeight="1" x14ac:dyDescent="0.65"/>
    <row r="792" ht="15" customHeight="1" x14ac:dyDescent="0.65"/>
    <row r="793" ht="15" customHeight="1" x14ac:dyDescent="0.65"/>
    <row r="794" ht="15" customHeight="1" x14ac:dyDescent="0.65"/>
    <row r="795" ht="15" customHeight="1" x14ac:dyDescent="0.65"/>
    <row r="796" ht="15" customHeight="1" x14ac:dyDescent="0.65"/>
    <row r="797" ht="15" customHeight="1" x14ac:dyDescent="0.65"/>
    <row r="798" ht="15" customHeight="1" x14ac:dyDescent="0.65"/>
    <row r="799" ht="15" customHeight="1" x14ac:dyDescent="0.65"/>
    <row r="800" ht="15" customHeight="1" x14ac:dyDescent="0.65"/>
    <row r="801" ht="15" customHeight="1" x14ac:dyDescent="0.65"/>
    <row r="802" ht="15" customHeight="1" x14ac:dyDescent="0.65"/>
    <row r="803" ht="15" customHeight="1" x14ac:dyDescent="0.65"/>
    <row r="804" ht="15" customHeight="1" x14ac:dyDescent="0.65"/>
    <row r="805" ht="15" customHeight="1" x14ac:dyDescent="0.65"/>
    <row r="806" ht="15" customHeight="1" x14ac:dyDescent="0.65"/>
    <row r="807" ht="15" customHeight="1" x14ac:dyDescent="0.65"/>
    <row r="808" ht="15" customHeight="1" x14ac:dyDescent="0.65"/>
    <row r="809" ht="15" customHeight="1" x14ac:dyDescent="0.65"/>
    <row r="810" ht="15" customHeight="1" x14ac:dyDescent="0.65"/>
    <row r="811" ht="15" customHeight="1" x14ac:dyDescent="0.65"/>
    <row r="812" ht="15" customHeight="1" x14ac:dyDescent="0.65"/>
    <row r="813" ht="15" customHeight="1" x14ac:dyDescent="0.65"/>
    <row r="814" ht="15" customHeight="1" x14ac:dyDescent="0.65"/>
    <row r="815" ht="15" customHeight="1" x14ac:dyDescent="0.65"/>
    <row r="816" ht="15" customHeight="1" x14ac:dyDescent="0.65"/>
    <row r="817" ht="15" customHeight="1" x14ac:dyDescent="0.65"/>
    <row r="818" ht="15" customHeight="1" x14ac:dyDescent="0.65"/>
    <row r="819" ht="15" customHeight="1" x14ac:dyDescent="0.65"/>
    <row r="820" ht="15" customHeight="1" x14ac:dyDescent="0.65"/>
    <row r="821" ht="15" customHeight="1" x14ac:dyDescent="0.65"/>
    <row r="822" ht="15" customHeight="1" x14ac:dyDescent="0.65"/>
    <row r="823" ht="15" customHeight="1" x14ac:dyDescent="0.65"/>
    <row r="824" ht="15" customHeight="1" x14ac:dyDescent="0.65"/>
    <row r="825" ht="15" customHeight="1" x14ac:dyDescent="0.65"/>
    <row r="826" ht="15" customHeight="1" x14ac:dyDescent="0.65"/>
    <row r="827" ht="15" customHeight="1" x14ac:dyDescent="0.65"/>
    <row r="828" ht="15" customHeight="1" x14ac:dyDescent="0.65"/>
    <row r="829" ht="15" customHeight="1" x14ac:dyDescent="0.65"/>
    <row r="830" ht="15" customHeight="1" x14ac:dyDescent="0.65"/>
    <row r="831" ht="15" customHeight="1" x14ac:dyDescent="0.65"/>
    <row r="832" ht="15" customHeight="1" x14ac:dyDescent="0.65"/>
    <row r="833" ht="15" customHeight="1" x14ac:dyDescent="0.65"/>
    <row r="834" ht="15" customHeight="1" x14ac:dyDescent="0.65"/>
    <row r="835" ht="15" customHeight="1" x14ac:dyDescent="0.65"/>
    <row r="836" ht="15" customHeight="1" x14ac:dyDescent="0.65"/>
    <row r="837" ht="15" customHeight="1" x14ac:dyDescent="0.65"/>
    <row r="838" ht="15" customHeight="1" x14ac:dyDescent="0.65"/>
    <row r="839" ht="15" customHeight="1" x14ac:dyDescent="0.65"/>
    <row r="840" ht="15" customHeight="1" x14ac:dyDescent="0.65"/>
    <row r="841" ht="15" customHeight="1" x14ac:dyDescent="0.65"/>
    <row r="842" ht="15" customHeight="1" x14ac:dyDescent="0.65"/>
    <row r="843" ht="15" customHeight="1" x14ac:dyDescent="0.65"/>
    <row r="844" ht="15" customHeight="1" x14ac:dyDescent="0.65"/>
    <row r="845" ht="15" customHeight="1" x14ac:dyDescent="0.65"/>
    <row r="846" ht="15" customHeight="1" x14ac:dyDescent="0.65"/>
    <row r="847" ht="15" customHeight="1" x14ac:dyDescent="0.65"/>
    <row r="848" ht="15" customHeight="1" x14ac:dyDescent="0.65"/>
    <row r="849" ht="15" customHeight="1" x14ac:dyDescent="0.65"/>
    <row r="850" ht="15" customHeight="1" x14ac:dyDescent="0.65"/>
    <row r="851" ht="15" customHeight="1" x14ac:dyDescent="0.65"/>
    <row r="852" ht="15" customHeight="1" x14ac:dyDescent="0.65"/>
    <row r="853" ht="15" customHeight="1" x14ac:dyDescent="0.65"/>
    <row r="854" ht="15" customHeight="1" x14ac:dyDescent="0.65"/>
    <row r="855" ht="15" customHeight="1" x14ac:dyDescent="0.65"/>
    <row r="856" ht="15" customHeight="1" x14ac:dyDescent="0.65"/>
    <row r="857" ht="15" customHeight="1" x14ac:dyDescent="0.65"/>
    <row r="858" ht="15" customHeight="1" x14ac:dyDescent="0.65"/>
    <row r="859" ht="15" customHeight="1" x14ac:dyDescent="0.65"/>
    <row r="860" ht="15" customHeight="1" x14ac:dyDescent="0.65"/>
    <row r="861" ht="15" customHeight="1" x14ac:dyDescent="0.65"/>
    <row r="862" ht="15" customHeight="1" x14ac:dyDescent="0.65"/>
    <row r="863" ht="15" customHeight="1" x14ac:dyDescent="0.65"/>
    <row r="864" ht="15" customHeight="1" x14ac:dyDescent="0.65"/>
    <row r="865" ht="15" customHeight="1" x14ac:dyDescent="0.65"/>
    <row r="866" ht="15" customHeight="1" x14ac:dyDescent="0.65"/>
    <row r="867" ht="15" customHeight="1" x14ac:dyDescent="0.65"/>
    <row r="868" ht="15" customHeight="1" x14ac:dyDescent="0.65"/>
    <row r="869" ht="15" customHeight="1" x14ac:dyDescent="0.65"/>
    <row r="870" ht="15" customHeight="1" x14ac:dyDescent="0.65"/>
    <row r="871" ht="15" customHeight="1" x14ac:dyDescent="0.65"/>
    <row r="872" ht="15" customHeight="1" x14ac:dyDescent="0.65"/>
    <row r="873" ht="15" customHeight="1" x14ac:dyDescent="0.65"/>
    <row r="874" ht="15" customHeight="1" x14ac:dyDescent="0.65"/>
    <row r="875" ht="15" customHeight="1" x14ac:dyDescent="0.65"/>
    <row r="876" ht="15" customHeight="1" x14ac:dyDescent="0.65"/>
    <row r="877" ht="15" customHeight="1" x14ac:dyDescent="0.65"/>
    <row r="878" ht="15" customHeight="1" x14ac:dyDescent="0.65"/>
    <row r="879" ht="15" customHeight="1" x14ac:dyDescent="0.65"/>
    <row r="880" ht="15" customHeight="1" x14ac:dyDescent="0.65"/>
    <row r="881" spans="2:33" ht="15" customHeight="1" x14ac:dyDescent="0.65"/>
    <row r="882" spans="2:33" ht="15" customHeight="1" x14ac:dyDescent="0.65"/>
    <row r="883" spans="2:33" ht="15" customHeight="1" x14ac:dyDescent="0.65"/>
    <row r="884" spans="2:33" ht="15" customHeight="1" x14ac:dyDescent="0.65"/>
    <row r="885" spans="2:33" ht="15" customHeight="1" x14ac:dyDescent="0.65"/>
    <row r="886" spans="2:33" ht="15" customHeight="1" x14ac:dyDescent="0.65"/>
    <row r="887" spans="2:33" ht="15" customHeight="1" x14ac:dyDescent="0.65">
      <c r="B887" s="475"/>
      <c r="C887" s="475"/>
      <c r="D887" s="475"/>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c r="AA887" s="475"/>
      <c r="AB887" s="475"/>
      <c r="AC887" s="475"/>
      <c r="AD887" s="475"/>
      <c r="AE887" s="475"/>
      <c r="AF887" s="475"/>
      <c r="AG887" s="475"/>
    </row>
    <row r="888" spans="2:33" ht="15" customHeight="1" x14ac:dyDescent="0.65"/>
    <row r="889" spans="2:33" ht="15" customHeight="1" x14ac:dyDescent="0.65"/>
    <row r="890" spans="2:33" ht="15" customHeight="1" x14ac:dyDescent="0.65"/>
    <row r="891" spans="2:33" ht="15" customHeight="1" x14ac:dyDescent="0.65"/>
    <row r="892" spans="2:33" ht="15" customHeight="1" x14ac:dyDescent="0.65"/>
    <row r="893" spans="2:33" ht="15" customHeight="1" x14ac:dyDescent="0.65"/>
    <row r="894" spans="2:33" ht="15" customHeight="1" x14ac:dyDescent="0.65"/>
    <row r="895" spans="2:33" ht="15" customHeight="1" x14ac:dyDescent="0.65"/>
    <row r="896" spans="2:33" ht="15" customHeight="1" x14ac:dyDescent="0.65"/>
    <row r="897" ht="15" customHeight="1" x14ac:dyDescent="0.65"/>
    <row r="898" ht="15" customHeight="1" x14ac:dyDescent="0.65"/>
    <row r="899" ht="15" customHeight="1" x14ac:dyDescent="0.65"/>
    <row r="900" ht="15" customHeight="1" x14ac:dyDescent="0.65"/>
    <row r="901" ht="15" customHeight="1" x14ac:dyDescent="0.65"/>
    <row r="902" ht="15" customHeight="1" x14ac:dyDescent="0.65"/>
    <row r="903" ht="15" customHeight="1" x14ac:dyDescent="0.65"/>
    <row r="904" ht="15" customHeight="1" x14ac:dyDescent="0.65"/>
    <row r="905" ht="15" customHeight="1" x14ac:dyDescent="0.65"/>
    <row r="906" ht="15" customHeight="1" x14ac:dyDescent="0.65"/>
    <row r="907" ht="15" customHeight="1" x14ac:dyDescent="0.65"/>
    <row r="908" ht="15" customHeight="1" x14ac:dyDescent="0.65"/>
    <row r="909" ht="15" customHeight="1" x14ac:dyDescent="0.65"/>
    <row r="910" ht="15" customHeight="1" x14ac:dyDescent="0.65"/>
    <row r="911" ht="15" customHeight="1" x14ac:dyDescent="0.65"/>
    <row r="912" ht="15" customHeight="1" x14ac:dyDescent="0.65"/>
    <row r="913" ht="15" customHeight="1" x14ac:dyDescent="0.65"/>
    <row r="914" ht="15" customHeight="1" x14ac:dyDescent="0.65"/>
    <row r="915" ht="15" customHeight="1" x14ac:dyDescent="0.65"/>
    <row r="916" ht="15" customHeight="1" x14ac:dyDescent="0.65"/>
    <row r="917" ht="15" customHeight="1" x14ac:dyDescent="0.65"/>
    <row r="918" ht="15" customHeight="1" x14ac:dyDescent="0.65"/>
    <row r="919" ht="15" customHeight="1" x14ac:dyDescent="0.65"/>
    <row r="920" ht="15" customHeight="1" x14ac:dyDescent="0.65"/>
    <row r="921" ht="15" customHeight="1" x14ac:dyDescent="0.65"/>
    <row r="922" ht="15" customHeight="1" x14ac:dyDescent="0.65"/>
    <row r="923" ht="15" customHeight="1" x14ac:dyDescent="0.65"/>
    <row r="924" ht="15" customHeight="1" x14ac:dyDescent="0.65"/>
    <row r="925" ht="15" customHeight="1" x14ac:dyDescent="0.65"/>
    <row r="926" ht="15" customHeight="1" x14ac:dyDescent="0.65"/>
    <row r="927" ht="15" customHeight="1" x14ac:dyDescent="0.65"/>
    <row r="928" ht="15" customHeight="1" x14ac:dyDescent="0.65"/>
    <row r="929" ht="15" customHeight="1" x14ac:dyDescent="0.65"/>
    <row r="930" ht="15" customHeight="1" x14ac:dyDescent="0.65"/>
    <row r="931" ht="15" customHeight="1" x14ac:dyDescent="0.65"/>
    <row r="932" ht="15" customHeight="1" x14ac:dyDescent="0.65"/>
    <row r="933" ht="15" customHeight="1" x14ac:dyDescent="0.65"/>
    <row r="934" ht="15" customHeight="1" x14ac:dyDescent="0.65"/>
    <row r="935" ht="15" customHeight="1" x14ac:dyDescent="0.65"/>
    <row r="936" ht="15" customHeight="1" x14ac:dyDescent="0.65"/>
    <row r="937" ht="15" customHeight="1" x14ac:dyDescent="0.65"/>
    <row r="938" ht="15" customHeight="1" x14ac:dyDescent="0.65"/>
    <row r="939" ht="15" customHeight="1" x14ac:dyDescent="0.65"/>
    <row r="940" ht="15" customHeight="1" x14ac:dyDescent="0.65"/>
    <row r="941" ht="15" customHeight="1" x14ac:dyDescent="0.65"/>
    <row r="942" ht="15" customHeight="1" x14ac:dyDescent="0.65"/>
    <row r="943" ht="15" customHeight="1" x14ac:dyDescent="0.65"/>
    <row r="944" ht="15" customHeight="1" x14ac:dyDescent="0.65"/>
    <row r="945" ht="15" customHeight="1" x14ac:dyDescent="0.65"/>
    <row r="946" ht="15" customHeight="1" x14ac:dyDescent="0.65"/>
    <row r="947" ht="15" customHeight="1" x14ac:dyDescent="0.65"/>
    <row r="948" ht="15" customHeight="1" x14ac:dyDescent="0.65"/>
    <row r="949" ht="15" customHeight="1" x14ac:dyDescent="0.65"/>
    <row r="950" ht="15" customHeight="1" x14ac:dyDescent="0.65"/>
    <row r="951" ht="15" customHeight="1" x14ac:dyDescent="0.65"/>
    <row r="952" ht="15" customHeight="1" x14ac:dyDescent="0.65"/>
    <row r="953" ht="15" customHeight="1" x14ac:dyDescent="0.65"/>
    <row r="954" ht="15" customHeight="1" x14ac:dyDescent="0.65"/>
    <row r="955" ht="15" customHeight="1" x14ac:dyDescent="0.65"/>
    <row r="956" ht="15" customHeight="1" x14ac:dyDescent="0.65"/>
    <row r="957" ht="15" customHeight="1" x14ac:dyDescent="0.65"/>
    <row r="958" ht="15" customHeight="1" x14ac:dyDescent="0.65"/>
    <row r="959" ht="15" customHeight="1" x14ac:dyDescent="0.65"/>
    <row r="960" ht="15" customHeight="1" x14ac:dyDescent="0.65"/>
    <row r="961" ht="15" customHeight="1" x14ac:dyDescent="0.65"/>
    <row r="962" ht="15" customHeight="1" x14ac:dyDescent="0.65"/>
    <row r="963" ht="15" customHeight="1" x14ac:dyDescent="0.65"/>
    <row r="964" ht="15" customHeight="1" x14ac:dyDescent="0.65"/>
    <row r="965" ht="15" customHeight="1" x14ac:dyDescent="0.65"/>
    <row r="966" ht="15" customHeight="1" x14ac:dyDescent="0.65"/>
    <row r="967" ht="15" customHeight="1" x14ac:dyDescent="0.65"/>
    <row r="968" ht="15" customHeight="1" x14ac:dyDescent="0.65"/>
    <row r="969" ht="15" customHeight="1" x14ac:dyDescent="0.65"/>
    <row r="970" ht="15" customHeight="1" x14ac:dyDescent="0.65"/>
    <row r="971" ht="15" customHeight="1" x14ac:dyDescent="0.65"/>
    <row r="972" ht="15" customHeight="1" x14ac:dyDescent="0.65"/>
    <row r="973" ht="15" customHeight="1" x14ac:dyDescent="0.65"/>
    <row r="974" ht="15" customHeight="1" x14ac:dyDescent="0.65"/>
    <row r="975" ht="15" customHeight="1" x14ac:dyDescent="0.65"/>
    <row r="976" ht="15" customHeight="1" x14ac:dyDescent="0.65"/>
    <row r="977" ht="15" customHeight="1" x14ac:dyDescent="0.65"/>
    <row r="978" ht="15" customHeight="1" x14ac:dyDescent="0.65"/>
    <row r="979" ht="15" customHeight="1" x14ac:dyDescent="0.65"/>
    <row r="980" ht="15" customHeight="1" x14ac:dyDescent="0.65"/>
    <row r="981" ht="15" customHeight="1" x14ac:dyDescent="0.65"/>
    <row r="982" ht="15" customHeight="1" x14ac:dyDescent="0.65"/>
    <row r="983" ht="15" customHeight="1" x14ac:dyDescent="0.65"/>
    <row r="984" ht="15" customHeight="1" x14ac:dyDescent="0.65"/>
    <row r="985" ht="15" customHeight="1" x14ac:dyDescent="0.65"/>
    <row r="986" ht="15" customHeight="1" x14ac:dyDescent="0.65"/>
    <row r="987" ht="15" customHeight="1" x14ac:dyDescent="0.65"/>
    <row r="988" ht="15" customHeight="1" x14ac:dyDescent="0.65"/>
    <row r="989" ht="15" customHeight="1" x14ac:dyDescent="0.65"/>
    <row r="990" ht="15" customHeight="1" x14ac:dyDescent="0.65"/>
    <row r="991" ht="15" customHeight="1" x14ac:dyDescent="0.65"/>
    <row r="992" ht="15" customHeight="1" x14ac:dyDescent="0.65"/>
    <row r="993" ht="15" customHeight="1" x14ac:dyDescent="0.65"/>
    <row r="994" ht="15" customHeight="1" x14ac:dyDescent="0.65"/>
    <row r="995" ht="15" customHeight="1" x14ac:dyDescent="0.65"/>
    <row r="996" ht="15" customHeight="1" x14ac:dyDescent="0.65"/>
    <row r="997" ht="15" customHeight="1" x14ac:dyDescent="0.65"/>
    <row r="998" ht="15" customHeight="1" x14ac:dyDescent="0.65"/>
    <row r="999" ht="15" customHeight="1" x14ac:dyDescent="0.65"/>
    <row r="1000" ht="15" customHeight="1" x14ac:dyDescent="0.65"/>
    <row r="1001" ht="15" customHeight="1" x14ac:dyDescent="0.65"/>
    <row r="1002" ht="15" customHeight="1" x14ac:dyDescent="0.65"/>
    <row r="1003" ht="15" customHeight="1" x14ac:dyDescent="0.65"/>
    <row r="1004" ht="15" customHeight="1" x14ac:dyDescent="0.65"/>
    <row r="1005" ht="15" customHeight="1" x14ac:dyDescent="0.65"/>
    <row r="1006" ht="15" customHeight="1" x14ac:dyDescent="0.65"/>
    <row r="1007" ht="15" customHeight="1" x14ac:dyDescent="0.65"/>
    <row r="1008" ht="15" customHeight="1" x14ac:dyDescent="0.65"/>
    <row r="1009" ht="15" customHeight="1" x14ac:dyDescent="0.65"/>
    <row r="1010" ht="15" customHeight="1" x14ac:dyDescent="0.65"/>
    <row r="1011" ht="15" customHeight="1" x14ac:dyDescent="0.65"/>
    <row r="1012" ht="15" customHeight="1" x14ac:dyDescent="0.65"/>
    <row r="1013" ht="15" customHeight="1" x14ac:dyDescent="0.65"/>
    <row r="1014" ht="15" customHeight="1" x14ac:dyDescent="0.65"/>
    <row r="1015" ht="15" customHeight="1" x14ac:dyDescent="0.65"/>
    <row r="1016" ht="15" customHeight="1" x14ac:dyDescent="0.65"/>
    <row r="1017" ht="15" customHeight="1" x14ac:dyDescent="0.65"/>
    <row r="1018" ht="15" customHeight="1" x14ac:dyDescent="0.65"/>
    <row r="1019" ht="15" customHeight="1" x14ac:dyDescent="0.65"/>
    <row r="1020" ht="15" customHeight="1" x14ac:dyDescent="0.65"/>
    <row r="1021" ht="15" customHeight="1" x14ac:dyDescent="0.65"/>
    <row r="1022" ht="15" customHeight="1" x14ac:dyDescent="0.65"/>
    <row r="1023" ht="15" customHeight="1" x14ac:dyDescent="0.65"/>
    <row r="1024" ht="15" customHeight="1" x14ac:dyDescent="0.65"/>
    <row r="1025" ht="15" customHeight="1" x14ac:dyDescent="0.65"/>
    <row r="1026" ht="15" customHeight="1" x14ac:dyDescent="0.65"/>
    <row r="1027" ht="15" customHeight="1" x14ac:dyDescent="0.65"/>
    <row r="1028" ht="15" customHeight="1" x14ac:dyDescent="0.65"/>
    <row r="1029" ht="15" customHeight="1" x14ac:dyDescent="0.65"/>
    <row r="1030" ht="15" customHeight="1" x14ac:dyDescent="0.65"/>
    <row r="1031" ht="15" customHeight="1" x14ac:dyDescent="0.65"/>
    <row r="1032" ht="15" customHeight="1" x14ac:dyDescent="0.65"/>
    <row r="1033" ht="15" customHeight="1" x14ac:dyDescent="0.65"/>
    <row r="1034" ht="15" customHeight="1" x14ac:dyDescent="0.65"/>
    <row r="1035" ht="15" customHeight="1" x14ac:dyDescent="0.65"/>
    <row r="1036" ht="15" customHeight="1" x14ac:dyDescent="0.65"/>
    <row r="1037" ht="15" customHeight="1" x14ac:dyDescent="0.65"/>
    <row r="1038" ht="15" customHeight="1" x14ac:dyDescent="0.65"/>
    <row r="1039" ht="15" customHeight="1" x14ac:dyDescent="0.65"/>
    <row r="1040" ht="15" customHeight="1" x14ac:dyDescent="0.65"/>
    <row r="1041" ht="15" customHeight="1" x14ac:dyDescent="0.65"/>
    <row r="1042" ht="15" customHeight="1" x14ac:dyDescent="0.65"/>
    <row r="1043" ht="15" customHeight="1" x14ac:dyDescent="0.65"/>
    <row r="1044" ht="15" customHeight="1" x14ac:dyDescent="0.65"/>
    <row r="1045" ht="15" customHeight="1" x14ac:dyDescent="0.65"/>
    <row r="1046" ht="15" customHeight="1" x14ac:dyDescent="0.65"/>
    <row r="1047" ht="15" customHeight="1" x14ac:dyDescent="0.65"/>
    <row r="1048" ht="15" customHeight="1" x14ac:dyDescent="0.65"/>
    <row r="1049" ht="15" customHeight="1" x14ac:dyDescent="0.65"/>
    <row r="1050" ht="15" customHeight="1" x14ac:dyDescent="0.65"/>
    <row r="1051" ht="15" customHeight="1" x14ac:dyDescent="0.65"/>
    <row r="1052" ht="15" customHeight="1" x14ac:dyDescent="0.65"/>
    <row r="1053" ht="15" customHeight="1" x14ac:dyDescent="0.65"/>
    <row r="1054" ht="15" customHeight="1" x14ac:dyDescent="0.65"/>
    <row r="1055" ht="15" customHeight="1" x14ac:dyDescent="0.65"/>
    <row r="1056" ht="15" customHeight="1" x14ac:dyDescent="0.65"/>
    <row r="1057" ht="15" customHeight="1" x14ac:dyDescent="0.65"/>
    <row r="1058" ht="15" customHeight="1" x14ac:dyDescent="0.65"/>
    <row r="1059" ht="15" customHeight="1" x14ac:dyDescent="0.65"/>
    <row r="1060" ht="15" customHeight="1" x14ac:dyDescent="0.65"/>
    <row r="1061" ht="15" customHeight="1" x14ac:dyDescent="0.65"/>
    <row r="1062" ht="15" customHeight="1" x14ac:dyDescent="0.65"/>
    <row r="1063" ht="15" customHeight="1" x14ac:dyDescent="0.65"/>
    <row r="1064" ht="15" customHeight="1" x14ac:dyDescent="0.65"/>
    <row r="1065" ht="15" customHeight="1" x14ac:dyDescent="0.65"/>
    <row r="1066" ht="15" customHeight="1" x14ac:dyDescent="0.65"/>
    <row r="1067" ht="15" customHeight="1" x14ac:dyDescent="0.65"/>
    <row r="1068" ht="15" customHeight="1" x14ac:dyDescent="0.65"/>
    <row r="1069" ht="15" customHeight="1" x14ac:dyDescent="0.65"/>
    <row r="1070" ht="15" customHeight="1" x14ac:dyDescent="0.65"/>
    <row r="1071" ht="15" customHeight="1" x14ac:dyDescent="0.65"/>
    <row r="1072" ht="15" customHeight="1" x14ac:dyDescent="0.65"/>
    <row r="1073" ht="15" customHeight="1" x14ac:dyDescent="0.65"/>
    <row r="1074" ht="15" customHeight="1" x14ac:dyDescent="0.65"/>
    <row r="1075" ht="15" customHeight="1" x14ac:dyDescent="0.65"/>
    <row r="1076" ht="15" customHeight="1" x14ac:dyDescent="0.65"/>
    <row r="1077" ht="15" customHeight="1" x14ac:dyDescent="0.65"/>
    <row r="1078" ht="15" customHeight="1" x14ac:dyDescent="0.65"/>
    <row r="1079" ht="15" customHeight="1" x14ac:dyDescent="0.65"/>
    <row r="1080" ht="15" customHeight="1" x14ac:dyDescent="0.65"/>
    <row r="1081" ht="15" customHeight="1" x14ac:dyDescent="0.65"/>
    <row r="1082" ht="15" customHeight="1" x14ac:dyDescent="0.65"/>
    <row r="1083" ht="15" customHeight="1" x14ac:dyDescent="0.65"/>
    <row r="1084" ht="15" customHeight="1" x14ac:dyDescent="0.65"/>
    <row r="1085" ht="15" customHeight="1" x14ac:dyDescent="0.65"/>
    <row r="1086" ht="15" customHeight="1" x14ac:dyDescent="0.65"/>
    <row r="1087" ht="15" customHeight="1" x14ac:dyDescent="0.65"/>
    <row r="1088" ht="15" customHeight="1" x14ac:dyDescent="0.65"/>
    <row r="1089" spans="2:33" ht="15" customHeight="1" x14ac:dyDescent="0.65"/>
    <row r="1090" spans="2:33" ht="15" customHeight="1" x14ac:dyDescent="0.65"/>
    <row r="1091" spans="2:33" ht="15" customHeight="1" x14ac:dyDescent="0.65"/>
    <row r="1092" spans="2:33" ht="15" customHeight="1" x14ac:dyDescent="0.65"/>
    <row r="1093" spans="2:33" ht="15" customHeight="1" x14ac:dyDescent="0.65"/>
    <row r="1094" spans="2:33" ht="15" customHeight="1" x14ac:dyDescent="0.65"/>
    <row r="1095" spans="2:33" ht="15" customHeight="1" x14ac:dyDescent="0.65"/>
    <row r="1096" spans="2:33" ht="15" customHeight="1" x14ac:dyDescent="0.65"/>
    <row r="1097" spans="2:33" ht="15" customHeight="1" x14ac:dyDescent="0.65"/>
    <row r="1098" spans="2:33" ht="15" customHeight="1" x14ac:dyDescent="0.65"/>
    <row r="1099" spans="2:33" ht="15" customHeight="1" x14ac:dyDescent="0.65"/>
    <row r="1100" spans="2:33" ht="15" customHeight="1" x14ac:dyDescent="0.65">
      <c r="B1100" s="475"/>
      <c r="C1100" s="475"/>
      <c r="D1100" s="475"/>
      <c r="E1100" s="475"/>
      <c r="F1100" s="475"/>
      <c r="G1100" s="475"/>
      <c r="H1100" s="475"/>
      <c r="I1100" s="475"/>
      <c r="J1100" s="475"/>
      <c r="K1100" s="475"/>
      <c r="L1100" s="475"/>
      <c r="M1100" s="475"/>
      <c r="N1100" s="475"/>
      <c r="O1100" s="475"/>
      <c r="P1100" s="475"/>
      <c r="Q1100" s="475"/>
      <c r="R1100" s="475"/>
      <c r="S1100" s="475"/>
      <c r="T1100" s="475"/>
      <c r="U1100" s="475"/>
      <c r="V1100" s="475"/>
      <c r="W1100" s="475"/>
      <c r="X1100" s="475"/>
      <c r="Y1100" s="475"/>
      <c r="Z1100" s="475"/>
      <c r="AA1100" s="475"/>
      <c r="AB1100" s="475"/>
      <c r="AC1100" s="475"/>
      <c r="AD1100" s="475"/>
      <c r="AE1100" s="475"/>
      <c r="AF1100" s="475"/>
      <c r="AG1100" s="475"/>
    </row>
    <row r="1101" spans="2:33" ht="15" customHeight="1" x14ac:dyDescent="0.65"/>
    <row r="1102" spans="2:33" ht="15" customHeight="1" x14ac:dyDescent="0.65"/>
    <row r="1103" spans="2:33" ht="15" customHeight="1" x14ac:dyDescent="0.65"/>
    <row r="1104" spans="2:33" ht="15" customHeight="1" x14ac:dyDescent="0.65"/>
    <row r="1105" ht="15" customHeight="1" x14ac:dyDescent="0.65"/>
    <row r="1106" ht="15" customHeight="1" x14ac:dyDescent="0.65"/>
    <row r="1107" ht="15" customHeight="1" x14ac:dyDescent="0.65"/>
    <row r="1108" ht="15" customHeight="1" x14ac:dyDescent="0.65"/>
    <row r="1109" ht="15" customHeight="1" x14ac:dyDescent="0.65"/>
    <row r="1110" ht="15" customHeight="1" x14ac:dyDescent="0.65"/>
    <row r="1111" ht="15" customHeight="1" x14ac:dyDescent="0.65"/>
    <row r="1112" ht="15" customHeight="1" x14ac:dyDescent="0.65"/>
    <row r="1113" ht="15" customHeight="1" x14ac:dyDescent="0.65"/>
    <row r="1114" ht="15" customHeight="1" x14ac:dyDescent="0.65"/>
    <row r="1115" ht="15" customHeight="1" x14ac:dyDescent="0.65"/>
    <row r="1116" ht="15" customHeight="1" x14ac:dyDescent="0.65"/>
    <row r="1117" ht="15" customHeight="1" x14ac:dyDescent="0.65"/>
    <row r="1118" ht="15" customHeight="1" x14ac:dyDescent="0.65"/>
    <row r="1119" ht="15" customHeight="1" x14ac:dyDescent="0.65"/>
    <row r="1120" ht="15" customHeight="1" x14ac:dyDescent="0.65"/>
    <row r="1121" ht="15" customHeight="1" x14ac:dyDescent="0.65"/>
    <row r="1122" ht="15" customHeight="1" x14ac:dyDescent="0.65"/>
    <row r="1123" ht="15" customHeight="1" x14ac:dyDescent="0.65"/>
    <row r="1124" ht="15" customHeight="1" x14ac:dyDescent="0.65"/>
    <row r="1125" ht="15" customHeight="1" x14ac:dyDescent="0.65"/>
    <row r="1126" ht="15" customHeight="1" x14ac:dyDescent="0.65"/>
    <row r="1127" ht="15" customHeight="1" x14ac:dyDescent="0.65"/>
    <row r="1128" ht="15" customHeight="1" x14ac:dyDescent="0.65"/>
    <row r="1129" ht="15" customHeight="1" x14ac:dyDescent="0.65"/>
    <row r="1130" ht="15" customHeight="1" x14ac:dyDescent="0.65"/>
    <row r="1131" ht="15" customHeight="1" x14ac:dyDescent="0.65"/>
    <row r="1132" ht="15" customHeight="1" x14ac:dyDescent="0.65"/>
    <row r="1133" ht="15" customHeight="1" x14ac:dyDescent="0.65"/>
    <row r="1134" ht="15" customHeight="1" x14ac:dyDescent="0.65"/>
    <row r="1135" ht="15" customHeight="1" x14ac:dyDescent="0.65"/>
    <row r="1136" ht="15" customHeight="1" x14ac:dyDescent="0.65"/>
    <row r="1137" ht="15" customHeight="1" x14ac:dyDescent="0.65"/>
    <row r="1138" ht="15" customHeight="1" x14ac:dyDescent="0.65"/>
    <row r="1139" ht="15" customHeight="1" x14ac:dyDescent="0.65"/>
    <row r="1140" ht="15" customHeight="1" x14ac:dyDescent="0.65"/>
    <row r="1141" ht="15" customHeight="1" x14ac:dyDescent="0.65"/>
    <row r="1142" ht="15" customHeight="1" x14ac:dyDescent="0.65"/>
    <row r="1143" ht="15" customHeight="1" x14ac:dyDescent="0.65"/>
    <row r="1144" ht="15" customHeight="1" x14ac:dyDescent="0.65"/>
    <row r="1145" ht="15" customHeight="1" x14ac:dyDescent="0.65"/>
    <row r="1146" ht="15" customHeight="1" x14ac:dyDescent="0.65"/>
    <row r="1147" ht="15" customHeight="1" x14ac:dyDescent="0.65"/>
    <row r="1148" ht="15" customHeight="1" x14ac:dyDescent="0.65"/>
    <row r="1149" ht="15" customHeight="1" x14ac:dyDescent="0.65"/>
    <row r="1150" ht="15" customHeight="1" x14ac:dyDescent="0.65"/>
    <row r="1151" ht="15" customHeight="1" x14ac:dyDescent="0.65"/>
    <row r="1152" ht="15" customHeight="1" x14ac:dyDescent="0.65"/>
    <row r="1153" ht="15" customHeight="1" x14ac:dyDescent="0.65"/>
    <row r="1154" ht="15" customHeight="1" x14ac:dyDescent="0.65"/>
    <row r="1155" ht="15" customHeight="1" x14ac:dyDescent="0.65"/>
    <row r="1156" ht="15" customHeight="1" x14ac:dyDescent="0.65"/>
    <row r="1157" ht="15" customHeight="1" x14ac:dyDescent="0.65"/>
    <row r="1158" ht="15" customHeight="1" x14ac:dyDescent="0.65"/>
    <row r="1159" ht="15" customHeight="1" x14ac:dyDescent="0.65"/>
    <row r="1160" ht="15" customHeight="1" x14ac:dyDescent="0.65"/>
    <row r="1161" ht="15" customHeight="1" x14ac:dyDescent="0.65"/>
    <row r="1162" ht="15" customHeight="1" x14ac:dyDescent="0.65"/>
    <row r="1163" ht="15" customHeight="1" x14ac:dyDescent="0.65"/>
    <row r="1164" ht="15" customHeight="1" x14ac:dyDescent="0.65"/>
    <row r="1165" ht="15" customHeight="1" x14ac:dyDescent="0.65"/>
    <row r="1166" ht="15" customHeight="1" x14ac:dyDescent="0.65"/>
    <row r="1167" ht="15" customHeight="1" x14ac:dyDescent="0.65"/>
    <row r="1168" ht="15" customHeight="1" x14ac:dyDescent="0.65"/>
    <row r="1169" ht="15" customHeight="1" x14ac:dyDescent="0.65"/>
    <row r="1170" ht="15" customHeight="1" x14ac:dyDescent="0.65"/>
    <row r="1171" ht="15" customHeight="1" x14ac:dyDescent="0.65"/>
    <row r="1172" ht="15" customHeight="1" x14ac:dyDescent="0.65"/>
    <row r="1173" ht="15" customHeight="1" x14ac:dyDescent="0.65"/>
    <row r="1174" ht="15" customHeight="1" x14ac:dyDescent="0.65"/>
    <row r="1175" ht="15" customHeight="1" x14ac:dyDescent="0.65"/>
    <row r="1176" ht="15" customHeight="1" x14ac:dyDescent="0.65"/>
    <row r="1177" ht="15" customHeight="1" x14ac:dyDescent="0.65"/>
    <row r="1178" ht="15" customHeight="1" x14ac:dyDescent="0.65"/>
    <row r="1179" ht="15" customHeight="1" x14ac:dyDescent="0.65"/>
    <row r="1180" ht="15" customHeight="1" x14ac:dyDescent="0.65"/>
    <row r="1181" ht="15" customHeight="1" x14ac:dyDescent="0.65"/>
    <row r="1182" ht="15" customHeight="1" x14ac:dyDescent="0.65"/>
    <row r="1183" ht="15" customHeight="1" x14ac:dyDescent="0.65"/>
    <row r="1184" ht="15" customHeight="1" x14ac:dyDescent="0.65"/>
    <row r="1185" ht="15" customHeight="1" x14ac:dyDescent="0.65"/>
    <row r="1186" ht="15" customHeight="1" x14ac:dyDescent="0.65"/>
    <row r="1187" ht="15" customHeight="1" x14ac:dyDescent="0.65"/>
    <row r="1188" ht="15" customHeight="1" x14ac:dyDescent="0.65"/>
    <row r="1189" ht="15" customHeight="1" x14ac:dyDescent="0.65"/>
    <row r="1190" ht="15" customHeight="1" x14ac:dyDescent="0.65"/>
    <row r="1191" ht="15" customHeight="1" x14ac:dyDescent="0.65"/>
    <row r="1192" ht="15" customHeight="1" x14ac:dyDescent="0.65"/>
    <row r="1193" ht="15" customHeight="1" x14ac:dyDescent="0.65"/>
    <row r="1194" ht="15" customHeight="1" x14ac:dyDescent="0.65"/>
    <row r="1195" ht="15" customHeight="1" x14ac:dyDescent="0.65"/>
    <row r="1196" ht="15" customHeight="1" x14ac:dyDescent="0.65"/>
    <row r="1197" ht="15" customHeight="1" x14ac:dyDescent="0.65"/>
    <row r="1198" ht="15" customHeight="1" x14ac:dyDescent="0.65"/>
    <row r="1199" ht="15" customHeight="1" x14ac:dyDescent="0.65"/>
    <row r="1200" ht="15" customHeight="1" x14ac:dyDescent="0.65"/>
    <row r="1201" ht="15" customHeight="1" x14ac:dyDescent="0.65"/>
    <row r="1202" ht="15" customHeight="1" x14ac:dyDescent="0.65"/>
    <row r="1203" ht="15" customHeight="1" x14ac:dyDescent="0.65"/>
    <row r="1204" ht="15" customHeight="1" x14ac:dyDescent="0.65"/>
    <row r="1205" ht="15" customHeight="1" x14ac:dyDescent="0.65"/>
    <row r="1206" ht="15" customHeight="1" x14ac:dyDescent="0.65"/>
    <row r="1207" ht="15" customHeight="1" x14ac:dyDescent="0.65"/>
    <row r="1208" ht="15" customHeight="1" x14ac:dyDescent="0.65"/>
    <row r="1209" ht="15" customHeight="1" x14ac:dyDescent="0.65"/>
    <row r="1210" ht="15" customHeight="1" x14ac:dyDescent="0.65"/>
    <row r="1211" ht="15" customHeight="1" x14ac:dyDescent="0.65"/>
    <row r="1212" ht="15" customHeight="1" x14ac:dyDescent="0.65"/>
    <row r="1213" ht="15" customHeight="1" x14ac:dyDescent="0.65"/>
    <row r="1214" ht="15" customHeight="1" x14ac:dyDescent="0.65"/>
    <row r="1215" ht="15" customHeight="1" x14ac:dyDescent="0.65"/>
    <row r="1216" ht="15" customHeight="1" x14ac:dyDescent="0.65"/>
    <row r="1217" spans="2:33" ht="15" customHeight="1" x14ac:dyDescent="0.65"/>
    <row r="1218" spans="2:33" ht="15" customHeight="1" x14ac:dyDescent="0.65"/>
    <row r="1219" spans="2:33" ht="15" customHeight="1" x14ac:dyDescent="0.65"/>
    <row r="1220" spans="2:33" ht="15" customHeight="1" x14ac:dyDescent="0.65"/>
    <row r="1221" spans="2:33" ht="15" customHeight="1" x14ac:dyDescent="0.65"/>
    <row r="1222" spans="2:33" ht="15" customHeight="1" x14ac:dyDescent="0.65"/>
    <row r="1223" spans="2:33" ht="15" customHeight="1" x14ac:dyDescent="0.65"/>
    <row r="1224" spans="2:33" ht="15" customHeight="1" x14ac:dyDescent="0.65"/>
    <row r="1225" spans="2:33" ht="15" customHeight="1" x14ac:dyDescent="0.65"/>
    <row r="1226" spans="2:33" ht="15" customHeight="1" x14ac:dyDescent="0.65"/>
    <row r="1227" spans="2:33" ht="15" customHeight="1" x14ac:dyDescent="0.65">
      <c r="B1227" s="475"/>
      <c r="C1227" s="475"/>
      <c r="D1227" s="475"/>
      <c r="E1227" s="475"/>
      <c r="F1227" s="475"/>
      <c r="G1227" s="475"/>
      <c r="H1227" s="475"/>
      <c r="I1227" s="475"/>
      <c r="J1227" s="475"/>
      <c r="K1227" s="475"/>
      <c r="L1227" s="475"/>
      <c r="M1227" s="475"/>
      <c r="N1227" s="475"/>
      <c r="O1227" s="475"/>
      <c r="P1227" s="475"/>
      <c r="Q1227" s="475"/>
      <c r="R1227" s="475"/>
      <c r="S1227" s="475"/>
      <c r="T1227" s="475"/>
      <c r="U1227" s="475"/>
      <c r="V1227" s="475"/>
      <c r="W1227" s="475"/>
      <c r="X1227" s="475"/>
      <c r="Y1227" s="475"/>
      <c r="Z1227" s="475"/>
      <c r="AA1227" s="475"/>
      <c r="AB1227" s="475"/>
      <c r="AC1227" s="475"/>
      <c r="AD1227" s="475"/>
      <c r="AE1227" s="475"/>
      <c r="AF1227" s="475"/>
      <c r="AG1227" s="475"/>
    </row>
    <row r="1228" spans="2:33" ht="15" customHeight="1" x14ac:dyDescent="0.65"/>
    <row r="1229" spans="2:33" ht="15" customHeight="1" x14ac:dyDescent="0.65"/>
    <row r="1230" spans="2:33" ht="15" customHeight="1" x14ac:dyDescent="0.65"/>
    <row r="1231" spans="2:33" ht="15" customHeight="1" x14ac:dyDescent="0.65"/>
    <row r="1232" spans="2:33" ht="15" customHeight="1" x14ac:dyDescent="0.65"/>
    <row r="1233" ht="15" customHeight="1" x14ac:dyDescent="0.65"/>
    <row r="1234" ht="15" customHeight="1" x14ac:dyDescent="0.65"/>
    <row r="1235" ht="15" customHeight="1" x14ac:dyDescent="0.65"/>
    <row r="1236" ht="15" customHeight="1" x14ac:dyDescent="0.65"/>
    <row r="1237" ht="15" customHeight="1" x14ac:dyDescent="0.65"/>
    <row r="1238" ht="15" customHeight="1" x14ac:dyDescent="0.65"/>
    <row r="1239" ht="15" customHeight="1" x14ac:dyDescent="0.65"/>
    <row r="1240" ht="15" customHeight="1" x14ac:dyDescent="0.65"/>
    <row r="1241" ht="15" customHeight="1" x14ac:dyDescent="0.65"/>
    <row r="1242" ht="15" customHeight="1" x14ac:dyDescent="0.65"/>
    <row r="1243" ht="15" customHeight="1" x14ac:dyDescent="0.65"/>
    <row r="1244" ht="15" customHeight="1" x14ac:dyDescent="0.65"/>
    <row r="1245" ht="15" customHeight="1" x14ac:dyDescent="0.65"/>
    <row r="1246" ht="15" customHeight="1" x14ac:dyDescent="0.65"/>
    <row r="1247" ht="15" customHeight="1" x14ac:dyDescent="0.65"/>
    <row r="1248" ht="15" customHeight="1" x14ac:dyDescent="0.65"/>
    <row r="1249" ht="15" customHeight="1" x14ac:dyDescent="0.65"/>
    <row r="1250" ht="15" customHeight="1" x14ac:dyDescent="0.65"/>
    <row r="1251" ht="15" customHeight="1" x14ac:dyDescent="0.65"/>
    <row r="1252" ht="15" customHeight="1" x14ac:dyDescent="0.65"/>
    <row r="1253" ht="15" customHeight="1" x14ac:dyDescent="0.65"/>
    <row r="1254" ht="15" customHeight="1" x14ac:dyDescent="0.65"/>
    <row r="1255" ht="15" customHeight="1" x14ac:dyDescent="0.65"/>
    <row r="1256" ht="15" customHeight="1" x14ac:dyDescent="0.65"/>
    <row r="1257" ht="15" customHeight="1" x14ac:dyDescent="0.65"/>
    <row r="1258" ht="15" customHeight="1" x14ac:dyDescent="0.65"/>
    <row r="1259" ht="15" customHeight="1" x14ac:dyDescent="0.65"/>
    <row r="1260" ht="15" customHeight="1" x14ac:dyDescent="0.65"/>
    <row r="1261" ht="15" customHeight="1" x14ac:dyDescent="0.65"/>
    <row r="1262" ht="15" customHeight="1" x14ac:dyDescent="0.65"/>
    <row r="1263" ht="15" customHeight="1" x14ac:dyDescent="0.65"/>
    <row r="1264" ht="15" customHeight="1" x14ac:dyDescent="0.65"/>
    <row r="1265" ht="15" customHeight="1" x14ac:dyDescent="0.65"/>
    <row r="1266" ht="15" customHeight="1" x14ac:dyDescent="0.65"/>
    <row r="1267" ht="15" customHeight="1" x14ac:dyDescent="0.65"/>
    <row r="1268" ht="15" customHeight="1" x14ac:dyDescent="0.65"/>
    <row r="1269" ht="15" customHeight="1" x14ac:dyDescent="0.65"/>
    <row r="1270" ht="15" customHeight="1" x14ac:dyDescent="0.65"/>
    <row r="1271" ht="15" customHeight="1" x14ac:dyDescent="0.65"/>
    <row r="1272" ht="15" customHeight="1" x14ac:dyDescent="0.65"/>
    <row r="1273" ht="15" customHeight="1" x14ac:dyDescent="0.65"/>
    <row r="1274" ht="15" customHeight="1" x14ac:dyDescent="0.65"/>
    <row r="1275" ht="15" customHeight="1" x14ac:dyDescent="0.65"/>
    <row r="1276" ht="15" customHeight="1" x14ac:dyDescent="0.65"/>
    <row r="1277" ht="15" customHeight="1" x14ac:dyDescent="0.65"/>
    <row r="1278" ht="15" customHeight="1" x14ac:dyDescent="0.65"/>
    <row r="1279" ht="15" customHeight="1" x14ac:dyDescent="0.65"/>
    <row r="1280" ht="15" customHeight="1" x14ac:dyDescent="0.65"/>
    <row r="1281" ht="15" customHeight="1" x14ac:dyDescent="0.65"/>
    <row r="1282" ht="15" customHeight="1" x14ac:dyDescent="0.65"/>
    <row r="1283" ht="15" customHeight="1" x14ac:dyDescent="0.65"/>
    <row r="1284" ht="15" customHeight="1" x14ac:dyDescent="0.65"/>
    <row r="1285" ht="15" customHeight="1" x14ac:dyDescent="0.65"/>
    <row r="1286" ht="15" customHeight="1" x14ac:dyDescent="0.65"/>
    <row r="1287" ht="15" customHeight="1" x14ac:dyDescent="0.65"/>
    <row r="1288" ht="15" customHeight="1" x14ac:dyDescent="0.65"/>
    <row r="1289" ht="15" customHeight="1" x14ac:dyDescent="0.65"/>
    <row r="1290" ht="15" customHeight="1" x14ac:dyDescent="0.65"/>
    <row r="1291" ht="15" customHeight="1" x14ac:dyDescent="0.65"/>
    <row r="1292" ht="15" customHeight="1" x14ac:dyDescent="0.65"/>
    <row r="1293" ht="15" customHeight="1" x14ac:dyDescent="0.65"/>
    <row r="1294" ht="15" customHeight="1" x14ac:dyDescent="0.65"/>
    <row r="1295" ht="15" customHeight="1" x14ac:dyDescent="0.65"/>
    <row r="1296" ht="15" customHeight="1" x14ac:dyDescent="0.65"/>
    <row r="1297" ht="15" customHeight="1" x14ac:dyDescent="0.65"/>
    <row r="1298" ht="15" customHeight="1" x14ac:dyDescent="0.65"/>
    <row r="1299" ht="15" customHeight="1" x14ac:dyDescent="0.65"/>
    <row r="1300" ht="15" customHeight="1" x14ac:dyDescent="0.65"/>
    <row r="1301" ht="15" customHeight="1" x14ac:dyDescent="0.65"/>
    <row r="1302" ht="15" customHeight="1" x14ac:dyDescent="0.65"/>
    <row r="1303" ht="15" customHeight="1" x14ac:dyDescent="0.65"/>
    <row r="1304" ht="15" customHeight="1" x14ac:dyDescent="0.65"/>
    <row r="1305" ht="15" customHeight="1" x14ac:dyDescent="0.65"/>
    <row r="1306" ht="15" customHeight="1" x14ac:dyDescent="0.65"/>
    <row r="1307" ht="15" customHeight="1" x14ac:dyDescent="0.65"/>
    <row r="1308" ht="15" customHeight="1" x14ac:dyDescent="0.65"/>
    <row r="1309" ht="15" customHeight="1" x14ac:dyDescent="0.65"/>
    <row r="1310" ht="15" customHeight="1" x14ac:dyDescent="0.65"/>
    <row r="1311" ht="15" customHeight="1" x14ac:dyDescent="0.65"/>
    <row r="1312" ht="15" customHeight="1" x14ac:dyDescent="0.65"/>
    <row r="1313" ht="15" customHeight="1" x14ac:dyDescent="0.65"/>
    <row r="1314" ht="15" customHeight="1" x14ac:dyDescent="0.65"/>
    <row r="1315" ht="15" customHeight="1" x14ac:dyDescent="0.65"/>
    <row r="1316" ht="15" customHeight="1" x14ac:dyDescent="0.65"/>
    <row r="1317" ht="15" customHeight="1" x14ac:dyDescent="0.65"/>
    <row r="1318" ht="15" customHeight="1" x14ac:dyDescent="0.65"/>
    <row r="1319" ht="15" customHeight="1" x14ac:dyDescent="0.65"/>
    <row r="1320" ht="15" customHeight="1" x14ac:dyDescent="0.65"/>
    <row r="1321" ht="15" customHeight="1" x14ac:dyDescent="0.65"/>
    <row r="1322" ht="15" customHeight="1" x14ac:dyDescent="0.65"/>
    <row r="1323" ht="15" customHeight="1" x14ac:dyDescent="0.65"/>
    <row r="1324" ht="15" customHeight="1" x14ac:dyDescent="0.65"/>
    <row r="1325" ht="15" customHeight="1" x14ac:dyDescent="0.65"/>
    <row r="1326" ht="15" customHeight="1" x14ac:dyDescent="0.65"/>
    <row r="1327" ht="15" customHeight="1" x14ac:dyDescent="0.65"/>
    <row r="1328" ht="15" customHeight="1" x14ac:dyDescent="0.65"/>
    <row r="1329" ht="15" customHeight="1" x14ac:dyDescent="0.65"/>
    <row r="1330" ht="15" customHeight="1" x14ac:dyDescent="0.65"/>
    <row r="1331" ht="15" customHeight="1" x14ac:dyDescent="0.65"/>
    <row r="1332" ht="15" customHeight="1" x14ac:dyDescent="0.65"/>
    <row r="1333" ht="15" customHeight="1" x14ac:dyDescent="0.65"/>
    <row r="1334" ht="15" customHeight="1" x14ac:dyDescent="0.65"/>
    <row r="1335" ht="15" customHeight="1" x14ac:dyDescent="0.65"/>
    <row r="1336" ht="15" customHeight="1" x14ac:dyDescent="0.65"/>
    <row r="1337" ht="15" customHeight="1" x14ac:dyDescent="0.65"/>
    <row r="1338" ht="15" customHeight="1" x14ac:dyDescent="0.65"/>
    <row r="1339" ht="15" customHeight="1" x14ac:dyDescent="0.65"/>
    <row r="1340" ht="15" customHeight="1" x14ac:dyDescent="0.65"/>
    <row r="1341" ht="15" customHeight="1" x14ac:dyDescent="0.65"/>
    <row r="1342" ht="15" customHeight="1" x14ac:dyDescent="0.65"/>
    <row r="1343" ht="15" customHeight="1" x14ac:dyDescent="0.65"/>
    <row r="1344" ht="15" customHeight="1" x14ac:dyDescent="0.65"/>
    <row r="1345" ht="15" customHeight="1" x14ac:dyDescent="0.65"/>
    <row r="1346" ht="15" customHeight="1" x14ac:dyDescent="0.65"/>
    <row r="1347" ht="15" customHeight="1" x14ac:dyDescent="0.65"/>
    <row r="1348" ht="15" customHeight="1" x14ac:dyDescent="0.65"/>
    <row r="1349" ht="15" customHeight="1" x14ac:dyDescent="0.65"/>
    <row r="1350" ht="15" customHeight="1" x14ac:dyDescent="0.65"/>
    <row r="1351" ht="15" customHeight="1" x14ac:dyDescent="0.65"/>
    <row r="1352" ht="15" customHeight="1" x14ac:dyDescent="0.65"/>
    <row r="1353" ht="15" customHeight="1" x14ac:dyDescent="0.65"/>
    <row r="1354" ht="15" customHeight="1" x14ac:dyDescent="0.65"/>
    <row r="1355" ht="15" customHeight="1" x14ac:dyDescent="0.65"/>
    <row r="1356" ht="15" customHeight="1" x14ac:dyDescent="0.65"/>
    <row r="1357" ht="15" customHeight="1" x14ac:dyDescent="0.65"/>
    <row r="1358" ht="15" customHeight="1" x14ac:dyDescent="0.65"/>
    <row r="1359" ht="15" customHeight="1" x14ac:dyDescent="0.65"/>
    <row r="1360" ht="15" customHeight="1" x14ac:dyDescent="0.65"/>
    <row r="1361" ht="15" customHeight="1" x14ac:dyDescent="0.65"/>
    <row r="1362" ht="15" customHeight="1" x14ac:dyDescent="0.65"/>
    <row r="1363" ht="15" customHeight="1" x14ac:dyDescent="0.65"/>
    <row r="1364" ht="15" customHeight="1" x14ac:dyDescent="0.65"/>
    <row r="1365" ht="15" customHeight="1" x14ac:dyDescent="0.65"/>
    <row r="1366" ht="15" customHeight="1" x14ac:dyDescent="0.65"/>
    <row r="1367" ht="15" customHeight="1" x14ac:dyDescent="0.65"/>
    <row r="1368" ht="15" customHeight="1" x14ac:dyDescent="0.65"/>
    <row r="1369" ht="15" customHeight="1" x14ac:dyDescent="0.65"/>
    <row r="1370" ht="15" customHeight="1" x14ac:dyDescent="0.65"/>
    <row r="1371" ht="15" customHeight="1" x14ac:dyDescent="0.65"/>
    <row r="1372" ht="15" customHeight="1" x14ac:dyDescent="0.65"/>
    <row r="1373" ht="15" customHeight="1" x14ac:dyDescent="0.65"/>
    <row r="1374" ht="15" customHeight="1" x14ac:dyDescent="0.65"/>
    <row r="1375" ht="15" customHeight="1" x14ac:dyDescent="0.65"/>
    <row r="1376" ht="15" customHeight="1" x14ac:dyDescent="0.65"/>
    <row r="1377" spans="2:33" ht="15" customHeight="1" x14ac:dyDescent="0.65"/>
    <row r="1378" spans="2:33" ht="15" customHeight="1" x14ac:dyDescent="0.65"/>
    <row r="1379" spans="2:33" ht="15" customHeight="1" x14ac:dyDescent="0.65"/>
    <row r="1380" spans="2:33" ht="15" customHeight="1" x14ac:dyDescent="0.65"/>
    <row r="1381" spans="2:33" ht="15" customHeight="1" x14ac:dyDescent="0.65"/>
    <row r="1382" spans="2:33" ht="15" customHeight="1" x14ac:dyDescent="0.65"/>
    <row r="1383" spans="2:33" ht="15" customHeight="1" x14ac:dyDescent="0.65"/>
    <row r="1384" spans="2:33" ht="15" customHeight="1" x14ac:dyDescent="0.65"/>
    <row r="1385" spans="2:33" ht="15" customHeight="1" x14ac:dyDescent="0.65"/>
    <row r="1386" spans="2:33" ht="15" customHeight="1" x14ac:dyDescent="0.65"/>
    <row r="1387" spans="2:33" ht="15" customHeight="1" x14ac:dyDescent="0.65"/>
    <row r="1388" spans="2:33" ht="15" customHeight="1" x14ac:dyDescent="0.65"/>
    <row r="1389" spans="2:33" ht="15" customHeight="1" x14ac:dyDescent="0.65"/>
    <row r="1390" spans="2:33" ht="15" customHeight="1" x14ac:dyDescent="0.65">
      <c r="B1390" s="475"/>
      <c r="C1390" s="475"/>
      <c r="D1390" s="475"/>
      <c r="E1390" s="475"/>
      <c r="F1390" s="475"/>
      <c r="G1390" s="475"/>
      <c r="H1390" s="475"/>
      <c r="I1390" s="475"/>
      <c r="J1390" s="475"/>
      <c r="K1390" s="475"/>
      <c r="L1390" s="475"/>
      <c r="M1390" s="475"/>
      <c r="N1390" s="475"/>
      <c r="O1390" s="475"/>
      <c r="P1390" s="475"/>
      <c r="Q1390" s="475"/>
      <c r="R1390" s="475"/>
      <c r="S1390" s="475"/>
      <c r="T1390" s="475"/>
      <c r="U1390" s="475"/>
      <c r="V1390" s="475"/>
      <c r="W1390" s="475"/>
      <c r="X1390" s="475"/>
      <c r="Y1390" s="475"/>
      <c r="Z1390" s="475"/>
      <c r="AA1390" s="475"/>
      <c r="AB1390" s="475"/>
      <c r="AC1390" s="475"/>
      <c r="AD1390" s="475"/>
      <c r="AE1390" s="475"/>
      <c r="AF1390" s="475"/>
      <c r="AG1390" s="475"/>
    </row>
    <row r="1391" spans="2:33" ht="15" customHeight="1" x14ac:dyDescent="0.65"/>
    <row r="1392" spans="2:33" ht="15" customHeight="1" x14ac:dyDescent="0.65"/>
    <row r="1393" ht="15" customHeight="1" x14ac:dyDescent="0.65"/>
    <row r="1394" ht="15" customHeight="1" x14ac:dyDescent="0.65"/>
    <row r="1395" ht="15" customHeight="1" x14ac:dyDescent="0.65"/>
    <row r="1396" ht="15" customHeight="1" x14ac:dyDescent="0.65"/>
    <row r="1397" ht="15" customHeight="1" x14ac:dyDescent="0.65"/>
    <row r="1398" ht="15" customHeight="1" x14ac:dyDescent="0.65"/>
    <row r="1399" ht="15" customHeight="1" x14ac:dyDescent="0.65"/>
    <row r="1400" ht="15" customHeight="1" x14ac:dyDescent="0.65"/>
    <row r="1401" ht="15" customHeight="1" x14ac:dyDescent="0.65"/>
    <row r="1402" ht="15" customHeight="1" x14ac:dyDescent="0.65"/>
    <row r="1403" ht="15" customHeight="1" x14ac:dyDescent="0.65"/>
    <row r="1404" ht="15" customHeight="1" x14ac:dyDescent="0.65"/>
    <row r="1405" ht="15" customHeight="1" x14ac:dyDescent="0.65"/>
    <row r="1406" ht="15" customHeight="1" x14ac:dyDescent="0.65"/>
    <row r="1407" ht="15" customHeight="1" x14ac:dyDescent="0.65"/>
    <row r="1408" ht="15" customHeight="1" x14ac:dyDescent="0.65"/>
    <row r="1409" ht="15" customHeight="1" x14ac:dyDescent="0.65"/>
    <row r="1410" ht="15" customHeight="1" x14ac:dyDescent="0.65"/>
    <row r="1411" ht="15" customHeight="1" x14ac:dyDescent="0.65"/>
    <row r="1412" ht="15" customHeight="1" x14ac:dyDescent="0.65"/>
    <row r="1413" ht="15" customHeight="1" x14ac:dyDescent="0.65"/>
    <row r="1414" ht="15" customHeight="1" x14ac:dyDescent="0.65"/>
    <row r="1415" ht="15" customHeight="1" x14ac:dyDescent="0.65"/>
    <row r="1416" ht="15" customHeight="1" x14ac:dyDescent="0.65"/>
    <row r="1417" ht="15" customHeight="1" x14ac:dyDescent="0.65"/>
    <row r="1418" ht="15" customHeight="1" x14ac:dyDescent="0.65"/>
    <row r="1419" ht="15" customHeight="1" x14ac:dyDescent="0.65"/>
    <row r="1420" ht="15" customHeight="1" x14ac:dyDescent="0.65"/>
    <row r="1421" ht="15" customHeight="1" x14ac:dyDescent="0.65"/>
    <row r="1422" ht="15" customHeight="1" x14ac:dyDescent="0.65"/>
    <row r="1423" ht="15" customHeight="1" x14ac:dyDescent="0.65"/>
    <row r="1424" ht="15" customHeight="1" x14ac:dyDescent="0.65"/>
    <row r="1425" ht="15" customHeight="1" x14ac:dyDescent="0.65"/>
    <row r="1426" ht="15" customHeight="1" x14ac:dyDescent="0.65"/>
    <row r="1427" ht="15" customHeight="1" x14ac:dyDescent="0.65"/>
    <row r="1428" ht="15" customHeight="1" x14ac:dyDescent="0.65"/>
    <row r="1429" ht="15" customHeight="1" x14ac:dyDescent="0.65"/>
    <row r="1430" ht="15" customHeight="1" x14ac:dyDescent="0.65"/>
    <row r="1431" ht="15" customHeight="1" x14ac:dyDescent="0.65"/>
    <row r="1432" ht="15" customHeight="1" x14ac:dyDescent="0.65"/>
    <row r="1433" ht="15" customHeight="1" x14ac:dyDescent="0.65"/>
    <row r="1434" ht="15" customHeight="1" x14ac:dyDescent="0.65"/>
    <row r="1435" ht="15" customHeight="1" x14ac:dyDescent="0.65"/>
    <row r="1436" ht="15" customHeight="1" x14ac:dyDescent="0.65"/>
    <row r="1437" ht="15" customHeight="1" x14ac:dyDescent="0.65"/>
    <row r="1438" ht="15" customHeight="1" x14ac:dyDescent="0.65"/>
    <row r="1439" ht="15" customHeight="1" x14ac:dyDescent="0.65"/>
    <row r="1440" ht="15" customHeight="1" x14ac:dyDescent="0.65"/>
    <row r="1441" ht="15" customHeight="1" x14ac:dyDescent="0.65"/>
    <row r="1442" ht="15" customHeight="1" x14ac:dyDescent="0.65"/>
    <row r="1443" ht="15" customHeight="1" x14ac:dyDescent="0.65"/>
    <row r="1444" ht="15" customHeight="1" x14ac:dyDescent="0.65"/>
    <row r="1445" ht="15" customHeight="1" x14ac:dyDescent="0.65"/>
    <row r="1446" ht="15" customHeight="1" x14ac:dyDescent="0.65"/>
    <row r="1447" ht="15" customHeight="1" x14ac:dyDescent="0.65"/>
    <row r="1448" ht="15" customHeight="1" x14ac:dyDescent="0.65"/>
    <row r="1449" ht="15" customHeight="1" x14ac:dyDescent="0.65"/>
    <row r="1450" ht="15" customHeight="1" x14ac:dyDescent="0.65"/>
    <row r="1451" ht="15" customHeight="1" x14ac:dyDescent="0.65"/>
    <row r="1452" ht="15" customHeight="1" x14ac:dyDescent="0.65"/>
    <row r="1453" ht="15" customHeight="1" x14ac:dyDescent="0.65"/>
    <row r="1454" ht="15" customHeight="1" x14ac:dyDescent="0.65"/>
    <row r="1455" ht="15" customHeight="1" x14ac:dyDescent="0.65"/>
    <row r="1456" ht="15" customHeight="1" x14ac:dyDescent="0.65"/>
    <row r="1457" ht="15" customHeight="1" x14ac:dyDescent="0.65"/>
    <row r="1458" ht="15" customHeight="1" x14ac:dyDescent="0.65"/>
    <row r="1459" ht="15" customHeight="1" x14ac:dyDescent="0.65"/>
    <row r="1460" ht="15" customHeight="1" x14ac:dyDescent="0.65"/>
    <row r="1461" ht="15" customHeight="1" x14ac:dyDescent="0.65"/>
    <row r="1462" ht="15" customHeight="1" x14ac:dyDescent="0.65"/>
    <row r="1463" ht="15" customHeight="1" x14ac:dyDescent="0.65"/>
    <row r="1464" ht="15" customHeight="1" x14ac:dyDescent="0.65"/>
    <row r="1465" ht="15" customHeight="1" x14ac:dyDescent="0.65"/>
    <row r="1466" ht="15" customHeight="1" x14ac:dyDescent="0.65"/>
    <row r="1467" ht="15" customHeight="1" x14ac:dyDescent="0.65"/>
    <row r="1468" ht="15" customHeight="1" x14ac:dyDescent="0.65"/>
    <row r="1469" ht="15" customHeight="1" x14ac:dyDescent="0.65"/>
    <row r="1470" ht="15" customHeight="1" x14ac:dyDescent="0.65"/>
    <row r="1471" ht="15" customHeight="1" x14ac:dyDescent="0.65"/>
    <row r="1472" ht="15" customHeight="1" x14ac:dyDescent="0.65"/>
    <row r="1473" ht="15" customHeight="1" x14ac:dyDescent="0.65"/>
    <row r="1474" ht="15" customHeight="1" x14ac:dyDescent="0.65"/>
    <row r="1475" ht="15" customHeight="1" x14ac:dyDescent="0.65"/>
    <row r="1476" ht="15" customHeight="1" x14ac:dyDescent="0.65"/>
    <row r="1477" ht="15" customHeight="1" x14ac:dyDescent="0.65"/>
    <row r="1478" ht="15" customHeight="1" x14ac:dyDescent="0.65"/>
    <row r="1479" ht="15" customHeight="1" x14ac:dyDescent="0.65"/>
    <row r="1480" ht="15" customHeight="1" x14ac:dyDescent="0.65"/>
    <row r="1481" ht="15" customHeight="1" x14ac:dyDescent="0.65"/>
    <row r="1482" ht="15" customHeight="1" x14ac:dyDescent="0.65"/>
    <row r="1483" ht="15" customHeight="1" x14ac:dyDescent="0.65"/>
    <row r="1484" ht="15" customHeight="1" x14ac:dyDescent="0.65"/>
    <row r="1485" ht="15" customHeight="1" x14ac:dyDescent="0.65"/>
    <row r="1486" ht="15" customHeight="1" x14ac:dyDescent="0.65"/>
    <row r="1487" ht="15" customHeight="1" x14ac:dyDescent="0.65"/>
    <row r="1488" ht="15" customHeight="1" x14ac:dyDescent="0.65"/>
    <row r="1489" spans="2:33" ht="15" customHeight="1" x14ac:dyDescent="0.65"/>
    <row r="1490" spans="2:33" ht="15" customHeight="1" x14ac:dyDescent="0.65"/>
    <row r="1491" spans="2:33" ht="15" customHeight="1" x14ac:dyDescent="0.65"/>
    <row r="1492" spans="2:33" ht="15" customHeight="1" x14ac:dyDescent="0.65"/>
    <row r="1493" spans="2:33" ht="15" customHeight="1" x14ac:dyDescent="0.65"/>
    <row r="1494" spans="2:33" ht="15" customHeight="1" x14ac:dyDescent="0.65"/>
    <row r="1495" spans="2:33" ht="15" customHeight="1" x14ac:dyDescent="0.65"/>
    <row r="1496" spans="2:33" ht="15" customHeight="1" x14ac:dyDescent="0.65"/>
    <row r="1497" spans="2:33" ht="15" customHeight="1" x14ac:dyDescent="0.65"/>
    <row r="1498" spans="2:33" ht="15" customHeight="1" x14ac:dyDescent="0.65"/>
    <row r="1499" spans="2:33" ht="15" customHeight="1" x14ac:dyDescent="0.65"/>
    <row r="1500" spans="2:33" ht="15" customHeight="1" x14ac:dyDescent="0.65"/>
    <row r="1501" spans="2:33" ht="15" customHeight="1" x14ac:dyDescent="0.65"/>
    <row r="1502" spans="2:33" ht="15" customHeight="1" x14ac:dyDescent="0.65">
      <c r="B1502" s="475"/>
      <c r="C1502" s="475"/>
      <c r="D1502" s="475"/>
      <c r="E1502" s="475"/>
      <c r="F1502" s="475"/>
      <c r="G1502" s="475"/>
      <c r="H1502" s="475"/>
      <c r="I1502" s="475"/>
      <c r="J1502" s="475"/>
      <c r="K1502" s="475"/>
      <c r="L1502" s="475"/>
      <c r="M1502" s="475"/>
      <c r="N1502" s="475"/>
      <c r="O1502" s="475"/>
      <c r="P1502" s="475"/>
      <c r="Q1502" s="475"/>
      <c r="R1502" s="475"/>
      <c r="S1502" s="475"/>
      <c r="T1502" s="475"/>
      <c r="U1502" s="475"/>
      <c r="V1502" s="475"/>
      <c r="W1502" s="475"/>
      <c r="X1502" s="475"/>
      <c r="Y1502" s="475"/>
      <c r="Z1502" s="475"/>
      <c r="AA1502" s="475"/>
      <c r="AB1502" s="475"/>
      <c r="AC1502" s="475"/>
      <c r="AD1502" s="475"/>
      <c r="AE1502" s="475"/>
      <c r="AF1502" s="475"/>
      <c r="AG1502" s="475"/>
    </row>
    <row r="1503" spans="2:33" ht="15" customHeight="1" x14ac:dyDescent="0.65"/>
    <row r="1504" spans="2:33" ht="15" customHeight="1" x14ac:dyDescent="0.65"/>
    <row r="1505" ht="15" customHeight="1" x14ac:dyDescent="0.65"/>
    <row r="1506" ht="15" customHeight="1" x14ac:dyDescent="0.65"/>
    <row r="1507" ht="15" customHeight="1" x14ac:dyDescent="0.65"/>
    <row r="1508" ht="15" customHeight="1" x14ac:dyDescent="0.65"/>
    <row r="1509" ht="15" customHeight="1" x14ac:dyDescent="0.65"/>
    <row r="1510" ht="15" customHeight="1" x14ac:dyDescent="0.65"/>
    <row r="1511" ht="15" customHeight="1" x14ac:dyDescent="0.65"/>
    <row r="1512" ht="15" customHeight="1" x14ac:dyDescent="0.65"/>
    <row r="1513" ht="15" customHeight="1" x14ac:dyDescent="0.65"/>
    <row r="1514" ht="15" customHeight="1" x14ac:dyDescent="0.65"/>
    <row r="1515" ht="15" customHeight="1" x14ac:dyDescent="0.65"/>
    <row r="1516" ht="15" customHeight="1" x14ac:dyDescent="0.65"/>
    <row r="1517" ht="15" customHeight="1" x14ac:dyDescent="0.65"/>
    <row r="1518" ht="15" customHeight="1" x14ac:dyDescent="0.65"/>
    <row r="1519" ht="15" customHeight="1" x14ac:dyDescent="0.65"/>
    <row r="1520" ht="15" customHeight="1" x14ac:dyDescent="0.65"/>
    <row r="1521" ht="15" customHeight="1" x14ac:dyDescent="0.65"/>
    <row r="1522" ht="15" customHeight="1" x14ac:dyDescent="0.65"/>
    <row r="1523" ht="15" customHeight="1" x14ac:dyDescent="0.65"/>
    <row r="1524" ht="15" customHeight="1" x14ac:dyDescent="0.65"/>
    <row r="1525" ht="15" customHeight="1" x14ac:dyDescent="0.65"/>
    <row r="1526" ht="15" customHeight="1" x14ac:dyDescent="0.65"/>
    <row r="1527" ht="15" customHeight="1" x14ac:dyDescent="0.65"/>
    <row r="1528" ht="15" customHeight="1" x14ac:dyDescent="0.65"/>
    <row r="1529" ht="15" customHeight="1" x14ac:dyDescent="0.65"/>
    <row r="1530" ht="15" customHeight="1" x14ac:dyDescent="0.65"/>
    <row r="1531" ht="15" customHeight="1" x14ac:dyDescent="0.65"/>
    <row r="1532" ht="15" customHeight="1" x14ac:dyDescent="0.65"/>
    <row r="1533" ht="15" customHeight="1" x14ac:dyDescent="0.65"/>
    <row r="1534" ht="15" customHeight="1" x14ac:dyDescent="0.65"/>
    <row r="1535" ht="15" customHeight="1" x14ac:dyDescent="0.65"/>
    <row r="1536" ht="15" customHeight="1" x14ac:dyDescent="0.65"/>
    <row r="1537" ht="15" customHeight="1" x14ac:dyDescent="0.65"/>
    <row r="1538" ht="15" customHeight="1" x14ac:dyDescent="0.65"/>
    <row r="1539" ht="15" customHeight="1" x14ac:dyDescent="0.65"/>
    <row r="1540" ht="15" customHeight="1" x14ac:dyDescent="0.65"/>
    <row r="1541" ht="15" customHeight="1" x14ac:dyDescent="0.65"/>
    <row r="1542" ht="15" customHeight="1" x14ac:dyDescent="0.65"/>
    <row r="1543" ht="15" customHeight="1" x14ac:dyDescent="0.65"/>
    <row r="1544" ht="15" customHeight="1" x14ac:dyDescent="0.65"/>
    <row r="1545" ht="15" customHeight="1" x14ac:dyDescent="0.65"/>
    <row r="1546" ht="15" customHeight="1" x14ac:dyDescent="0.65"/>
    <row r="1547" ht="15" customHeight="1" x14ac:dyDescent="0.65"/>
    <row r="1548" ht="15" customHeight="1" x14ac:dyDescent="0.65"/>
    <row r="1549" ht="15" customHeight="1" x14ac:dyDescent="0.65"/>
    <row r="1550" ht="15" customHeight="1" x14ac:dyDescent="0.65"/>
    <row r="1551" ht="15" customHeight="1" x14ac:dyDescent="0.65"/>
    <row r="1552" ht="15" customHeight="1" x14ac:dyDescent="0.65"/>
    <row r="1553" ht="15" customHeight="1" x14ac:dyDescent="0.65"/>
    <row r="1554" ht="15" customHeight="1" x14ac:dyDescent="0.65"/>
    <row r="1555" ht="15" customHeight="1" x14ac:dyDescent="0.65"/>
    <row r="1556" ht="15" customHeight="1" x14ac:dyDescent="0.65"/>
    <row r="1557" ht="15" customHeight="1" x14ac:dyDescent="0.65"/>
    <row r="1558" ht="15" customHeight="1" x14ac:dyDescent="0.65"/>
    <row r="1559" ht="15" customHeight="1" x14ac:dyDescent="0.65"/>
    <row r="1560" ht="15" customHeight="1" x14ac:dyDescent="0.65"/>
    <row r="1561" ht="15" customHeight="1" x14ac:dyDescent="0.65"/>
    <row r="1562" ht="15" customHeight="1" x14ac:dyDescent="0.65"/>
    <row r="1563" ht="15" customHeight="1" x14ac:dyDescent="0.65"/>
    <row r="1564" ht="15" customHeight="1" x14ac:dyDescent="0.65"/>
    <row r="1565" ht="15" customHeight="1" x14ac:dyDescent="0.65"/>
    <row r="1566" ht="15" customHeight="1" x14ac:dyDescent="0.65"/>
    <row r="1567" ht="15" customHeight="1" x14ac:dyDescent="0.65"/>
    <row r="1568" ht="15" customHeight="1" x14ac:dyDescent="0.65"/>
    <row r="1569" ht="15" customHeight="1" x14ac:dyDescent="0.65"/>
    <row r="1570" ht="15" customHeight="1" x14ac:dyDescent="0.65"/>
    <row r="1571" ht="15" customHeight="1" x14ac:dyDescent="0.65"/>
    <row r="1572" ht="15" customHeight="1" x14ac:dyDescent="0.65"/>
    <row r="1573" ht="15" customHeight="1" x14ac:dyDescent="0.65"/>
    <row r="1574" ht="15" customHeight="1" x14ac:dyDescent="0.65"/>
    <row r="1575" ht="15" customHeight="1" x14ac:dyDescent="0.65"/>
    <row r="1576" ht="15" customHeight="1" x14ac:dyDescent="0.65"/>
    <row r="1577" ht="15" customHeight="1" x14ac:dyDescent="0.65"/>
    <row r="1578" ht="15" customHeight="1" x14ac:dyDescent="0.65"/>
    <row r="1579" ht="15" customHeight="1" x14ac:dyDescent="0.65"/>
    <row r="1580" ht="15" customHeight="1" x14ac:dyDescent="0.65"/>
    <row r="1581" ht="15" customHeight="1" x14ac:dyDescent="0.65"/>
    <row r="1582" ht="15" customHeight="1" x14ac:dyDescent="0.65"/>
    <row r="1583" ht="15" customHeight="1" x14ac:dyDescent="0.65"/>
    <row r="1584" ht="15" customHeight="1" x14ac:dyDescent="0.65"/>
    <row r="1585" ht="15" customHeight="1" x14ac:dyDescent="0.65"/>
    <row r="1586" ht="15" customHeight="1" x14ac:dyDescent="0.65"/>
    <row r="1587" ht="15" customHeight="1" x14ac:dyDescent="0.65"/>
    <row r="1588" ht="15" customHeight="1" x14ac:dyDescent="0.65"/>
    <row r="1589" ht="15" customHeight="1" x14ac:dyDescent="0.65"/>
    <row r="1590" ht="15" customHeight="1" x14ac:dyDescent="0.65"/>
    <row r="1591" ht="15" customHeight="1" x14ac:dyDescent="0.65"/>
    <row r="1592" ht="15" customHeight="1" x14ac:dyDescent="0.65"/>
    <row r="1593" ht="15" customHeight="1" x14ac:dyDescent="0.65"/>
    <row r="1594" ht="15" customHeight="1" x14ac:dyDescent="0.65"/>
    <row r="1595" ht="15" customHeight="1" x14ac:dyDescent="0.65"/>
    <row r="1596" ht="15" customHeight="1" x14ac:dyDescent="0.65"/>
    <row r="1597" ht="15" customHeight="1" x14ac:dyDescent="0.65"/>
    <row r="1598" ht="15" customHeight="1" x14ac:dyDescent="0.65"/>
    <row r="1599" ht="15" customHeight="1" x14ac:dyDescent="0.65"/>
    <row r="1600" ht="15" customHeight="1" x14ac:dyDescent="0.65"/>
    <row r="1601" spans="2:33" ht="15" customHeight="1" x14ac:dyDescent="0.65"/>
    <row r="1602" spans="2:33" ht="15" customHeight="1" x14ac:dyDescent="0.65"/>
    <row r="1603" spans="2:33" ht="15" customHeight="1" x14ac:dyDescent="0.65"/>
    <row r="1604" spans="2:33" ht="15" customHeight="1" x14ac:dyDescent="0.65">
      <c r="B1604" s="475"/>
      <c r="C1604" s="475"/>
      <c r="D1604" s="475"/>
      <c r="E1604" s="475"/>
      <c r="F1604" s="475"/>
      <c r="G1604" s="475"/>
      <c r="H1604" s="475"/>
      <c r="I1604" s="475"/>
      <c r="J1604" s="475"/>
      <c r="K1604" s="475"/>
      <c r="L1604" s="475"/>
      <c r="M1604" s="475"/>
      <c r="N1604" s="475"/>
      <c r="O1604" s="475"/>
      <c r="P1604" s="475"/>
      <c r="Q1604" s="475"/>
      <c r="R1604" s="475"/>
      <c r="S1604" s="475"/>
      <c r="T1604" s="475"/>
      <c r="U1604" s="475"/>
      <c r="V1604" s="475"/>
      <c r="W1604" s="475"/>
      <c r="X1604" s="475"/>
      <c r="Y1604" s="475"/>
      <c r="Z1604" s="475"/>
      <c r="AA1604" s="475"/>
      <c r="AB1604" s="475"/>
      <c r="AC1604" s="475"/>
      <c r="AD1604" s="475"/>
      <c r="AE1604" s="475"/>
      <c r="AF1604" s="475"/>
      <c r="AG1604" s="475"/>
    </row>
    <row r="1605" spans="2:33" ht="15" customHeight="1" x14ac:dyDescent="0.65"/>
    <row r="1606" spans="2:33" ht="15" customHeight="1" x14ac:dyDescent="0.65"/>
    <row r="1607" spans="2:33" ht="15" customHeight="1" x14ac:dyDescent="0.65"/>
    <row r="1608" spans="2:33" ht="15" customHeight="1" x14ac:dyDescent="0.65"/>
    <row r="1609" spans="2:33" ht="15" customHeight="1" x14ac:dyDescent="0.65"/>
    <row r="1610" spans="2:33" ht="15" customHeight="1" x14ac:dyDescent="0.65"/>
    <row r="1611" spans="2:33" ht="15" customHeight="1" x14ac:dyDescent="0.65"/>
    <row r="1612" spans="2:33" ht="15" customHeight="1" x14ac:dyDescent="0.65"/>
    <row r="1613" spans="2:33" ht="15" customHeight="1" x14ac:dyDescent="0.65"/>
    <row r="1614" spans="2:33" ht="15" customHeight="1" x14ac:dyDescent="0.65"/>
    <row r="1615" spans="2:33" ht="15" customHeight="1" x14ac:dyDescent="0.65"/>
    <row r="1616" spans="2:33" ht="15" customHeight="1" x14ac:dyDescent="0.65"/>
    <row r="1617" ht="15" customHeight="1" x14ac:dyDescent="0.65"/>
    <row r="1618" ht="15" customHeight="1" x14ac:dyDescent="0.65"/>
    <row r="1619" ht="15" customHeight="1" x14ac:dyDescent="0.65"/>
    <row r="1620" ht="15" customHeight="1" x14ac:dyDescent="0.65"/>
    <row r="1621" ht="15" customHeight="1" x14ac:dyDescent="0.65"/>
    <row r="1622" ht="15" customHeight="1" x14ac:dyDescent="0.65"/>
    <row r="1623" ht="15" customHeight="1" x14ac:dyDescent="0.65"/>
    <row r="1624" ht="15" customHeight="1" x14ac:dyDescent="0.65"/>
    <row r="1625" ht="15" customHeight="1" x14ac:dyDescent="0.65"/>
    <row r="1626" ht="15" customHeight="1" x14ac:dyDescent="0.65"/>
    <row r="1627" ht="15" customHeight="1" x14ac:dyDescent="0.65"/>
    <row r="1628" ht="15" customHeight="1" x14ac:dyDescent="0.65"/>
    <row r="1629" ht="15" customHeight="1" x14ac:dyDescent="0.65"/>
    <row r="1630" ht="15" customHeight="1" x14ac:dyDescent="0.65"/>
    <row r="1631" ht="15" customHeight="1" x14ac:dyDescent="0.65"/>
    <row r="1632" ht="15" customHeight="1" x14ac:dyDescent="0.65"/>
    <row r="1633" ht="15" customHeight="1" x14ac:dyDescent="0.65"/>
    <row r="1634" ht="15" customHeight="1" x14ac:dyDescent="0.65"/>
    <row r="1635" ht="15" customHeight="1" x14ac:dyDescent="0.65"/>
    <row r="1636" ht="15" customHeight="1" x14ac:dyDescent="0.65"/>
    <row r="1637" ht="15" customHeight="1" x14ac:dyDescent="0.65"/>
    <row r="1638" ht="15" customHeight="1" x14ac:dyDescent="0.65"/>
    <row r="1639" ht="15" customHeight="1" x14ac:dyDescent="0.65"/>
    <row r="1640" ht="15" customHeight="1" x14ac:dyDescent="0.65"/>
    <row r="1641" ht="15" customHeight="1" x14ac:dyDescent="0.65"/>
    <row r="1642" ht="15" customHeight="1" x14ac:dyDescent="0.65"/>
    <row r="1643" ht="15" customHeight="1" x14ac:dyDescent="0.65"/>
    <row r="1644" ht="15" customHeight="1" x14ac:dyDescent="0.65"/>
    <row r="1645" ht="15" customHeight="1" x14ac:dyDescent="0.65"/>
    <row r="1646" ht="15" customHeight="1" x14ac:dyDescent="0.65"/>
    <row r="1647" ht="15" customHeight="1" x14ac:dyDescent="0.65"/>
    <row r="1648" ht="15" customHeight="1" x14ac:dyDescent="0.65"/>
    <row r="1649" ht="15" customHeight="1" x14ac:dyDescent="0.65"/>
    <row r="1650" ht="15" customHeight="1" x14ac:dyDescent="0.65"/>
    <row r="1651" ht="15" customHeight="1" x14ac:dyDescent="0.65"/>
    <row r="1652" ht="15" customHeight="1" x14ac:dyDescent="0.65"/>
    <row r="1653" ht="15" customHeight="1" x14ac:dyDescent="0.65"/>
    <row r="1654" ht="15" customHeight="1" x14ac:dyDescent="0.65"/>
    <row r="1655" ht="15" customHeight="1" x14ac:dyDescent="0.65"/>
    <row r="1656" ht="15" customHeight="1" x14ac:dyDescent="0.65"/>
    <row r="1657" ht="15" customHeight="1" x14ac:dyDescent="0.65"/>
    <row r="1658" ht="15" customHeight="1" x14ac:dyDescent="0.65"/>
    <row r="1659" ht="15" customHeight="1" x14ac:dyDescent="0.65"/>
    <row r="1660" ht="15" customHeight="1" x14ac:dyDescent="0.65"/>
    <row r="1661" ht="15" customHeight="1" x14ac:dyDescent="0.65"/>
    <row r="1662" ht="15" customHeight="1" x14ac:dyDescent="0.65"/>
    <row r="1663" ht="15" customHeight="1" x14ac:dyDescent="0.65"/>
    <row r="1664" ht="15" customHeight="1" x14ac:dyDescent="0.65"/>
    <row r="1665" ht="15" customHeight="1" x14ac:dyDescent="0.65"/>
    <row r="1666" ht="15" customHeight="1" x14ac:dyDescent="0.65"/>
    <row r="1667" ht="15" customHeight="1" x14ac:dyDescent="0.65"/>
    <row r="1668" ht="15" customHeight="1" x14ac:dyDescent="0.65"/>
    <row r="1669" ht="15" customHeight="1" x14ac:dyDescent="0.65"/>
    <row r="1670" ht="15" customHeight="1" x14ac:dyDescent="0.65"/>
    <row r="1671" ht="15" customHeight="1" x14ac:dyDescent="0.65"/>
    <row r="1672" ht="15" customHeight="1" x14ac:dyDescent="0.65"/>
    <row r="1673" ht="15" customHeight="1" x14ac:dyDescent="0.65"/>
    <row r="1674" ht="15" customHeight="1" x14ac:dyDescent="0.65"/>
    <row r="1675" ht="15" customHeight="1" x14ac:dyDescent="0.65"/>
    <row r="1676" ht="15" customHeight="1" x14ac:dyDescent="0.65"/>
    <row r="1677" ht="15" customHeight="1" x14ac:dyDescent="0.65"/>
    <row r="1678" ht="15" customHeight="1" x14ac:dyDescent="0.65"/>
    <row r="1679" ht="15" customHeight="1" x14ac:dyDescent="0.65"/>
    <row r="1680" ht="15" customHeight="1" x14ac:dyDescent="0.65"/>
    <row r="1681" ht="15" customHeight="1" x14ac:dyDescent="0.65"/>
    <row r="1682" ht="15" customHeight="1" x14ac:dyDescent="0.65"/>
    <row r="1683" ht="15" customHeight="1" x14ac:dyDescent="0.65"/>
    <row r="1684" ht="15" customHeight="1" x14ac:dyDescent="0.65"/>
    <row r="1685" ht="15" customHeight="1" x14ac:dyDescent="0.65"/>
    <row r="1686" ht="15" customHeight="1" x14ac:dyDescent="0.65"/>
    <row r="1687" ht="15" customHeight="1" x14ac:dyDescent="0.65"/>
    <row r="1688" ht="15" customHeight="1" x14ac:dyDescent="0.65"/>
    <row r="1689" ht="15" customHeight="1" x14ac:dyDescent="0.65"/>
    <row r="1690" ht="15" customHeight="1" x14ac:dyDescent="0.65"/>
    <row r="1691" ht="15" customHeight="1" x14ac:dyDescent="0.65"/>
    <row r="1692" ht="15" customHeight="1" x14ac:dyDescent="0.65"/>
    <row r="1693" ht="15" customHeight="1" x14ac:dyDescent="0.65"/>
    <row r="1694" ht="15" customHeight="1" x14ac:dyDescent="0.65"/>
    <row r="1695" ht="15" customHeight="1" x14ac:dyDescent="0.65"/>
    <row r="1696" ht="15" customHeight="1" x14ac:dyDescent="0.65"/>
    <row r="1697" spans="2:33" ht="15" customHeight="1" x14ac:dyDescent="0.65"/>
    <row r="1698" spans="2:33" ht="15" customHeight="1" x14ac:dyDescent="0.65">
      <c r="B1698" s="475"/>
      <c r="C1698" s="475"/>
      <c r="D1698" s="475"/>
      <c r="E1698" s="475"/>
      <c r="F1698" s="475"/>
      <c r="G1698" s="475"/>
      <c r="H1698" s="475"/>
      <c r="I1698" s="475"/>
      <c r="J1698" s="475"/>
      <c r="K1698" s="475"/>
      <c r="L1698" s="475"/>
      <c r="M1698" s="475"/>
      <c r="N1698" s="475"/>
      <c r="O1698" s="475"/>
      <c r="P1698" s="475"/>
      <c r="Q1698" s="475"/>
      <c r="R1698" s="475"/>
      <c r="S1698" s="475"/>
      <c r="T1698" s="475"/>
      <c r="U1698" s="475"/>
      <c r="V1698" s="475"/>
      <c r="W1698" s="475"/>
      <c r="X1698" s="475"/>
      <c r="Y1698" s="475"/>
      <c r="Z1698" s="475"/>
      <c r="AA1698" s="475"/>
      <c r="AB1698" s="475"/>
      <c r="AC1698" s="475"/>
      <c r="AD1698" s="475"/>
      <c r="AE1698" s="475"/>
      <c r="AF1698" s="475"/>
      <c r="AG1698" s="475"/>
    </row>
    <row r="1699" spans="2:33" ht="15" customHeight="1" x14ac:dyDescent="0.65"/>
    <row r="1700" spans="2:33" ht="15" customHeight="1" x14ac:dyDescent="0.65"/>
    <row r="1701" spans="2:33" ht="15" customHeight="1" x14ac:dyDescent="0.65"/>
    <row r="1702" spans="2:33" ht="15" customHeight="1" x14ac:dyDescent="0.65"/>
    <row r="1703" spans="2:33" ht="15" customHeight="1" x14ac:dyDescent="0.65"/>
    <row r="1704" spans="2:33" ht="15" customHeight="1" x14ac:dyDescent="0.65"/>
    <row r="1705" spans="2:33" ht="15" customHeight="1" x14ac:dyDescent="0.65"/>
    <row r="1706" spans="2:33" ht="15" customHeight="1" x14ac:dyDescent="0.65"/>
    <row r="1707" spans="2:33" ht="15" customHeight="1" x14ac:dyDescent="0.65"/>
    <row r="1708" spans="2:33" ht="15" customHeight="1" x14ac:dyDescent="0.65"/>
    <row r="1709" spans="2:33" ht="15" customHeight="1" x14ac:dyDescent="0.65"/>
    <row r="1710" spans="2:33" ht="15" customHeight="1" x14ac:dyDescent="0.65"/>
    <row r="1711" spans="2:33" ht="15" customHeight="1" x14ac:dyDescent="0.65"/>
    <row r="1712" spans="2:33" ht="15" customHeight="1" x14ac:dyDescent="0.65"/>
    <row r="1713" ht="15" customHeight="1" x14ac:dyDescent="0.65"/>
    <row r="1714" ht="15" customHeight="1" x14ac:dyDescent="0.65"/>
    <row r="1715" ht="15" customHeight="1" x14ac:dyDescent="0.65"/>
    <row r="1716" ht="15" customHeight="1" x14ac:dyDescent="0.65"/>
    <row r="1717" ht="15" customHeight="1" x14ac:dyDescent="0.65"/>
    <row r="1718" ht="15" customHeight="1" x14ac:dyDescent="0.65"/>
    <row r="1719" ht="15" customHeight="1" x14ac:dyDescent="0.65"/>
    <row r="1720" ht="15" customHeight="1" x14ac:dyDescent="0.65"/>
    <row r="1721" ht="15" customHeight="1" x14ac:dyDescent="0.65"/>
    <row r="1722" ht="15" customHeight="1" x14ac:dyDescent="0.65"/>
    <row r="1723" ht="15" customHeight="1" x14ac:dyDescent="0.65"/>
    <row r="1724" ht="15" customHeight="1" x14ac:dyDescent="0.65"/>
    <row r="1725" ht="15" customHeight="1" x14ac:dyDescent="0.65"/>
    <row r="1726" ht="15" customHeight="1" x14ac:dyDescent="0.65"/>
    <row r="1727" ht="15" customHeight="1" x14ac:dyDescent="0.65"/>
    <row r="1728" ht="15" customHeight="1" x14ac:dyDescent="0.65"/>
    <row r="1729" ht="15" customHeight="1" x14ac:dyDescent="0.65"/>
    <row r="1730" ht="15" customHeight="1" x14ac:dyDescent="0.65"/>
    <row r="1731" ht="15" customHeight="1" x14ac:dyDescent="0.65"/>
    <row r="1732" ht="15" customHeight="1" x14ac:dyDescent="0.65"/>
    <row r="1733" ht="15" customHeight="1" x14ac:dyDescent="0.65"/>
    <row r="1734" ht="15" customHeight="1" x14ac:dyDescent="0.65"/>
    <row r="1735" ht="15" customHeight="1" x14ac:dyDescent="0.65"/>
    <row r="1736" ht="15" customHeight="1" x14ac:dyDescent="0.65"/>
    <row r="1737" ht="15" customHeight="1" x14ac:dyDescent="0.65"/>
    <row r="1738" ht="15" customHeight="1" x14ac:dyDescent="0.65"/>
    <row r="1739" ht="15" customHeight="1" x14ac:dyDescent="0.65"/>
    <row r="1740" ht="15" customHeight="1" x14ac:dyDescent="0.65"/>
    <row r="1741" ht="15" customHeight="1" x14ac:dyDescent="0.65"/>
    <row r="1742" ht="15" customHeight="1" x14ac:dyDescent="0.65"/>
    <row r="1743" ht="15" customHeight="1" x14ac:dyDescent="0.65"/>
    <row r="1744" ht="15" customHeight="1" x14ac:dyDescent="0.65"/>
    <row r="1745" ht="15" customHeight="1" x14ac:dyDescent="0.65"/>
    <row r="1746" ht="15" customHeight="1" x14ac:dyDescent="0.65"/>
    <row r="1747" ht="15" customHeight="1" x14ac:dyDescent="0.65"/>
    <row r="1748" ht="15" customHeight="1" x14ac:dyDescent="0.65"/>
    <row r="1749" ht="15" customHeight="1" x14ac:dyDescent="0.65"/>
    <row r="1750" ht="15" customHeight="1" x14ac:dyDescent="0.65"/>
    <row r="1751" ht="15" customHeight="1" x14ac:dyDescent="0.65"/>
    <row r="1752" ht="15" customHeight="1" x14ac:dyDescent="0.65"/>
    <row r="1753" ht="15" customHeight="1" x14ac:dyDescent="0.65"/>
    <row r="1754" ht="15" customHeight="1" x14ac:dyDescent="0.65"/>
    <row r="1755" ht="15" customHeight="1" x14ac:dyDescent="0.65"/>
    <row r="1756" ht="15" customHeight="1" x14ac:dyDescent="0.65"/>
    <row r="1757" ht="15" customHeight="1" x14ac:dyDescent="0.65"/>
    <row r="1758" ht="15" customHeight="1" x14ac:dyDescent="0.65"/>
    <row r="1759" ht="15" customHeight="1" x14ac:dyDescent="0.65"/>
    <row r="1760" ht="15" customHeight="1" x14ac:dyDescent="0.65"/>
    <row r="1761" ht="15" customHeight="1" x14ac:dyDescent="0.65"/>
    <row r="1762" ht="15" customHeight="1" x14ac:dyDescent="0.65"/>
    <row r="1763" ht="15" customHeight="1" x14ac:dyDescent="0.65"/>
    <row r="1764" ht="15" customHeight="1" x14ac:dyDescent="0.65"/>
    <row r="1765" ht="15" customHeight="1" x14ac:dyDescent="0.65"/>
    <row r="1766" ht="15" customHeight="1" x14ac:dyDescent="0.65"/>
    <row r="1767" ht="15" customHeight="1" x14ac:dyDescent="0.65"/>
    <row r="1768" ht="15" customHeight="1" x14ac:dyDescent="0.65"/>
    <row r="1769" ht="15" customHeight="1" x14ac:dyDescent="0.65"/>
    <row r="1770" ht="15" customHeight="1" x14ac:dyDescent="0.65"/>
    <row r="1771" ht="15" customHeight="1" x14ac:dyDescent="0.65"/>
    <row r="1772" ht="15" customHeight="1" x14ac:dyDescent="0.65"/>
    <row r="1773" ht="15" customHeight="1" x14ac:dyDescent="0.65"/>
    <row r="1774" ht="15" customHeight="1" x14ac:dyDescent="0.65"/>
    <row r="1775" ht="15" customHeight="1" x14ac:dyDescent="0.65"/>
    <row r="1776" ht="15" customHeight="1" x14ac:dyDescent="0.65"/>
    <row r="1777" ht="15" customHeight="1" x14ac:dyDescent="0.65"/>
    <row r="1778" ht="15" customHeight="1" x14ac:dyDescent="0.65"/>
    <row r="1779" ht="15" customHeight="1" x14ac:dyDescent="0.65"/>
    <row r="1780" ht="15" customHeight="1" x14ac:dyDescent="0.65"/>
    <row r="1781" ht="15" customHeight="1" x14ac:dyDescent="0.65"/>
    <row r="1782" ht="15" customHeight="1" x14ac:dyDescent="0.65"/>
    <row r="1783" ht="15" customHeight="1" x14ac:dyDescent="0.65"/>
    <row r="1784" ht="15" customHeight="1" x14ac:dyDescent="0.65"/>
    <row r="1785" ht="15" customHeight="1" x14ac:dyDescent="0.65"/>
    <row r="1786" ht="15" customHeight="1" x14ac:dyDescent="0.65"/>
    <row r="1787" ht="15" customHeight="1" x14ac:dyDescent="0.65"/>
    <row r="1788" ht="15" customHeight="1" x14ac:dyDescent="0.65"/>
    <row r="1789" ht="15" customHeight="1" x14ac:dyDescent="0.65"/>
    <row r="1790" ht="15" customHeight="1" x14ac:dyDescent="0.65"/>
    <row r="1791" ht="15" customHeight="1" x14ac:dyDescent="0.65"/>
    <row r="1792" ht="15" customHeight="1" x14ac:dyDescent="0.65"/>
    <row r="1793" ht="15" customHeight="1" x14ac:dyDescent="0.65"/>
    <row r="1794" ht="15" customHeight="1" x14ac:dyDescent="0.65"/>
    <row r="1795" ht="15" customHeight="1" x14ac:dyDescent="0.65"/>
    <row r="1796" ht="15" customHeight="1" x14ac:dyDescent="0.65"/>
    <row r="1797" ht="15" customHeight="1" x14ac:dyDescent="0.65"/>
    <row r="1798" ht="15" customHeight="1" x14ac:dyDescent="0.65"/>
    <row r="1799" ht="15" customHeight="1" x14ac:dyDescent="0.65"/>
    <row r="1800" ht="15" customHeight="1" x14ac:dyDescent="0.65"/>
    <row r="1801" ht="15" customHeight="1" x14ac:dyDescent="0.65"/>
    <row r="1802" ht="15" customHeight="1" x14ac:dyDescent="0.65"/>
    <row r="1803" ht="15" customHeight="1" x14ac:dyDescent="0.65"/>
    <row r="1804" ht="15" customHeight="1" x14ac:dyDescent="0.65"/>
    <row r="1805" ht="15" customHeight="1" x14ac:dyDescent="0.65"/>
    <row r="1806" ht="15" customHeight="1" x14ac:dyDescent="0.65"/>
    <row r="1807" ht="15" customHeight="1" x14ac:dyDescent="0.65"/>
    <row r="1808" ht="15" customHeight="1" x14ac:dyDescent="0.65"/>
    <row r="1809" ht="15" customHeight="1" x14ac:dyDescent="0.65"/>
    <row r="1810" ht="15" customHeight="1" x14ac:dyDescent="0.65"/>
    <row r="1811" ht="15" customHeight="1" x14ac:dyDescent="0.65"/>
    <row r="1812" ht="15" customHeight="1" x14ac:dyDescent="0.65"/>
    <row r="1813" ht="15" customHeight="1" x14ac:dyDescent="0.65"/>
    <row r="1814" ht="15" customHeight="1" x14ac:dyDescent="0.65"/>
    <row r="1815" ht="15" customHeight="1" x14ac:dyDescent="0.65"/>
    <row r="1816" ht="15" customHeight="1" x14ac:dyDescent="0.65"/>
    <row r="1817" ht="15" customHeight="1" x14ac:dyDescent="0.65"/>
    <row r="1818" ht="15" customHeight="1" x14ac:dyDescent="0.65"/>
    <row r="1819" ht="15" customHeight="1" x14ac:dyDescent="0.65"/>
    <row r="1820" ht="15" customHeight="1" x14ac:dyDescent="0.65"/>
    <row r="1821" ht="15" customHeight="1" x14ac:dyDescent="0.65"/>
    <row r="1822" ht="15" customHeight="1" x14ac:dyDescent="0.65"/>
    <row r="1823" ht="15" customHeight="1" x14ac:dyDescent="0.65"/>
    <row r="1824" ht="15" customHeight="1" x14ac:dyDescent="0.65"/>
    <row r="1825" ht="15" customHeight="1" x14ac:dyDescent="0.65"/>
    <row r="1826" ht="15" customHeight="1" x14ac:dyDescent="0.65"/>
    <row r="1827" ht="15" customHeight="1" x14ac:dyDescent="0.65"/>
    <row r="1828" ht="15" customHeight="1" x14ac:dyDescent="0.65"/>
    <row r="1829" ht="15" customHeight="1" x14ac:dyDescent="0.65"/>
    <row r="1830" ht="15" customHeight="1" x14ac:dyDescent="0.65"/>
    <row r="1831" ht="15" customHeight="1" x14ac:dyDescent="0.65"/>
    <row r="1832" ht="15" customHeight="1" x14ac:dyDescent="0.65"/>
    <row r="1833" ht="15" customHeight="1" x14ac:dyDescent="0.65"/>
    <row r="1834" ht="15" customHeight="1" x14ac:dyDescent="0.65"/>
    <row r="1835" ht="15" customHeight="1" x14ac:dyDescent="0.65"/>
    <row r="1836" ht="15" customHeight="1" x14ac:dyDescent="0.65"/>
    <row r="1837" ht="15" customHeight="1" x14ac:dyDescent="0.65"/>
    <row r="1838" ht="15" customHeight="1" x14ac:dyDescent="0.65"/>
    <row r="1839" ht="15" customHeight="1" x14ac:dyDescent="0.65"/>
    <row r="1840" ht="15" customHeight="1" x14ac:dyDescent="0.65"/>
    <row r="1841" ht="15" customHeight="1" x14ac:dyDescent="0.65"/>
    <row r="1842" ht="15" customHeight="1" x14ac:dyDescent="0.65"/>
    <row r="1843" ht="15" customHeight="1" x14ac:dyDescent="0.65"/>
    <row r="1844" ht="15" customHeight="1" x14ac:dyDescent="0.65"/>
    <row r="1845" ht="15" customHeight="1" x14ac:dyDescent="0.65"/>
    <row r="1846" ht="15" customHeight="1" x14ac:dyDescent="0.65"/>
    <row r="1847" ht="15" customHeight="1" x14ac:dyDescent="0.65"/>
    <row r="1848" ht="15" customHeight="1" x14ac:dyDescent="0.65"/>
    <row r="1849" ht="15" customHeight="1" x14ac:dyDescent="0.65"/>
    <row r="1850" ht="15" customHeight="1" x14ac:dyDescent="0.65"/>
    <row r="1851" ht="15" customHeight="1" x14ac:dyDescent="0.65"/>
    <row r="1852" ht="15" customHeight="1" x14ac:dyDescent="0.65"/>
    <row r="1853" ht="15" customHeight="1" x14ac:dyDescent="0.65"/>
    <row r="1854" ht="15" customHeight="1" x14ac:dyDescent="0.65"/>
    <row r="1855" ht="15" customHeight="1" x14ac:dyDescent="0.65"/>
    <row r="1856" ht="15" customHeight="1" x14ac:dyDescent="0.65"/>
    <row r="1857" ht="15" customHeight="1" x14ac:dyDescent="0.65"/>
    <row r="1858" ht="15" customHeight="1" x14ac:dyDescent="0.65"/>
    <row r="1859" ht="15" customHeight="1" x14ac:dyDescent="0.65"/>
    <row r="1860" ht="15" customHeight="1" x14ac:dyDescent="0.65"/>
    <row r="1861" ht="15" customHeight="1" x14ac:dyDescent="0.65"/>
    <row r="1862" ht="15" customHeight="1" x14ac:dyDescent="0.65"/>
    <row r="1863" ht="15" customHeight="1" x14ac:dyDescent="0.65"/>
    <row r="1864" ht="15" customHeight="1" x14ac:dyDescent="0.65"/>
    <row r="1865" ht="15" customHeight="1" x14ac:dyDescent="0.65"/>
    <row r="1866" ht="15" customHeight="1" x14ac:dyDescent="0.65"/>
    <row r="1867" ht="15" customHeight="1" x14ac:dyDescent="0.65"/>
    <row r="1868" ht="15" customHeight="1" x14ac:dyDescent="0.65"/>
    <row r="1869" ht="15" customHeight="1" x14ac:dyDescent="0.65"/>
    <row r="1870" ht="15" customHeight="1" x14ac:dyDescent="0.65"/>
    <row r="1871" ht="15" customHeight="1" x14ac:dyDescent="0.65"/>
    <row r="1872" ht="15" customHeight="1" x14ac:dyDescent="0.65"/>
    <row r="1873" ht="15" customHeight="1" x14ac:dyDescent="0.65"/>
    <row r="1874" ht="15" customHeight="1" x14ac:dyDescent="0.65"/>
    <row r="1875" ht="15" customHeight="1" x14ac:dyDescent="0.65"/>
    <row r="1876" ht="15" customHeight="1" x14ac:dyDescent="0.65"/>
    <row r="1877" ht="15" customHeight="1" x14ac:dyDescent="0.65"/>
    <row r="1878" ht="15" customHeight="1" x14ac:dyDescent="0.65"/>
    <row r="1879" ht="15" customHeight="1" x14ac:dyDescent="0.65"/>
    <row r="1880" ht="15" customHeight="1" x14ac:dyDescent="0.65"/>
    <row r="1881" ht="15" customHeight="1" x14ac:dyDescent="0.65"/>
    <row r="1882" ht="15" customHeight="1" x14ac:dyDescent="0.65"/>
    <row r="1883" ht="15" customHeight="1" x14ac:dyDescent="0.65"/>
    <row r="1884" ht="15" customHeight="1" x14ac:dyDescent="0.65"/>
    <row r="1885" ht="15" customHeight="1" x14ac:dyDescent="0.65"/>
    <row r="1886" ht="15" customHeight="1" x14ac:dyDescent="0.65"/>
    <row r="1887" ht="15" customHeight="1" x14ac:dyDescent="0.65"/>
    <row r="1888" ht="15" customHeight="1" x14ac:dyDescent="0.65"/>
    <row r="1889" ht="15" customHeight="1" x14ac:dyDescent="0.65"/>
    <row r="1890" ht="15" customHeight="1" x14ac:dyDescent="0.65"/>
    <row r="1891" ht="15" customHeight="1" x14ac:dyDescent="0.65"/>
    <row r="1892" ht="15" customHeight="1" x14ac:dyDescent="0.65"/>
    <row r="1893" ht="15" customHeight="1" x14ac:dyDescent="0.65"/>
    <row r="1894" ht="15" customHeight="1" x14ac:dyDescent="0.65"/>
    <row r="1895" ht="15" customHeight="1" x14ac:dyDescent="0.65"/>
    <row r="1896" ht="15" customHeight="1" x14ac:dyDescent="0.65"/>
    <row r="1897" ht="15" customHeight="1" x14ac:dyDescent="0.65"/>
    <row r="1898" ht="15" customHeight="1" x14ac:dyDescent="0.65"/>
    <row r="1899" ht="15" customHeight="1" x14ac:dyDescent="0.65"/>
    <row r="1900" ht="15" customHeight="1" x14ac:dyDescent="0.65"/>
    <row r="1901" ht="15" customHeight="1" x14ac:dyDescent="0.65"/>
    <row r="1902" ht="15" customHeight="1" x14ac:dyDescent="0.65"/>
    <row r="1903" ht="15" customHeight="1" x14ac:dyDescent="0.65"/>
    <row r="1904" ht="15" customHeight="1" x14ac:dyDescent="0.65"/>
    <row r="1905" ht="15" customHeight="1" x14ac:dyDescent="0.65"/>
    <row r="1906" ht="15" customHeight="1" x14ac:dyDescent="0.65"/>
    <row r="1907" ht="15" customHeight="1" x14ac:dyDescent="0.65"/>
    <row r="1908" ht="15" customHeight="1" x14ac:dyDescent="0.65"/>
    <row r="1909" ht="15" customHeight="1" x14ac:dyDescent="0.65"/>
    <row r="1910" ht="15" customHeight="1" x14ac:dyDescent="0.65"/>
    <row r="1911" ht="15" customHeight="1" x14ac:dyDescent="0.65"/>
    <row r="1912" ht="15" customHeight="1" x14ac:dyDescent="0.65"/>
    <row r="1913" ht="15" customHeight="1" x14ac:dyDescent="0.65"/>
    <row r="1914" ht="15" customHeight="1" x14ac:dyDescent="0.65"/>
    <row r="1915" ht="15" customHeight="1" x14ac:dyDescent="0.65"/>
    <row r="1916" ht="15" customHeight="1" x14ac:dyDescent="0.65"/>
    <row r="1917" ht="15" customHeight="1" x14ac:dyDescent="0.65"/>
    <row r="1918" ht="15" customHeight="1" x14ac:dyDescent="0.65"/>
    <row r="1919" ht="15" customHeight="1" x14ac:dyDescent="0.65"/>
    <row r="1920" ht="15" customHeight="1" x14ac:dyDescent="0.65"/>
    <row r="1921" ht="15" customHeight="1" x14ac:dyDescent="0.65"/>
    <row r="1922" ht="15" customHeight="1" x14ac:dyDescent="0.65"/>
    <row r="1923" ht="15" customHeight="1" x14ac:dyDescent="0.65"/>
    <row r="1924" ht="15" customHeight="1" x14ac:dyDescent="0.65"/>
    <row r="1925" ht="15" customHeight="1" x14ac:dyDescent="0.65"/>
    <row r="1926" ht="15" customHeight="1" x14ac:dyDescent="0.65"/>
    <row r="1927" ht="15" customHeight="1" x14ac:dyDescent="0.65"/>
    <row r="1928" ht="15" customHeight="1" x14ac:dyDescent="0.65"/>
    <row r="1929" ht="15" customHeight="1" x14ac:dyDescent="0.65"/>
    <row r="1930" ht="15" customHeight="1" x14ac:dyDescent="0.65"/>
    <row r="1931" ht="15" customHeight="1" x14ac:dyDescent="0.65"/>
    <row r="1932" ht="15" customHeight="1" x14ac:dyDescent="0.65"/>
    <row r="1933" ht="15" customHeight="1" x14ac:dyDescent="0.65"/>
    <row r="1934" ht="15" customHeight="1" x14ac:dyDescent="0.65"/>
    <row r="1935" ht="15" customHeight="1" x14ac:dyDescent="0.65"/>
    <row r="1936" ht="15" customHeight="1" x14ac:dyDescent="0.65"/>
    <row r="1937" spans="2:33" ht="15" customHeight="1" x14ac:dyDescent="0.65"/>
    <row r="1938" spans="2:33" ht="15" customHeight="1" x14ac:dyDescent="0.65"/>
    <row r="1939" spans="2:33" ht="15" customHeight="1" x14ac:dyDescent="0.65"/>
    <row r="1940" spans="2:33" ht="15" customHeight="1" x14ac:dyDescent="0.65"/>
    <row r="1941" spans="2:33" ht="15" customHeight="1" x14ac:dyDescent="0.65"/>
    <row r="1942" spans="2:33" ht="15" customHeight="1" x14ac:dyDescent="0.65"/>
    <row r="1943" spans="2:33" ht="15" customHeight="1" x14ac:dyDescent="0.65"/>
    <row r="1944" spans="2:33" ht="15" customHeight="1" x14ac:dyDescent="0.65"/>
    <row r="1945" spans="2:33" ht="15" customHeight="1" x14ac:dyDescent="0.65">
      <c r="B1945" s="475"/>
      <c r="C1945" s="475"/>
      <c r="D1945" s="475"/>
      <c r="E1945" s="475"/>
      <c r="F1945" s="475"/>
      <c r="G1945" s="475"/>
      <c r="H1945" s="475"/>
      <c r="I1945" s="475"/>
      <c r="J1945" s="475"/>
      <c r="K1945" s="475"/>
      <c r="L1945" s="475"/>
      <c r="M1945" s="475"/>
      <c r="N1945" s="475"/>
      <c r="O1945" s="475"/>
      <c r="P1945" s="475"/>
      <c r="Q1945" s="475"/>
      <c r="R1945" s="475"/>
      <c r="S1945" s="475"/>
      <c r="T1945" s="475"/>
      <c r="U1945" s="475"/>
      <c r="V1945" s="475"/>
      <c r="W1945" s="475"/>
      <c r="X1945" s="475"/>
      <c r="Y1945" s="475"/>
      <c r="Z1945" s="475"/>
      <c r="AA1945" s="475"/>
      <c r="AB1945" s="475"/>
      <c r="AC1945" s="475"/>
      <c r="AD1945" s="475"/>
      <c r="AE1945" s="475"/>
      <c r="AF1945" s="475"/>
      <c r="AG1945" s="475"/>
    </row>
    <row r="1946" spans="2:33" ht="15" customHeight="1" x14ac:dyDescent="0.65"/>
    <row r="1947" spans="2:33" ht="15" customHeight="1" x14ac:dyDescent="0.65"/>
    <row r="1948" spans="2:33" ht="15" customHeight="1" x14ac:dyDescent="0.65"/>
    <row r="1949" spans="2:33" ht="15" customHeight="1" x14ac:dyDescent="0.65"/>
    <row r="1950" spans="2:33" ht="15" customHeight="1" x14ac:dyDescent="0.65"/>
    <row r="1951" spans="2:33" ht="15" customHeight="1" x14ac:dyDescent="0.65"/>
    <row r="1952" spans="2:33" ht="15" customHeight="1" x14ac:dyDescent="0.65"/>
    <row r="1953" ht="15" customHeight="1" x14ac:dyDescent="0.65"/>
    <row r="1954" ht="15" customHeight="1" x14ac:dyDescent="0.65"/>
    <row r="1955" ht="15" customHeight="1" x14ac:dyDescent="0.65"/>
    <row r="1956" ht="15" customHeight="1" x14ac:dyDescent="0.65"/>
    <row r="1957" ht="15" customHeight="1" x14ac:dyDescent="0.65"/>
    <row r="1958" ht="15" customHeight="1" x14ac:dyDescent="0.65"/>
    <row r="1959" ht="15" customHeight="1" x14ac:dyDescent="0.65"/>
    <row r="1960" ht="15" customHeight="1" x14ac:dyDescent="0.65"/>
    <row r="1961" ht="15" customHeight="1" x14ac:dyDescent="0.65"/>
    <row r="1962" ht="15" customHeight="1" x14ac:dyDescent="0.65"/>
    <row r="1963" ht="15" customHeight="1" x14ac:dyDescent="0.65"/>
    <row r="1964" ht="15" customHeight="1" x14ac:dyDescent="0.65"/>
    <row r="1965" ht="15" customHeight="1" x14ac:dyDescent="0.65"/>
    <row r="1966" ht="15" customHeight="1" x14ac:dyDescent="0.65"/>
    <row r="1967" ht="15" customHeight="1" x14ac:dyDescent="0.65"/>
    <row r="1968" ht="15" customHeight="1" x14ac:dyDescent="0.65"/>
    <row r="1969" ht="15" customHeight="1" x14ac:dyDescent="0.65"/>
    <row r="1970" ht="15" customHeight="1" x14ac:dyDescent="0.65"/>
    <row r="1971" ht="15" customHeight="1" x14ac:dyDescent="0.65"/>
    <row r="1972" ht="15" customHeight="1" x14ac:dyDescent="0.65"/>
    <row r="1973" ht="15" customHeight="1" x14ac:dyDescent="0.65"/>
    <row r="1974" ht="15" customHeight="1" x14ac:dyDescent="0.65"/>
    <row r="1975" ht="15" customHeight="1" x14ac:dyDescent="0.65"/>
    <row r="1976" ht="15" customHeight="1" x14ac:dyDescent="0.65"/>
    <row r="1977" ht="15" customHeight="1" x14ac:dyDescent="0.65"/>
    <row r="1978" ht="15" customHeight="1" x14ac:dyDescent="0.65"/>
    <row r="1979" ht="15" customHeight="1" x14ac:dyDescent="0.65"/>
    <row r="1980" ht="15" customHeight="1" x14ac:dyDescent="0.65"/>
    <row r="1981" ht="15" customHeight="1" x14ac:dyDescent="0.65"/>
    <row r="1982" ht="15" customHeight="1" x14ac:dyDescent="0.65"/>
    <row r="1983" ht="15" customHeight="1" x14ac:dyDescent="0.65"/>
    <row r="1984" ht="15" customHeight="1" x14ac:dyDescent="0.65"/>
    <row r="1985" ht="15" customHeight="1" x14ac:dyDescent="0.65"/>
    <row r="1986" ht="15" customHeight="1" x14ac:dyDescent="0.65"/>
    <row r="1987" ht="15" customHeight="1" x14ac:dyDescent="0.65"/>
    <row r="1988" ht="15" customHeight="1" x14ac:dyDescent="0.65"/>
    <row r="1989" ht="15" customHeight="1" x14ac:dyDescent="0.65"/>
    <row r="1990" ht="15" customHeight="1" x14ac:dyDescent="0.65"/>
    <row r="1991" ht="15" customHeight="1" x14ac:dyDescent="0.65"/>
    <row r="1992" ht="15" customHeight="1" x14ac:dyDescent="0.65"/>
    <row r="1993" ht="15" customHeight="1" x14ac:dyDescent="0.65"/>
    <row r="1994" ht="15" customHeight="1" x14ac:dyDescent="0.65"/>
    <row r="1995" ht="15" customHeight="1" x14ac:dyDescent="0.65"/>
    <row r="1996" ht="15" customHeight="1" x14ac:dyDescent="0.65"/>
    <row r="1997" ht="15" customHeight="1" x14ac:dyDescent="0.65"/>
    <row r="1998" ht="15" customHeight="1" x14ac:dyDescent="0.65"/>
    <row r="1999" ht="15" customHeight="1" x14ac:dyDescent="0.65"/>
    <row r="2000" ht="15" customHeight="1" x14ac:dyDescent="0.65"/>
    <row r="2001" ht="15" customHeight="1" x14ac:dyDescent="0.65"/>
    <row r="2002" ht="15" customHeight="1" x14ac:dyDescent="0.65"/>
    <row r="2003" ht="15" customHeight="1" x14ac:dyDescent="0.65"/>
    <row r="2004" ht="15" customHeight="1" x14ac:dyDescent="0.65"/>
    <row r="2005" ht="15" customHeight="1" x14ac:dyDescent="0.65"/>
    <row r="2006" ht="15" customHeight="1" x14ac:dyDescent="0.65"/>
    <row r="2007" ht="15" customHeight="1" x14ac:dyDescent="0.65"/>
    <row r="2008" ht="15" customHeight="1" x14ac:dyDescent="0.65"/>
    <row r="2009" ht="15" customHeight="1" x14ac:dyDescent="0.65"/>
    <row r="2010" ht="15" customHeight="1" x14ac:dyDescent="0.65"/>
    <row r="2011" ht="15" customHeight="1" x14ac:dyDescent="0.65"/>
    <row r="2012" ht="15" customHeight="1" x14ac:dyDescent="0.65"/>
    <row r="2013" ht="15" customHeight="1" x14ac:dyDescent="0.65"/>
    <row r="2014" ht="15" customHeight="1" x14ac:dyDescent="0.65"/>
    <row r="2015" ht="15" customHeight="1" x14ac:dyDescent="0.65"/>
    <row r="2016" ht="15" customHeight="1" x14ac:dyDescent="0.65"/>
    <row r="2017" spans="2:33" ht="15" customHeight="1" x14ac:dyDescent="0.65"/>
    <row r="2018" spans="2:33" ht="15" customHeight="1" x14ac:dyDescent="0.65"/>
    <row r="2019" spans="2:33" ht="15" customHeight="1" x14ac:dyDescent="0.65"/>
    <row r="2020" spans="2:33" ht="15" customHeight="1" x14ac:dyDescent="0.65"/>
    <row r="2021" spans="2:33" ht="15" customHeight="1" x14ac:dyDescent="0.65"/>
    <row r="2022" spans="2:33" ht="15" customHeight="1" x14ac:dyDescent="0.65"/>
    <row r="2023" spans="2:33" ht="15" customHeight="1" x14ac:dyDescent="0.65"/>
    <row r="2024" spans="2:33" ht="15" customHeight="1" x14ac:dyDescent="0.65"/>
    <row r="2025" spans="2:33" ht="15" customHeight="1" x14ac:dyDescent="0.65"/>
    <row r="2026" spans="2:33" ht="15" customHeight="1" x14ac:dyDescent="0.65"/>
    <row r="2027" spans="2:33" ht="15" customHeight="1" x14ac:dyDescent="0.65"/>
    <row r="2028" spans="2:33" ht="15" customHeight="1" x14ac:dyDescent="0.65"/>
    <row r="2029" spans="2:33" ht="15" customHeight="1" x14ac:dyDescent="0.65"/>
    <row r="2030" spans="2:33" ht="15" customHeight="1" x14ac:dyDescent="0.65"/>
    <row r="2031" spans="2:33" ht="15" customHeight="1" x14ac:dyDescent="0.65">
      <c r="B2031" s="475"/>
      <c r="C2031" s="475"/>
      <c r="D2031" s="475"/>
      <c r="E2031" s="475"/>
      <c r="F2031" s="475"/>
      <c r="G2031" s="475"/>
      <c r="H2031" s="475"/>
      <c r="I2031" s="475"/>
      <c r="J2031" s="475"/>
      <c r="K2031" s="475"/>
      <c r="L2031" s="475"/>
      <c r="M2031" s="475"/>
      <c r="N2031" s="475"/>
      <c r="O2031" s="475"/>
      <c r="P2031" s="475"/>
      <c r="Q2031" s="475"/>
      <c r="R2031" s="475"/>
      <c r="S2031" s="475"/>
      <c r="T2031" s="475"/>
      <c r="U2031" s="475"/>
      <c r="V2031" s="475"/>
      <c r="W2031" s="475"/>
      <c r="X2031" s="475"/>
      <c r="Y2031" s="475"/>
      <c r="Z2031" s="475"/>
      <c r="AA2031" s="475"/>
      <c r="AB2031" s="475"/>
      <c r="AC2031" s="475"/>
      <c r="AD2031" s="475"/>
      <c r="AE2031" s="475"/>
      <c r="AF2031" s="475"/>
      <c r="AG2031" s="475"/>
    </row>
    <row r="2032" spans="2:33" ht="15" customHeight="1" x14ac:dyDescent="0.65"/>
    <row r="2033" ht="15" customHeight="1" x14ac:dyDescent="0.65"/>
    <row r="2034" ht="15" customHeight="1" x14ac:dyDescent="0.65"/>
    <row r="2035" ht="15" customHeight="1" x14ac:dyDescent="0.65"/>
    <row r="2036" ht="15" customHeight="1" x14ac:dyDescent="0.65"/>
    <row r="2037" ht="15" customHeight="1" x14ac:dyDescent="0.65"/>
    <row r="2038" ht="15" customHeight="1" x14ac:dyDescent="0.65"/>
    <row r="2039" ht="15" customHeight="1" x14ac:dyDescent="0.65"/>
    <row r="2040" ht="15" customHeight="1" x14ac:dyDescent="0.65"/>
    <row r="2041" ht="15" customHeight="1" x14ac:dyDescent="0.65"/>
    <row r="2042" ht="15" customHeight="1" x14ac:dyDescent="0.65"/>
    <row r="2043" ht="15" customHeight="1" x14ac:dyDescent="0.65"/>
    <row r="2044" ht="15" customHeight="1" x14ac:dyDescent="0.65"/>
    <row r="2045" ht="15" customHeight="1" x14ac:dyDescent="0.65"/>
    <row r="2046" ht="15" customHeight="1" x14ac:dyDescent="0.65"/>
    <row r="2047" ht="15" customHeight="1" x14ac:dyDescent="0.65"/>
    <row r="2048" ht="15" customHeight="1" x14ac:dyDescent="0.65"/>
    <row r="2049" ht="15" customHeight="1" x14ac:dyDescent="0.65"/>
    <row r="2050" ht="15" customHeight="1" x14ac:dyDescent="0.65"/>
    <row r="2051" ht="15" customHeight="1" x14ac:dyDescent="0.65"/>
    <row r="2052" ht="15" customHeight="1" x14ac:dyDescent="0.65"/>
    <row r="2053" ht="15" customHeight="1" x14ac:dyDescent="0.65"/>
    <row r="2054" ht="15" customHeight="1" x14ac:dyDescent="0.65"/>
    <row r="2055" ht="15" customHeight="1" x14ac:dyDescent="0.65"/>
    <row r="2056" ht="15" customHeight="1" x14ac:dyDescent="0.65"/>
    <row r="2057" ht="15" customHeight="1" x14ac:dyDescent="0.65"/>
    <row r="2058" ht="15" customHeight="1" x14ac:dyDescent="0.65"/>
    <row r="2059" ht="15" customHeight="1" x14ac:dyDescent="0.65"/>
    <row r="2060" ht="15" customHeight="1" x14ac:dyDescent="0.65"/>
    <row r="2061" ht="15" customHeight="1" x14ac:dyDescent="0.65"/>
    <row r="2062" ht="15" customHeight="1" x14ac:dyDescent="0.65"/>
    <row r="2063" ht="15" customHeight="1" x14ac:dyDescent="0.65"/>
    <row r="2064" ht="15" customHeight="1" x14ac:dyDescent="0.65"/>
    <row r="2065" ht="15" customHeight="1" x14ac:dyDescent="0.65"/>
    <row r="2066" ht="15" customHeight="1" x14ac:dyDescent="0.65"/>
    <row r="2067" ht="15" customHeight="1" x14ac:dyDescent="0.65"/>
    <row r="2068" ht="15" customHeight="1" x14ac:dyDescent="0.65"/>
    <row r="2069" ht="15" customHeight="1" x14ac:dyDescent="0.65"/>
    <row r="2070" ht="15" customHeight="1" x14ac:dyDescent="0.65"/>
    <row r="2071" ht="15" customHeight="1" x14ac:dyDescent="0.65"/>
    <row r="2072" ht="15" customHeight="1" x14ac:dyDescent="0.65"/>
    <row r="2073" ht="15" customHeight="1" x14ac:dyDescent="0.65"/>
    <row r="2074" ht="15" customHeight="1" x14ac:dyDescent="0.65"/>
    <row r="2075" ht="15" customHeight="1" x14ac:dyDescent="0.65"/>
    <row r="2076" ht="15" customHeight="1" x14ac:dyDescent="0.65"/>
    <row r="2077" ht="15" customHeight="1" x14ac:dyDescent="0.65"/>
    <row r="2078" ht="15" customHeight="1" x14ac:dyDescent="0.65"/>
    <row r="2079" ht="15" customHeight="1" x14ac:dyDescent="0.65"/>
    <row r="2080" ht="15" customHeight="1" x14ac:dyDescent="0.65"/>
    <row r="2081" ht="15" customHeight="1" x14ac:dyDescent="0.65"/>
    <row r="2082" ht="15" customHeight="1" x14ac:dyDescent="0.65"/>
    <row r="2083" ht="15" customHeight="1" x14ac:dyDescent="0.65"/>
    <row r="2084" ht="15" customHeight="1" x14ac:dyDescent="0.65"/>
    <row r="2085" ht="15" customHeight="1" x14ac:dyDescent="0.65"/>
    <row r="2086" ht="15" customHeight="1" x14ac:dyDescent="0.65"/>
    <row r="2087" ht="15" customHeight="1" x14ac:dyDescent="0.65"/>
    <row r="2088" ht="15" customHeight="1" x14ac:dyDescent="0.65"/>
    <row r="2089" ht="15" customHeight="1" x14ac:dyDescent="0.65"/>
    <row r="2090" ht="15" customHeight="1" x14ac:dyDescent="0.65"/>
    <row r="2091" ht="15" customHeight="1" x14ac:dyDescent="0.65"/>
    <row r="2092" ht="15" customHeight="1" x14ac:dyDescent="0.65"/>
    <row r="2093" ht="15" customHeight="1" x14ac:dyDescent="0.65"/>
    <row r="2094" ht="15" customHeight="1" x14ac:dyDescent="0.65"/>
    <row r="2095" ht="15" customHeight="1" x14ac:dyDescent="0.65"/>
    <row r="2096" ht="15" customHeight="1" x14ac:dyDescent="0.65"/>
    <row r="2097" ht="15" customHeight="1" x14ac:dyDescent="0.65"/>
    <row r="2098" ht="15" customHeight="1" x14ac:dyDescent="0.65"/>
    <row r="2099" ht="15" customHeight="1" x14ac:dyDescent="0.65"/>
    <row r="2100" ht="15" customHeight="1" x14ac:dyDescent="0.65"/>
    <row r="2101" ht="15" customHeight="1" x14ac:dyDescent="0.65"/>
    <row r="2102" ht="15" customHeight="1" x14ac:dyDescent="0.65"/>
    <row r="2103" ht="15" customHeight="1" x14ac:dyDescent="0.65"/>
    <row r="2104" ht="15" customHeight="1" x14ac:dyDescent="0.65"/>
    <row r="2105" ht="15" customHeight="1" x14ac:dyDescent="0.65"/>
    <row r="2106" ht="15" customHeight="1" x14ac:dyDescent="0.65"/>
    <row r="2107" ht="15" customHeight="1" x14ac:dyDescent="0.65"/>
    <row r="2108" ht="15" customHeight="1" x14ac:dyDescent="0.65"/>
    <row r="2109" ht="15" customHeight="1" x14ac:dyDescent="0.65"/>
    <row r="2110" ht="15" customHeight="1" x14ac:dyDescent="0.65"/>
    <row r="2111" ht="15" customHeight="1" x14ac:dyDescent="0.65"/>
    <row r="2112" ht="15" customHeight="1" x14ac:dyDescent="0.65"/>
    <row r="2113" ht="15" customHeight="1" x14ac:dyDescent="0.65"/>
    <row r="2114" ht="15" customHeight="1" x14ac:dyDescent="0.65"/>
    <row r="2115" ht="15" customHeight="1" x14ac:dyDescent="0.65"/>
    <row r="2116" ht="15" customHeight="1" x14ac:dyDescent="0.65"/>
    <row r="2117" ht="15" customHeight="1" x14ac:dyDescent="0.65"/>
    <row r="2118" ht="15" customHeight="1" x14ac:dyDescent="0.65"/>
    <row r="2119" ht="15" customHeight="1" x14ac:dyDescent="0.65"/>
    <row r="2120" ht="15" customHeight="1" x14ac:dyDescent="0.65"/>
    <row r="2121" ht="15" customHeight="1" x14ac:dyDescent="0.65"/>
    <row r="2122" ht="15" customHeight="1" x14ac:dyDescent="0.65"/>
    <row r="2123" ht="15" customHeight="1" x14ac:dyDescent="0.65"/>
    <row r="2124" ht="15" customHeight="1" x14ac:dyDescent="0.65"/>
    <row r="2125" ht="15" customHeight="1" x14ac:dyDescent="0.65"/>
    <row r="2126" ht="15" customHeight="1" x14ac:dyDescent="0.65"/>
    <row r="2127" ht="15" customHeight="1" x14ac:dyDescent="0.65"/>
    <row r="2128" ht="15" customHeight="1" x14ac:dyDescent="0.65"/>
    <row r="2129" ht="15" customHeight="1" x14ac:dyDescent="0.65"/>
    <row r="2130" ht="15" customHeight="1" x14ac:dyDescent="0.65"/>
    <row r="2131" ht="15" customHeight="1" x14ac:dyDescent="0.65"/>
    <row r="2132" ht="15" customHeight="1" x14ac:dyDescent="0.65"/>
    <row r="2133" ht="15" customHeight="1" x14ac:dyDescent="0.65"/>
    <row r="2134" ht="15" customHeight="1" x14ac:dyDescent="0.65"/>
    <row r="2135" ht="15" customHeight="1" x14ac:dyDescent="0.65"/>
    <row r="2136" ht="15" customHeight="1" x14ac:dyDescent="0.65"/>
    <row r="2137" ht="15" customHeight="1" x14ac:dyDescent="0.65"/>
    <row r="2138" ht="15" customHeight="1" x14ac:dyDescent="0.65"/>
    <row r="2139" ht="15" customHeight="1" x14ac:dyDescent="0.65"/>
    <row r="2140" ht="15" customHeight="1" x14ac:dyDescent="0.65"/>
    <row r="2141" ht="15" customHeight="1" x14ac:dyDescent="0.65"/>
    <row r="2142" ht="15" customHeight="1" x14ac:dyDescent="0.65"/>
    <row r="2143" ht="15" customHeight="1" x14ac:dyDescent="0.65"/>
    <row r="2144" ht="15" customHeight="1" x14ac:dyDescent="0.65"/>
    <row r="2145" spans="2:33" ht="15" customHeight="1" x14ac:dyDescent="0.65"/>
    <row r="2146" spans="2:33" ht="15" customHeight="1" x14ac:dyDescent="0.65"/>
    <row r="2147" spans="2:33" ht="15" customHeight="1" x14ac:dyDescent="0.65"/>
    <row r="2148" spans="2:33" ht="15" customHeight="1" x14ac:dyDescent="0.65"/>
    <row r="2149" spans="2:33" ht="15" customHeight="1" x14ac:dyDescent="0.65"/>
    <row r="2150" spans="2:33" ht="15" customHeight="1" x14ac:dyDescent="0.65"/>
    <row r="2151" spans="2:33" ht="15" customHeight="1" x14ac:dyDescent="0.65"/>
    <row r="2152" spans="2:33" ht="15" customHeight="1" x14ac:dyDescent="0.65"/>
    <row r="2153" spans="2:33" ht="15" customHeight="1" x14ac:dyDescent="0.65">
      <c r="B2153" s="475"/>
      <c r="C2153" s="475"/>
      <c r="D2153" s="475"/>
      <c r="E2153" s="475"/>
      <c r="F2153" s="475"/>
      <c r="G2153" s="475"/>
      <c r="H2153" s="475"/>
      <c r="I2153" s="475"/>
      <c r="J2153" s="475"/>
      <c r="K2153" s="475"/>
      <c r="L2153" s="475"/>
      <c r="M2153" s="475"/>
      <c r="N2153" s="475"/>
      <c r="O2153" s="475"/>
      <c r="P2153" s="475"/>
      <c r="Q2153" s="475"/>
      <c r="R2153" s="475"/>
      <c r="S2153" s="475"/>
      <c r="T2153" s="475"/>
      <c r="U2153" s="475"/>
      <c r="V2153" s="475"/>
      <c r="W2153" s="475"/>
      <c r="X2153" s="475"/>
      <c r="Y2153" s="475"/>
      <c r="Z2153" s="475"/>
      <c r="AA2153" s="475"/>
      <c r="AB2153" s="475"/>
      <c r="AC2153" s="475"/>
      <c r="AD2153" s="475"/>
      <c r="AE2153" s="475"/>
      <c r="AF2153" s="475"/>
      <c r="AG2153" s="475"/>
    </row>
    <row r="2154" spans="2:33" ht="15" customHeight="1" x14ac:dyDescent="0.65"/>
    <row r="2155" spans="2:33" ht="15" customHeight="1" x14ac:dyDescent="0.65"/>
    <row r="2156" spans="2:33" ht="15" customHeight="1" x14ac:dyDescent="0.65"/>
    <row r="2157" spans="2:33" ht="15" customHeight="1" x14ac:dyDescent="0.65"/>
    <row r="2158" spans="2:33" ht="15" customHeight="1" x14ac:dyDescent="0.65"/>
    <row r="2159" spans="2:33" ht="15" customHeight="1" x14ac:dyDescent="0.65"/>
    <row r="2160" spans="2:33" ht="15" customHeight="1" x14ac:dyDescent="0.65"/>
    <row r="2161" ht="15" customHeight="1" x14ac:dyDescent="0.65"/>
    <row r="2162" ht="15" customHeight="1" x14ac:dyDescent="0.65"/>
    <row r="2163" ht="15" customHeight="1" x14ac:dyDescent="0.65"/>
    <row r="2164" ht="15" customHeight="1" x14ac:dyDescent="0.65"/>
    <row r="2165" ht="15" customHeight="1" x14ac:dyDescent="0.65"/>
    <row r="2166" ht="15" customHeight="1" x14ac:dyDescent="0.65"/>
    <row r="2167" ht="15" customHeight="1" x14ac:dyDescent="0.65"/>
    <row r="2168" ht="15" customHeight="1" x14ac:dyDescent="0.65"/>
    <row r="2169" ht="15" customHeight="1" x14ac:dyDescent="0.65"/>
    <row r="2170" ht="15" customHeight="1" x14ac:dyDescent="0.65"/>
    <row r="2171" ht="15" customHeight="1" x14ac:dyDescent="0.65"/>
    <row r="2172" ht="15" customHeight="1" x14ac:dyDescent="0.65"/>
    <row r="2173" ht="15" customHeight="1" x14ac:dyDescent="0.65"/>
    <row r="2174" ht="15" customHeight="1" x14ac:dyDescent="0.65"/>
    <row r="2175" ht="15" customHeight="1" x14ac:dyDescent="0.65"/>
    <row r="2176" ht="15" customHeight="1" x14ac:dyDescent="0.65"/>
    <row r="2177" ht="15" customHeight="1" x14ac:dyDescent="0.65"/>
    <row r="2178" ht="15" customHeight="1" x14ac:dyDescent="0.65"/>
    <row r="2179" ht="15" customHeight="1" x14ac:dyDescent="0.65"/>
    <row r="2180" ht="15" customHeight="1" x14ac:dyDescent="0.65"/>
    <row r="2181" ht="15" customHeight="1" x14ac:dyDescent="0.65"/>
    <row r="2182" ht="15" customHeight="1" x14ac:dyDescent="0.65"/>
    <row r="2183" ht="15" customHeight="1" x14ac:dyDescent="0.65"/>
    <row r="2184" ht="15" customHeight="1" x14ac:dyDescent="0.65"/>
    <row r="2185" ht="15" customHeight="1" x14ac:dyDescent="0.65"/>
    <row r="2186" ht="15" customHeight="1" x14ac:dyDescent="0.65"/>
    <row r="2187" ht="15" customHeight="1" x14ac:dyDescent="0.65"/>
    <row r="2188" ht="15" customHeight="1" x14ac:dyDescent="0.65"/>
    <row r="2189" ht="15" customHeight="1" x14ac:dyDescent="0.65"/>
    <row r="2190" ht="15" customHeight="1" x14ac:dyDescent="0.65"/>
    <row r="2191" ht="15" customHeight="1" x14ac:dyDescent="0.65"/>
    <row r="2192" ht="15" customHeight="1" x14ac:dyDescent="0.65"/>
    <row r="2193" ht="15" customHeight="1" x14ac:dyDescent="0.65"/>
    <row r="2194" ht="15" customHeight="1" x14ac:dyDescent="0.65"/>
    <row r="2195" ht="15" customHeight="1" x14ac:dyDescent="0.65"/>
    <row r="2196" ht="15" customHeight="1" x14ac:dyDescent="0.65"/>
    <row r="2197" ht="15" customHeight="1" x14ac:dyDescent="0.65"/>
    <row r="2198" ht="15" customHeight="1" x14ac:dyDescent="0.65"/>
    <row r="2199" ht="15" customHeight="1" x14ac:dyDescent="0.65"/>
    <row r="2200" ht="15" customHeight="1" x14ac:dyDescent="0.65"/>
    <row r="2201" ht="15" customHeight="1" x14ac:dyDescent="0.65"/>
    <row r="2202" ht="15" customHeight="1" x14ac:dyDescent="0.65"/>
    <row r="2203" ht="15" customHeight="1" x14ac:dyDescent="0.65"/>
    <row r="2204" ht="15" customHeight="1" x14ac:dyDescent="0.65"/>
    <row r="2205" ht="15" customHeight="1" x14ac:dyDescent="0.65"/>
    <row r="2206" ht="15" customHeight="1" x14ac:dyDescent="0.65"/>
    <row r="2207" ht="15" customHeight="1" x14ac:dyDescent="0.65"/>
    <row r="2208" ht="15" customHeight="1" x14ac:dyDescent="0.65"/>
    <row r="2209" ht="15" customHeight="1" x14ac:dyDescent="0.65"/>
    <row r="2210" ht="15" customHeight="1" x14ac:dyDescent="0.65"/>
    <row r="2211" ht="15" customHeight="1" x14ac:dyDescent="0.65"/>
    <row r="2212" ht="15" customHeight="1" x14ac:dyDescent="0.65"/>
    <row r="2213" ht="15" customHeight="1" x14ac:dyDescent="0.65"/>
    <row r="2214" ht="15" customHeight="1" x14ac:dyDescent="0.65"/>
    <row r="2215" ht="15" customHeight="1" x14ac:dyDescent="0.65"/>
    <row r="2216" ht="15" customHeight="1" x14ac:dyDescent="0.65"/>
    <row r="2217" ht="15" customHeight="1" x14ac:dyDescent="0.65"/>
    <row r="2218" ht="15" customHeight="1" x14ac:dyDescent="0.65"/>
    <row r="2219" ht="15" customHeight="1" x14ac:dyDescent="0.65"/>
    <row r="2220" ht="15" customHeight="1" x14ac:dyDescent="0.65"/>
    <row r="2221" ht="15" customHeight="1" x14ac:dyDescent="0.65"/>
    <row r="2222" ht="15" customHeight="1" x14ac:dyDescent="0.65"/>
    <row r="2223" ht="15" customHeight="1" x14ac:dyDescent="0.65"/>
    <row r="2224" ht="15" customHeight="1" x14ac:dyDescent="0.65"/>
    <row r="2225" ht="15" customHeight="1" x14ac:dyDescent="0.65"/>
    <row r="2226" ht="15" customHeight="1" x14ac:dyDescent="0.65"/>
    <row r="2227" ht="15" customHeight="1" x14ac:dyDescent="0.65"/>
    <row r="2228" ht="15" customHeight="1" x14ac:dyDescent="0.65"/>
    <row r="2229" ht="15" customHeight="1" x14ac:dyDescent="0.65"/>
    <row r="2230" ht="15" customHeight="1" x14ac:dyDescent="0.65"/>
    <row r="2231" ht="15" customHeight="1" x14ac:dyDescent="0.65"/>
    <row r="2232" ht="15" customHeight="1" x14ac:dyDescent="0.65"/>
    <row r="2233" ht="15" customHeight="1" x14ac:dyDescent="0.65"/>
    <row r="2234" ht="15" customHeight="1" x14ac:dyDescent="0.65"/>
    <row r="2235" ht="15" customHeight="1" x14ac:dyDescent="0.65"/>
    <row r="2236" ht="15" customHeight="1" x14ac:dyDescent="0.65"/>
    <row r="2237" ht="15" customHeight="1" x14ac:dyDescent="0.65"/>
    <row r="2238" ht="15" customHeight="1" x14ac:dyDescent="0.65"/>
    <row r="2239" ht="15" customHeight="1" x14ac:dyDescent="0.65"/>
    <row r="2240" ht="15" customHeight="1" x14ac:dyDescent="0.65"/>
    <row r="2241" ht="15" customHeight="1" x14ac:dyDescent="0.65"/>
    <row r="2242" ht="15" customHeight="1" x14ac:dyDescent="0.65"/>
    <row r="2243" ht="15" customHeight="1" x14ac:dyDescent="0.65"/>
    <row r="2244" ht="15" customHeight="1" x14ac:dyDescent="0.65"/>
    <row r="2245" ht="15" customHeight="1" x14ac:dyDescent="0.65"/>
    <row r="2246" ht="15" customHeight="1" x14ac:dyDescent="0.65"/>
    <row r="2247" ht="15" customHeight="1" x14ac:dyDescent="0.65"/>
    <row r="2248" ht="15" customHeight="1" x14ac:dyDescent="0.65"/>
    <row r="2249" ht="15" customHeight="1" x14ac:dyDescent="0.65"/>
    <row r="2250" ht="15" customHeight="1" x14ac:dyDescent="0.65"/>
    <row r="2251" ht="15" customHeight="1" x14ac:dyDescent="0.65"/>
    <row r="2252" ht="15" customHeight="1" x14ac:dyDescent="0.65"/>
    <row r="2253" ht="15" customHeight="1" x14ac:dyDescent="0.65"/>
    <row r="2254" ht="15" customHeight="1" x14ac:dyDescent="0.65"/>
    <row r="2255" ht="15" customHeight="1" x14ac:dyDescent="0.65"/>
    <row r="2256" ht="15" customHeight="1" x14ac:dyDescent="0.65"/>
    <row r="2257" ht="15" customHeight="1" x14ac:dyDescent="0.65"/>
    <row r="2258" ht="15" customHeight="1" x14ac:dyDescent="0.65"/>
    <row r="2259" ht="15" customHeight="1" x14ac:dyDescent="0.65"/>
    <row r="2260" ht="15" customHeight="1" x14ac:dyDescent="0.65"/>
    <row r="2261" ht="15" customHeight="1" x14ac:dyDescent="0.65"/>
    <row r="2262" ht="15" customHeight="1" x14ac:dyDescent="0.65"/>
    <row r="2263" ht="15" customHeight="1" x14ac:dyDescent="0.65"/>
    <row r="2264" ht="15" customHeight="1" x14ac:dyDescent="0.65"/>
    <row r="2265" ht="15" customHeight="1" x14ac:dyDescent="0.65"/>
    <row r="2266" ht="15" customHeight="1" x14ac:dyDescent="0.65"/>
    <row r="2267" ht="15" customHeight="1" x14ac:dyDescent="0.65"/>
    <row r="2268" ht="15" customHeight="1" x14ac:dyDescent="0.65"/>
    <row r="2269" ht="15" customHeight="1" x14ac:dyDescent="0.65"/>
    <row r="2270" ht="15" customHeight="1" x14ac:dyDescent="0.65"/>
    <row r="2271" ht="15" customHeight="1" x14ac:dyDescent="0.65"/>
    <row r="2272" ht="15" customHeight="1" x14ac:dyDescent="0.65"/>
    <row r="2273" ht="15" customHeight="1" x14ac:dyDescent="0.65"/>
    <row r="2274" ht="15" customHeight="1" x14ac:dyDescent="0.65"/>
    <row r="2275" ht="15" customHeight="1" x14ac:dyDescent="0.65"/>
    <row r="2276" ht="15" customHeight="1" x14ac:dyDescent="0.65"/>
    <row r="2277" ht="15" customHeight="1" x14ac:dyDescent="0.65"/>
    <row r="2278" ht="15" customHeight="1" x14ac:dyDescent="0.65"/>
    <row r="2279" ht="15" customHeight="1" x14ac:dyDescent="0.65"/>
    <row r="2280" ht="15" customHeight="1" x14ac:dyDescent="0.65"/>
    <row r="2281" ht="15" customHeight="1" x14ac:dyDescent="0.65"/>
    <row r="2282" ht="15" customHeight="1" x14ac:dyDescent="0.65"/>
    <row r="2283" ht="15" customHeight="1" x14ac:dyDescent="0.65"/>
    <row r="2284" ht="15" customHeight="1" x14ac:dyDescent="0.65"/>
    <row r="2285" ht="15" customHeight="1" x14ac:dyDescent="0.65"/>
    <row r="2286" ht="15" customHeight="1" x14ac:dyDescent="0.65"/>
    <row r="2287" ht="15" customHeight="1" x14ac:dyDescent="0.65"/>
    <row r="2288" ht="15" customHeight="1" x14ac:dyDescent="0.65"/>
    <row r="2289" ht="15" customHeight="1" x14ac:dyDescent="0.65"/>
    <row r="2290" ht="15" customHeight="1" x14ac:dyDescent="0.65"/>
    <row r="2291" ht="15" customHeight="1" x14ac:dyDescent="0.65"/>
    <row r="2292" ht="15" customHeight="1" x14ac:dyDescent="0.65"/>
    <row r="2293" ht="15" customHeight="1" x14ac:dyDescent="0.65"/>
    <row r="2294" ht="15" customHeight="1" x14ac:dyDescent="0.65"/>
    <row r="2295" ht="15" customHeight="1" x14ac:dyDescent="0.65"/>
    <row r="2296" ht="15" customHeight="1" x14ac:dyDescent="0.65"/>
    <row r="2297" ht="15" customHeight="1" x14ac:dyDescent="0.65"/>
    <row r="2298" ht="15" customHeight="1" x14ac:dyDescent="0.65"/>
    <row r="2299" ht="15" customHeight="1" x14ac:dyDescent="0.65"/>
    <row r="2300" ht="15" customHeight="1" x14ac:dyDescent="0.65"/>
    <row r="2301" ht="15" customHeight="1" x14ac:dyDescent="0.65"/>
    <row r="2302" ht="15" customHeight="1" x14ac:dyDescent="0.65"/>
    <row r="2303" ht="15" customHeight="1" x14ac:dyDescent="0.65"/>
    <row r="2304" ht="15" customHeight="1" x14ac:dyDescent="0.65"/>
    <row r="2305" spans="2:33" ht="15" customHeight="1" x14ac:dyDescent="0.65"/>
    <row r="2306" spans="2:33" ht="15" customHeight="1" x14ac:dyDescent="0.65"/>
    <row r="2307" spans="2:33" ht="15" customHeight="1" x14ac:dyDescent="0.65"/>
    <row r="2308" spans="2:33" ht="15" customHeight="1" x14ac:dyDescent="0.65"/>
    <row r="2309" spans="2:33" ht="15" customHeight="1" x14ac:dyDescent="0.65"/>
    <row r="2310" spans="2:33" ht="15" customHeight="1" x14ac:dyDescent="0.65"/>
    <row r="2311" spans="2:33" ht="15" customHeight="1" x14ac:dyDescent="0.65"/>
    <row r="2312" spans="2:33" ht="15" customHeight="1" x14ac:dyDescent="0.65"/>
    <row r="2313" spans="2:33" ht="15" customHeight="1" x14ac:dyDescent="0.65"/>
    <row r="2314" spans="2:33" ht="15" customHeight="1" x14ac:dyDescent="0.65"/>
    <row r="2315" spans="2:33" ht="15" customHeight="1" x14ac:dyDescent="0.65"/>
    <row r="2316" spans="2:33" ht="15" customHeight="1" x14ac:dyDescent="0.65"/>
    <row r="2317" spans="2:33" ht="15" customHeight="1" x14ac:dyDescent="0.65">
      <c r="B2317" s="475"/>
      <c r="C2317" s="475"/>
      <c r="D2317" s="475"/>
      <c r="E2317" s="475"/>
      <c r="F2317" s="475"/>
      <c r="G2317" s="475"/>
      <c r="H2317" s="475"/>
      <c r="I2317" s="475"/>
      <c r="J2317" s="475"/>
      <c r="K2317" s="475"/>
      <c r="L2317" s="475"/>
      <c r="M2317" s="475"/>
      <c r="N2317" s="475"/>
      <c r="O2317" s="475"/>
      <c r="P2317" s="475"/>
      <c r="Q2317" s="475"/>
      <c r="R2317" s="475"/>
      <c r="S2317" s="475"/>
      <c r="T2317" s="475"/>
      <c r="U2317" s="475"/>
      <c r="V2317" s="475"/>
      <c r="W2317" s="475"/>
      <c r="X2317" s="475"/>
      <c r="Y2317" s="475"/>
      <c r="Z2317" s="475"/>
      <c r="AA2317" s="475"/>
      <c r="AB2317" s="475"/>
      <c r="AC2317" s="475"/>
      <c r="AD2317" s="475"/>
      <c r="AE2317" s="475"/>
      <c r="AF2317" s="475"/>
      <c r="AG2317" s="475"/>
    </row>
    <row r="2318" spans="2:33" ht="15" customHeight="1" x14ac:dyDescent="0.65"/>
    <row r="2319" spans="2:33" ht="15" customHeight="1" x14ac:dyDescent="0.65"/>
    <row r="2320" spans="2:33" ht="15" customHeight="1" x14ac:dyDescent="0.65"/>
    <row r="2321" ht="15" customHeight="1" x14ac:dyDescent="0.65"/>
    <row r="2322" ht="15" customHeight="1" x14ac:dyDescent="0.65"/>
    <row r="2323" ht="15" customHeight="1" x14ac:dyDescent="0.65"/>
    <row r="2324" ht="15" customHeight="1" x14ac:dyDescent="0.65"/>
    <row r="2325" ht="15" customHeight="1" x14ac:dyDescent="0.65"/>
    <row r="2326" ht="15" customHeight="1" x14ac:dyDescent="0.65"/>
    <row r="2327" ht="15" customHeight="1" x14ac:dyDescent="0.65"/>
    <row r="2328" ht="15" customHeight="1" x14ac:dyDescent="0.65"/>
    <row r="2329" ht="15" customHeight="1" x14ac:dyDescent="0.65"/>
    <row r="2330" ht="15" customHeight="1" x14ac:dyDescent="0.65"/>
    <row r="2331" ht="15" customHeight="1" x14ac:dyDescent="0.65"/>
    <row r="2332" ht="15" customHeight="1" x14ac:dyDescent="0.65"/>
    <row r="2333" ht="15" customHeight="1" x14ac:dyDescent="0.65"/>
    <row r="2334" ht="15" customHeight="1" x14ac:dyDescent="0.65"/>
    <row r="2335" ht="15" customHeight="1" x14ac:dyDescent="0.65"/>
    <row r="2336" ht="15" customHeight="1" x14ac:dyDescent="0.65"/>
    <row r="2337" ht="15" customHeight="1" x14ac:dyDescent="0.65"/>
    <row r="2338" ht="15" customHeight="1" x14ac:dyDescent="0.65"/>
    <row r="2339" ht="15" customHeight="1" x14ac:dyDescent="0.65"/>
    <row r="2340" ht="15" customHeight="1" x14ac:dyDescent="0.65"/>
    <row r="2341" ht="15" customHeight="1" x14ac:dyDescent="0.65"/>
    <row r="2342" ht="15" customHeight="1" x14ac:dyDescent="0.65"/>
    <row r="2343" ht="15" customHeight="1" x14ac:dyDescent="0.65"/>
    <row r="2344" ht="15" customHeight="1" x14ac:dyDescent="0.65"/>
    <row r="2345" ht="15" customHeight="1" x14ac:dyDescent="0.65"/>
    <row r="2346" ht="15" customHeight="1" x14ac:dyDescent="0.65"/>
    <row r="2347" ht="15" customHeight="1" x14ac:dyDescent="0.65"/>
    <row r="2348" ht="15" customHeight="1" x14ac:dyDescent="0.65"/>
    <row r="2349" ht="15" customHeight="1" x14ac:dyDescent="0.65"/>
    <row r="2350" ht="15" customHeight="1" x14ac:dyDescent="0.65"/>
    <row r="2351" ht="15" customHeight="1" x14ac:dyDescent="0.65"/>
    <row r="2352" ht="15" customHeight="1" x14ac:dyDescent="0.65"/>
    <row r="2353" ht="15" customHeight="1" x14ac:dyDescent="0.65"/>
    <row r="2354" ht="15" customHeight="1" x14ac:dyDescent="0.65"/>
    <row r="2355" ht="15" customHeight="1" x14ac:dyDescent="0.65"/>
    <row r="2356" ht="15" customHeight="1" x14ac:dyDescent="0.65"/>
    <row r="2357" ht="15" customHeight="1" x14ac:dyDescent="0.65"/>
    <row r="2358" ht="15" customHeight="1" x14ac:dyDescent="0.65"/>
    <row r="2359" ht="15" customHeight="1" x14ac:dyDescent="0.65"/>
    <row r="2360" ht="15" customHeight="1" x14ac:dyDescent="0.65"/>
    <row r="2361" ht="15" customHeight="1" x14ac:dyDescent="0.65"/>
    <row r="2362" ht="15" customHeight="1" x14ac:dyDescent="0.65"/>
    <row r="2363" ht="15" customHeight="1" x14ac:dyDescent="0.65"/>
    <row r="2364" ht="15" customHeight="1" x14ac:dyDescent="0.65"/>
    <row r="2365" ht="15" customHeight="1" x14ac:dyDescent="0.65"/>
    <row r="2366" ht="15" customHeight="1" x14ac:dyDescent="0.65"/>
    <row r="2367" ht="15" customHeight="1" x14ac:dyDescent="0.65"/>
    <row r="2368" ht="15" customHeight="1" x14ac:dyDescent="0.65"/>
    <row r="2369" ht="15" customHeight="1" x14ac:dyDescent="0.65"/>
    <row r="2370" ht="15" customHeight="1" x14ac:dyDescent="0.65"/>
    <row r="2371" ht="15" customHeight="1" x14ac:dyDescent="0.65"/>
    <row r="2372" ht="15" customHeight="1" x14ac:dyDescent="0.65"/>
    <row r="2373" ht="15" customHeight="1" x14ac:dyDescent="0.65"/>
    <row r="2374" ht="15" customHeight="1" x14ac:dyDescent="0.65"/>
    <row r="2375" ht="15" customHeight="1" x14ac:dyDescent="0.65"/>
    <row r="2376" ht="15" customHeight="1" x14ac:dyDescent="0.65"/>
    <row r="2377" ht="15" customHeight="1" x14ac:dyDescent="0.65"/>
    <row r="2378" ht="15" customHeight="1" x14ac:dyDescent="0.65"/>
    <row r="2379" ht="15" customHeight="1" x14ac:dyDescent="0.65"/>
    <row r="2380" ht="15" customHeight="1" x14ac:dyDescent="0.65"/>
    <row r="2381" ht="15" customHeight="1" x14ac:dyDescent="0.65"/>
    <row r="2382" ht="15" customHeight="1" x14ac:dyDescent="0.65"/>
    <row r="2383" ht="15" customHeight="1" x14ac:dyDescent="0.65"/>
    <row r="2384" ht="15" customHeight="1" x14ac:dyDescent="0.65"/>
    <row r="2385" ht="15" customHeight="1" x14ac:dyDescent="0.65"/>
    <row r="2386" ht="15" customHeight="1" x14ac:dyDescent="0.65"/>
    <row r="2387" ht="15" customHeight="1" x14ac:dyDescent="0.65"/>
    <row r="2388" ht="15" customHeight="1" x14ac:dyDescent="0.65"/>
    <row r="2389" ht="15" customHeight="1" x14ac:dyDescent="0.65"/>
    <row r="2390" ht="15" customHeight="1" x14ac:dyDescent="0.65"/>
    <row r="2391" ht="15" customHeight="1" x14ac:dyDescent="0.65"/>
    <row r="2392" ht="15" customHeight="1" x14ac:dyDescent="0.65"/>
    <row r="2393" ht="15" customHeight="1" x14ac:dyDescent="0.65"/>
    <row r="2394" ht="15" customHeight="1" x14ac:dyDescent="0.65"/>
    <row r="2395" ht="15" customHeight="1" x14ac:dyDescent="0.65"/>
    <row r="2396" ht="15" customHeight="1" x14ac:dyDescent="0.65"/>
    <row r="2397" ht="15" customHeight="1" x14ac:dyDescent="0.65"/>
    <row r="2398" ht="15" customHeight="1" x14ac:dyDescent="0.65"/>
    <row r="2399" ht="15" customHeight="1" x14ac:dyDescent="0.65"/>
    <row r="2400" ht="15" customHeight="1" x14ac:dyDescent="0.65"/>
    <row r="2401" ht="15" customHeight="1" x14ac:dyDescent="0.65"/>
    <row r="2402" ht="15" customHeight="1" x14ac:dyDescent="0.65"/>
    <row r="2403" ht="15" customHeight="1" x14ac:dyDescent="0.65"/>
    <row r="2404" ht="15" customHeight="1" x14ac:dyDescent="0.65"/>
    <row r="2405" ht="15" customHeight="1" x14ac:dyDescent="0.65"/>
    <row r="2406" ht="15" customHeight="1" x14ac:dyDescent="0.65"/>
    <row r="2407" ht="15" customHeight="1" x14ac:dyDescent="0.65"/>
    <row r="2408" ht="15" customHeight="1" x14ac:dyDescent="0.65"/>
    <row r="2409" ht="15" customHeight="1" x14ac:dyDescent="0.65"/>
    <row r="2410" ht="15" customHeight="1" x14ac:dyDescent="0.65"/>
    <row r="2411" ht="15" customHeight="1" x14ac:dyDescent="0.65"/>
    <row r="2412" ht="15" customHeight="1" x14ac:dyDescent="0.65"/>
    <row r="2413" ht="15" customHeight="1" x14ac:dyDescent="0.65"/>
    <row r="2414" ht="15" customHeight="1" x14ac:dyDescent="0.65"/>
    <row r="2415" ht="15" customHeight="1" x14ac:dyDescent="0.65"/>
    <row r="2416" ht="15" customHeight="1" x14ac:dyDescent="0.65"/>
    <row r="2417" spans="2:33" ht="15" customHeight="1" x14ac:dyDescent="0.65"/>
    <row r="2418" spans="2:33" ht="15" customHeight="1" x14ac:dyDescent="0.65"/>
    <row r="2419" spans="2:33" ht="15" customHeight="1" x14ac:dyDescent="0.65">
      <c r="B2419" s="475"/>
      <c r="C2419" s="475"/>
      <c r="D2419" s="475"/>
      <c r="E2419" s="475"/>
      <c r="F2419" s="475"/>
      <c r="G2419" s="475"/>
      <c r="H2419" s="475"/>
      <c r="I2419" s="475"/>
      <c r="J2419" s="475"/>
      <c r="K2419" s="475"/>
      <c r="L2419" s="475"/>
      <c r="M2419" s="475"/>
      <c r="N2419" s="475"/>
      <c r="O2419" s="475"/>
      <c r="P2419" s="475"/>
      <c r="Q2419" s="475"/>
      <c r="R2419" s="475"/>
      <c r="S2419" s="475"/>
      <c r="T2419" s="475"/>
      <c r="U2419" s="475"/>
      <c r="V2419" s="475"/>
      <c r="W2419" s="475"/>
      <c r="X2419" s="475"/>
      <c r="Y2419" s="475"/>
      <c r="Z2419" s="475"/>
      <c r="AA2419" s="475"/>
      <c r="AB2419" s="475"/>
      <c r="AC2419" s="475"/>
      <c r="AD2419" s="475"/>
      <c r="AE2419" s="475"/>
      <c r="AF2419" s="475"/>
      <c r="AG2419" s="475"/>
    </row>
    <row r="2420" spans="2:33" ht="15" customHeight="1" x14ac:dyDescent="0.65"/>
    <row r="2421" spans="2:33" ht="15" customHeight="1" x14ac:dyDescent="0.65"/>
    <row r="2422" spans="2:33" ht="15" customHeight="1" x14ac:dyDescent="0.65"/>
    <row r="2423" spans="2:33" ht="15" customHeight="1" x14ac:dyDescent="0.65"/>
    <row r="2424" spans="2:33" ht="15" customHeight="1" x14ac:dyDescent="0.65"/>
    <row r="2425" spans="2:33" ht="15" customHeight="1" x14ac:dyDescent="0.65"/>
    <row r="2426" spans="2:33" ht="15" customHeight="1" x14ac:dyDescent="0.65"/>
    <row r="2427" spans="2:33" ht="15" customHeight="1" x14ac:dyDescent="0.65"/>
    <row r="2428" spans="2:33" ht="15" customHeight="1" x14ac:dyDescent="0.65"/>
    <row r="2429" spans="2:33" ht="15" customHeight="1" x14ac:dyDescent="0.65"/>
    <row r="2430" spans="2:33" ht="15" customHeight="1" x14ac:dyDescent="0.65"/>
    <row r="2431" spans="2:33" ht="15" customHeight="1" x14ac:dyDescent="0.65"/>
    <row r="2432" spans="2:33" ht="15" customHeight="1" x14ac:dyDescent="0.65"/>
    <row r="2433" ht="15" customHeight="1" x14ac:dyDescent="0.65"/>
    <row r="2434" ht="15" customHeight="1" x14ac:dyDescent="0.65"/>
    <row r="2435" ht="15" customHeight="1" x14ac:dyDescent="0.65"/>
    <row r="2436" ht="15" customHeight="1" x14ac:dyDescent="0.65"/>
    <row r="2437" ht="15" customHeight="1" x14ac:dyDescent="0.65"/>
    <row r="2438" ht="15" customHeight="1" x14ac:dyDescent="0.65"/>
    <row r="2439" ht="15" customHeight="1" x14ac:dyDescent="0.65"/>
    <row r="2440" ht="15" customHeight="1" x14ac:dyDescent="0.65"/>
    <row r="2441" ht="15" customHeight="1" x14ac:dyDescent="0.65"/>
    <row r="2442" ht="15" customHeight="1" x14ac:dyDescent="0.65"/>
    <row r="2443" ht="15" customHeight="1" x14ac:dyDescent="0.65"/>
    <row r="2444" ht="15" customHeight="1" x14ac:dyDescent="0.65"/>
    <row r="2445" ht="15" customHeight="1" x14ac:dyDescent="0.65"/>
    <row r="2446" ht="15" customHeight="1" x14ac:dyDescent="0.65"/>
    <row r="2447" ht="15" customHeight="1" x14ac:dyDescent="0.65"/>
    <row r="2448" ht="15" customHeight="1" x14ac:dyDescent="0.65"/>
    <row r="2449" ht="15" customHeight="1" x14ac:dyDescent="0.65"/>
    <row r="2450" ht="15" customHeight="1" x14ac:dyDescent="0.65"/>
    <row r="2451" ht="15" customHeight="1" x14ac:dyDescent="0.65"/>
    <row r="2452" ht="15" customHeight="1" x14ac:dyDescent="0.65"/>
    <row r="2453" ht="15" customHeight="1" x14ac:dyDescent="0.65"/>
    <row r="2454" ht="15" customHeight="1" x14ac:dyDescent="0.65"/>
    <row r="2455" ht="15" customHeight="1" x14ac:dyDescent="0.65"/>
    <row r="2456" ht="15" customHeight="1" x14ac:dyDescent="0.65"/>
    <row r="2457" ht="15" customHeight="1" x14ac:dyDescent="0.65"/>
    <row r="2458" ht="15" customHeight="1" x14ac:dyDescent="0.65"/>
    <row r="2459" ht="15" customHeight="1" x14ac:dyDescent="0.65"/>
    <row r="2460" ht="15" customHeight="1" x14ac:dyDescent="0.65"/>
    <row r="2461" ht="15" customHeight="1" x14ac:dyDescent="0.65"/>
    <row r="2462" ht="15" customHeight="1" x14ac:dyDescent="0.65"/>
    <row r="2463" ht="15" customHeight="1" x14ac:dyDescent="0.65"/>
    <row r="2464" ht="15" customHeight="1" x14ac:dyDescent="0.65"/>
    <row r="2465" ht="15" customHeight="1" x14ac:dyDescent="0.65"/>
    <row r="2466" ht="15" customHeight="1" x14ac:dyDescent="0.65"/>
    <row r="2467" ht="15" customHeight="1" x14ac:dyDescent="0.65"/>
    <row r="2468" ht="15" customHeight="1" x14ac:dyDescent="0.65"/>
    <row r="2469" ht="15" customHeight="1" x14ac:dyDescent="0.65"/>
    <row r="2470" ht="15" customHeight="1" x14ac:dyDescent="0.65"/>
    <row r="2471" ht="15" customHeight="1" x14ac:dyDescent="0.65"/>
    <row r="2472" ht="15" customHeight="1" x14ac:dyDescent="0.65"/>
    <row r="2473" ht="15" customHeight="1" x14ac:dyDescent="0.65"/>
    <row r="2474" ht="15" customHeight="1" x14ac:dyDescent="0.65"/>
    <row r="2475" ht="15" customHeight="1" x14ac:dyDescent="0.65"/>
    <row r="2476" ht="15" customHeight="1" x14ac:dyDescent="0.65"/>
    <row r="2477" ht="15" customHeight="1" x14ac:dyDescent="0.65"/>
    <row r="2478" ht="15" customHeight="1" x14ac:dyDescent="0.65"/>
    <row r="2479" ht="15" customHeight="1" x14ac:dyDescent="0.65"/>
    <row r="2480" ht="15" customHeight="1" x14ac:dyDescent="0.65"/>
    <row r="2481" ht="15" customHeight="1" x14ac:dyDescent="0.65"/>
    <row r="2482" ht="15" customHeight="1" x14ac:dyDescent="0.65"/>
    <row r="2483" ht="15" customHeight="1" x14ac:dyDescent="0.65"/>
    <row r="2484" ht="15" customHeight="1" x14ac:dyDescent="0.65"/>
    <row r="2485" ht="15" customHeight="1" x14ac:dyDescent="0.65"/>
    <row r="2486" ht="15" customHeight="1" x14ac:dyDescent="0.65"/>
    <row r="2487" ht="15" customHeight="1" x14ac:dyDescent="0.65"/>
    <row r="2488" ht="15" customHeight="1" x14ac:dyDescent="0.65"/>
    <row r="2489" ht="15" customHeight="1" x14ac:dyDescent="0.65"/>
    <row r="2490" ht="15" customHeight="1" x14ac:dyDescent="0.65"/>
    <row r="2491" ht="15" customHeight="1" x14ac:dyDescent="0.65"/>
    <row r="2492" ht="15" customHeight="1" x14ac:dyDescent="0.65"/>
    <row r="2493" ht="15" customHeight="1" x14ac:dyDescent="0.65"/>
    <row r="2494" ht="15" customHeight="1" x14ac:dyDescent="0.65"/>
    <row r="2495" ht="15" customHeight="1" x14ac:dyDescent="0.65"/>
    <row r="2496" ht="15" customHeight="1" x14ac:dyDescent="0.65"/>
    <row r="2497" spans="2:33" ht="15" customHeight="1" x14ac:dyDescent="0.65"/>
    <row r="2498" spans="2:33" ht="15" customHeight="1" x14ac:dyDescent="0.65"/>
    <row r="2499" spans="2:33" ht="15" customHeight="1" x14ac:dyDescent="0.65"/>
    <row r="2500" spans="2:33" ht="15" customHeight="1" x14ac:dyDescent="0.65"/>
    <row r="2501" spans="2:33" ht="15" customHeight="1" x14ac:dyDescent="0.65"/>
    <row r="2502" spans="2:33" ht="15" customHeight="1" x14ac:dyDescent="0.65"/>
    <row r="2503" spans="2:33" ht="15" customHeight="1" x14ac:dyDescent="0.65"/>
    <row r="2504" spans="2:33" ht="15" customHeight="1" x14ac:dyDescent="0.65"/>
    <row r="2505" spans="2:33" ht="15" customHeight="1" x14ac:dyDescent="0.65"/>
    <row r="2506" spans="2:33" ht="15" customHeight="1" x14ac:dyDescent="0.65"/>
    <row r="2507" spans="2:33" ht="15" customHeight="1" x14ac:dyDescent="0.65"/>
    <row r="2508" spans="2:33" ht="15" customHeight="1" x14ac:dyDescent="0.65"/>
    <row r="2509" spans="2:33" ht="15" customHeight="1" x14ac:dyDescent="0.65">
      <c r="B2509" s="475"/>
      <c r="C2509" s="475"/>
      <c r="D2509" s="475"/>
      <c r="E2509" s="475"/>
      <c r="F2509" s="475"/>
      <c r="G2509" s="475"/>
      <c r="H2509" s="475"/>
      <c r="I2509" s="475"/>
      <c r="J2509" s="475"/>
      <c r="K2509" s="475"/>
      <c r="L2509" s="475"/>
      <c r="M2509" s="475"/>
      <c r="N2509" s="475"/>
      <c r="O2509" s="475"/>
      <c r="P2509" s="475"/>
      <c r="Q2509" s="475"/>
      <c r="R2509" s="475"/>
      <c r="S2509" s="475"/>
      <c r="T2509" s="475"/>
      <c r="U2509" s="475"/>
      <c r="V2509" s="475"/>
      <c r="W2509" s="475"/>
      <c r="X2509" s="475"/>
      <c r="Y2509" s="475"/>
      <c r="Z2509" s="475"/>
      <c r="AA2509" s="475"/>
      <c r="AB2509" s="475"/>
      <c r="AC2509" s="475"/>
      <c r="AD2509" s="475"/>
      <c r="AE2509" s="475"/>
      <c r="AF2509" s="475"/>
      <c r="AG2509" s="475"/>
    </row>
    <row r="2510" spans="2:33" ht="15" customHeight="1" x14ac:dyDescent="0.65"/>
    <row r="2511" spans="2:33" ht="15" customHeight="1" x14ac:dyDescent="0.65"/>
    <row r="2512" spans="2:33" ht="15" customHeight="1" x14ac:dyDescent="0.65"/>
    <row r="2513" ht="15" customHeight="1" x14ac:dyDescent="0.65"/>
    <row r="2514" ht="15" customHeight="1" x14ac:dyDescent="0.65"/>
    <row r="2515" ht="15" customHeight="1" x14ac:dyDescent="0.65"/>
    <row r="2516" ht="15" customHeight="1" x14ac:dyDescent="0.65"/>
    <row r="2517" ht="15" customHeight="1" x14ac:dyDescent="0.65"/>
    <row r="2518" ht="15" customHeight="1" x14ac:dyDescent="0.65"/>
    <row r="2519" ht="15" customHeight="1" x14ac:dyDescent="0.65"/>
    <row r="2520" ht="15" customHeight="1" x14ac:dyDescent="0.65"/>
    <row r="2521" ht="15" customHeight="1" x14ac:dyDescent="0.65"/>
    <row r="2522" ht="15" customHeight="1" x14ac:dyDescent="0.65"/>
    <row r="2523" ht="15" customHeight="1" x14ac:dyDescent="0.65"/>
    <row r="2524" ht="15" customHeight="1" x14ac:dyDescent="0.65"/>
    <row r="2525" ht="15" customHeight="1" x14ac:dyDescent="0.65"/>
    <row r="2526" ht="15" customHeight="1" x14ac:dyDescent="0.65"/>
    <row r="2527" ht="15" customHeight="1" x14ac:dyDescent="0.65"/>
    <row r="2528" ht="15" customHeight="1" x14ac:dyDescent="0.65"/>
    <row r="2529" ht="15" customHeight="1" x14ac:dyDescent="0.65"/>
    <row r="2530" ht="15" customHeight="1" x14ac:dyDescent="0.65"/>
    <row r="2531" ht="15" customHeight="1" x14ac:dyDescent="0.65"/>
    <row r="2532" ht="15" customHeight="1" x14ac:dyDescent="0.65"/>
    <row r="2533" ht="15" customHeight="1" x14ac:dyDescent="0.65"/>
    <row r="2534" ht="15" customHeight="1" x14ac:dyDescent="0.65"/>
    <row r="2535" ht="15" customHeight="1" x14ac:dyDescent="0.65"/>
    <row r="2536" ht="15" customHeight="1" x14ac:dyDescent="0.65"/>
    <row r="2537" ht="15" customHeight="1" x14ac:dyDescent="0.65"/>
    <row r="2538" ht="15" customHeight="1" x14ac:dyDescent="0.65"/>
    <row r="2539" ht="15" customHeight="1" x14ac:dyDescent="0.65"/>
    <row r="2540" ht="15" customHeight="1" x14ac:dyDescent="0.65"/>
    <row r="2541" ht="15" customHeight="1" x14ac:dyDescent="0.65"/>
    <row r="2542" ht="15" customHeight="1" x14ac:dyDescent="0.65"/>
    <row r="2543" ht="15" customHeight="1" x14ac:dyDescent="0.65"/>
    <row r="2544" ht="15" customHeight="1" x14ac:dyDescent="0.65"/>
    <row r="2545" ht="15" customHeight="1" x14ac:dyDescent="0.65"/>
    <row r="2546" ht="15" customHeight="1" x14ac:dyDescent="0.65"/>
    <row r="2547" ht="15" customHeight="1" x14ac:dyDescent="0.65"/>
    <row r="2548" ht="15" customHeight="1" x14ac:dyDescent="0.65"/>
    <row r="2549" ht="15" customHeight="1" x14ac:dyDescent="0.65"/>
    <row r="2550" ht="15" customHeight="1" x14ac:dyDescent="0.65"/>
    <row r="2551" ht="15" customHeight="1" x14ac:dyDescent="0.65"/>
    <row r="2552" ht="15" customHeight="1" x14ac:dyDescent="0.65"/>
    <row r="2553" ht="15" customHeight="1" x14ac:dyDescent="0.65"/>
    <row r="2554" ht="15" customHeight="1" x14ac:dyDescent="0.65"/>
    <row r="2555" ht="15" customHeight="1" x14ac:dyDescent="0.65"/>
    <row r="2556" ht="15" customHeight="1" x14ac:dyDescent="0.65"/>
    <row r="2557" ht="15" customHeight="1" x14ac:dyDescent="0.65"/>
    <row r="2558" ht="15" customHeight="1" x14ac:dyDescent="0.65"/>
    <row r="2559" ht="15" customHeight="1" x14ac:dyDescent="0.65"/>
    <row r="2560" ht="15" customHeight="1" x14ac:dyDescent="0.65"/>
    <row r="2561" ht="15" customHeight="1" x14ac:dyDescent="0.65"/>
    <row r="2562" ht="15" customHeight="1" x14ac:dyDescent="0.65"/>
    <row r="2563" ht="15" customHeight="1" x14ac:dyDescent="0.65"/>
    <row r="2564" ht="15" customHeight="1" x14ac:dyDescent="0.65"/>
    <row r="2565" ht="15" customHeight="1" x14ac:dyDescent="0.65"/>
    <row r="2566" ht="15" customHeight="1" x14ac:dyDescent="0.65"/>
    <row r="2567" ht="15" customHeight="1" x14ac:dyDescent="0.65"/>
    <row r="2568" ht="15" customHeight="1" x14ac:dyDescent="0.65"/>
    <row r="2569" ht="15" customHeight="1" x14ac:dyDescent="0.65"/>
    <row r="2570" ht="15" customHeight="1" x14ac:dyDescent="0.65"/>
    <row r="2571" ht="15" customHeight="1" x14ac:dyDescent="0.65"/>
    <row r="2572" ht="15" customHeight="1" x14ac:dyDescent="0.65"/>
    <row r="2573" ht="15" customHeight="1" x14ac:dyDescent="0.65"/>
    <row r="2574" ht="15" customHeight="1" x14ac:dyDescent="0.65"/>
    <row r="2575" ht="15" customHeight="1" x14ac:dyDescent="0.65"/>
    <row r="2576" ht="15" customHeight="1" x14ac:dyDescent="0.65"/>
    <row r="2577" ht="15" customHeight="1" x14ac:dyDescent="0.65"/>
    <row r="2578" ht="15" customHeight="1" x14ac:dyDescent="0.65"/>
    <row r="2579" ht="15" customHeight="1" x14ac:dyDescent="0.65"/>
    <row r="2580" ht="15" customHeight="1" x14ac:dyDescent="0.65"/>
    <row r="2581" ht="15" customHeight="1" x14ac:dyDescent="0.65"/>
    <row r="2582" ht="15" customHeight="1" x14ac:dyDescent="0.65"/>
    <row r="2583" ht="15" customHeight="1" x14ac:dyDescent="0.65"/>
    <row r="2584" ht="15" customHeight="1" x14ac:dyDescent="0.65"/>
    <row r="2585" ht="15" customHeight="1" x14ac:dyDescent="0.65"/>
    <row r="2586" ht="15" customHeight="1" x14ac:dyDescent="0.65"/>
    <row r="2587" ht="15" customHeight="1" x14ac:dyDescent="0.65"/>
    <row r="2588" ht="15" customHeight="1" x14ac:dyDescent="0.65"/>
    <row r="2589" ht="15" customHeight="1" x14ac:dyDescent="0.65"/>
    <row r="2590" ht="15" customHeight="1" x14ac:dyDescent="0.65"/>
    <row r="2591" ht="15" customHeight="1" x14ac:dyDescent="0.65"/>
    <row r="2592" ht="15" customHeight="1" x14ac:dyDescent="0.65"/>
    <row r="2593" spans="2:33" ht="15" customHeight="1" x14ac:dyDescent="0.65"/>
    <row r="2594" spans="2:33" ht="15" customHeight="1" x14ac:dyDescent="0.65"/>
    <row r="2595" spans="2:33" ht="15" customHeight="1" x14ac:dyDescent="0.65"/>
    <row r="2596" spans="2:33" ht="15" customHeight="1" x14ac:dyDescent="0.65"/>
    <row r="2597" spans="2:33" ht="15" customHeight="1" x14ac:dyDescent="0.65"/>
    <row r="2598" spans="2:33" ht="15" customHeight="1" x14ac:dyDescent="0.65">
      <c r="B2598" s="475"/>
      <c r="C2598" s="475"/>
      <c r="D2598" s="475"/>
      <c r="E2598" s="475"/>
      <c r="F2598" s="475"/>
      <c r="G2598" s="475"/>
      <c r="H2598" s="475"/>
      <c r="I2598" s="475"/>
      <c r="J2598" s="475"/>
      <c r="K2598" s="475"/>
      <c r="L2598" s="475"/>
      <c r="M2598" s="475"/>
      <c r="N2598" s="475"/>
      <c r="O2598" s="475"/>
      <c r="P2598" s="475"/>
      <c r="Q2598" s="475"/>
      <c r="R2598" s="475"/>
      <c r="S2598" s="475"/>
      <c r="T2598" s="475"/>
      <c r="U2598" s="475"/>
      <c r="V2598" s="475"/>
      <c r="W2598" s="475"/>
      <c r="X2598" s="475"/>
      <c r="Y2598" s="475"/>
      <c r="Z2598" s="475"/>
      <c r="AA2598" s="475"/>
      <c r="AB2598" s="475"/>
      <c r="AC2598" s="475"/>
      <c r="AD2598" s="475"/>
      <c r="AE2598" s="475"/>
      <c r="AF2598" s="475"/>
      <c r="AG2598" s="475"/>
    </row>
    <row r="2599" spans="2:33" ht="15" customHeight="1" x14ac:dyDescent="0.65"/>
    <row r="2600" spans="2:33" ht="15" customHeight="1" x14ac:dyDescent="0.65"/>
    <row r="2601" spans="2:33" ht="15" customHeight="1" x14ac:dyDescent="0.65"/>
    <row r="2602" spans="2:33" ht="15" customHeight="1" x14ac:dyDescent="0.65"/>
    <row r="2603" spans="2:33" ht="15" customHeight="1" x14ac:dyDescent="0.65"/>
    <row r="2604" spans="2:33" ht="15" customHeight="1" x14ac:dyDescent="0.65"/>
    <row r="2605" spans="2:33" ht="15" customHeight="1" x14ac:dyDescent="0.65"/>
    <row r="2606" spans="2:33" ht="15" customHeight="1" x14ac:dyDescent="0.65"/>
    <row r="2607" spans="2:33" ht="15" customHeight="1" x14ac:dyDescent="0.65"/>
    <row r="2608" spans="2:33" ht="15" customHeight="1" x14ac:dyDescent="0.65"/>
    <row r="2609" ht="15" customHeight="1" x14ac:dyDescent="0.65"/>
    <row r="2610" ht="15" customHeight="1" x14ac:dyDescent="0.65"/>
    <row r="2611" ht="15" customHeight="1" x14ac:dyDescent="0.65"/>
    <row r="2612" ht="15" customHeight="1" x14ac:dyDescent="0.65"/>
    <row r="2613" ht="15" customHeight="1" x14ac:dyDescent="0.65"/>
    <row r="2614" ht="15" customHeight="1" x14ac:dyDescent="0.65"/>
    <row r="2615" ht="15" customHeight="1" x14ac:dyDescent="0.65"/>
    <row r="2616" ht="15" customHeight="1" x14ac:dyDescent="0.65"/>
    <row r="2617" ht="15" customHeight="1" x14ac:dyDescent="0.65"/>
    <row r="2618" ht="15" customHeight="1" x14ac:dyDescent="0.65"/>
    <row r="2619" ht="15" customHeight="1" x14ac:dyDescent="0.65"/>
    <row r="2620" ht="15" customHeight="1" x14ac:dyDescent="0.65"/>
    <row r="2621" ht="15" customHeight="1" x14ac:dyDescent="0.65"/>
    <row r="2622" ht="15" customHeight="1" x14ac:dyDescent="0.65"/>
    <row r="2623" ht="15" customHeight="1" x14ac:dyDescent="0.65"/>
    <row r="2624" ht="15" customHeight="1" x14ac:dyDescent="0.65"/>
    <row r="2625" ht="15" customHeight="1" x14ac:dyDescent="0.65"/>
    <row r="2626" ht="15" customHeight="1" x14ac:dyDescent="0.65"/>
    <row r="2627" ht="15" customHeight="1" x14ac:dyDescent="0.65"/>
    <row r="2628" ht="15" customHeight="1" x14ac:dyDescent="0.65"/>
    <row r="2629" ht="15" customHeight="1" x14ac:dyDescent="0.65"/>
    <row r="2630" ht="15" customHeight="1" x14ac:dyDescent="0.65"/>
    <row r="2631" ht="15" customHeight="1" x14ac:dyDescent="0.65"/>
    <row r="2632" ht="15" customHeight="1" x14ac:dyDescent="0.65"/>
    <row r="2633" ht="15" customHeight="1" x14ac:dyDescent="0.65"/>
    <row r="2634" ht="15" customHeight="1" x14ac:dyDescent="0.65"/>
    <row r="2635" ht="15" customHeight="1" x14ac:dyDescent="0.65"/>
    <row r="2636" ht="15" customHeight="1" x14ac:dyDescent="0.65"/>
    <row r="2637" ht="15" customHeight="1" x14ac:dyDescent="0.65"/>
    <row r="2638" ht="15" customHeight="1" x14ac:dyDescent="0.65"/>
    <row r="2639" ht="15" customHeight="1" x14ac:dyDescent="0.65"/>
    <row r="2640" ht="15" customHeight="1" x14ac:dyDescent="0.65"/>
    <row r="2641" ht="15" customHeight="1" x14ac:dyDescent="0.65"/>
    <row r="2642" ht="15" customHeight="1" x14ac:dyDescent="0.65"/>
    <row r="2643" ht="15" customHeight="1" x14ac:dyDescent="0.65"/>
    <row r="2644" ht="15" customHeight="1" x14ac:dyDescent="0.65"/>
    <row r="2645" ht="15" customHeight="1" x14ac:dyDescent="0.65"/>
    <row r="2646" ht="15" customHeight="1" x14ac:dyDescent="0.65"/>
    <row r="2647" ht="15" customHeight="1" x14ac:dyDescent="0.65"/>
    <row r="2648" ht="15" customHeight="1" x14ac:dyDescent="0.65"/>
    <row r="2649" ht="15" customHeight="1" x14ac:dyDescent="0.65"/>
    <row r="2650" ht="15" customHeight="1" x14ac:dyDescent="0.65"/>
    <row r="2651" ht="15" customHeight="1" x14ac:dyDescent="0.65"/>
    <row r="2652" ht="15" customHeight="1" x14ac:dyDescent="0.65"/>
    <row r="2653" ht="15" customHeight="1" x14ac:dyDescent="0.65"/>
    <row r="2654" ht="15" customHeight="1" x14ac:dyDescent="0.65"/>
    <row r="2655" ht="15" customHeight="1" x14ac:dyDescent="0.65"/>
    <row r="2656" ht="15" customHeight="1" x14ac:dyDescent="0.65"/>
    <row r="2657" ht="15" customHeight="1" x14ac:dyDescent="0.65"/>
    <row r="2658" ht="15" customHeight="1" x14ac:dyDescent="0.65"/>
    <row r="2659" ht="15" customHeight="1" x14ac:dyDescent="0.65"/>
    <row r="2660" ht="15" customHeight="1" x14ac:dyDescent="0.65"/>
    <row r="2661" ht="15" customHeight="1" x14ac:dyDescent="0.65"/>
    <row r="2662" ht="15" customHeight="1" x14ac:dyDescent="0.65"/>
    <row r="2663" ht="15" customHeight="1" x14ac:dyDescent="0.65"/>
    <row r="2664" ht="15" customHeight="1" x14ac:dyDescent="0.65"/>
    <row r="2665" ht="15" customHeight="1" x14ac:dyDescent="0.65"/>
    <row r="2666" ht="15" customHeight="1" x14ac:dyDescent="0.65"/>
    <row r="2667" ht="15" customHeight="1" x14ac:dyDescent="0.65"/>
    <row r="2668" ht="15" customHeight="1" x14ac:dyDescent="0.65"/>
    <row r="2669" ht="15" customHeight="1" x14ac:dyDescent="0.65"/>
    <row r="2670" ht="15" customHeight="1" x14ac:dyDescent="0.65"/>
    <row r="2671" ht="15" customHeight="1" x14ac:dyDescent="0.65"/>
    <row r="2672" ht="15" customHeight="1" x14ac:dyDescent="0.65"/>
    <row r="2673" ht="15" customHeight="1" x14ac:dyDescent="0.65"/>
    <row r="2674" ht="15" customHeight="1" x14ac:dyDescent="0.65"/>
    <row r="2675" ht="15" customHeight="1" x14ac:dyDescent="0.65"/>
    <row r="2676" ht="15" customHeight="1" x14ac:dyDescent="0.65"/>
    <row r="2677" ht="15" customHeight="1" x14ac:dyDescent="0.65"/>
    <row r="2678" ht="15" customHeight="1" x14ac:dyDescent="0.65"/>
    <row r="2679" ht="15" customHeight="1" x14ac:dyDescent="0.65"/>
    <row r="2680" ht="15" customHeight="1" x14ac:dyDescent="0.65"/>
    <row r="2681" ht="15" customHeight="1" x14ac:dyDescent="0.65"/>
    <row r="2682" ht="15" customHeight="1" x14ac:dyDescent="0.65"/>
    <row r="2683" ht="15" customHeight="1" x14ac:dyDescent="0.65"/>
    <row r="2684" ht="15" customHeight="1" x14ac:dyDescent="0.65"/>
    <row r="2685" ht="15" customHeight="1" x14ac:dyDescent="0.65"/>
    <row r="2686" ht="15" customHeight="1" x14ac:dyDescent="0.65"/>
    <row r="2687" ht="15" customHeight="1" x14ac:dyDescent="0.65"/>
    <row r="2688" ht="15" customHeight="1" x14ac:dyDescent="0.65"/>
    <row r="2689" ht="15" customHeight="1" x14ac:dyDescent="0.65"/>
    <row r="2690" ht="15" customHeight="1" x14ac:dyDescent="0.65"/>
    <row r="2691" ht="15" customHeight="1" x14ac:dyDescent="0.65"/>
    <row r="2692" ht="15" customHeight="1" x14ac:dyDescent="0.65"/>
    <row r="2693" ht="15" customHeight="1" x14ac:dyDescent="0.65"/>
    <row r="2694" ht="15" customHeight="1" x14ac:dyDescent="0.65"/>
    <row r="2695" ht="15" customHeight="1" x14ac:dyDescent="0.65"/>
    <row r="2696" ht="15" customHeight="1" x14ac:dyDescent="0.65"/>
    <row r="2697" ht="15" customHeight="1" x14ac:dyDescent="0.65"/>
    <row r="2698" ht="15" customHeight="1" x14ac:dyDescent="0.65"/>
    <row r="2699" ht="15" customHeight="1" x14ac:dyDescent="0.65"/>
    <row r="2700" ht="15" customHeight="1" x14ac:dyDescent="0.65"/>
    <row r="2701" ht="15" customHeight="1" x14ac:dyDescent="0.65"/>
    <row r="2702" ht="15" customHeight="1" x14ac:dyDescent="0.65"/>
    <row r="2703" ht="15" customHeight="1" x14ac:dyDescent="0.65"/>
    <row r="2704" ht="15" customHeight="1" x14ac:dyDescent="0.65"/>
    <row r="2705" spans="2:33" ht="15" customHeight="1" x14ac:dyDescent="0.65"/>
    <row r="2706" spans="2:33" ht="15" customHeight="1" x14ac:dyDescent="0.65"/>
    <row r="2707" spans="2:33" ht="15" customHeight="1" x14ac:dyDescent="0.65"/>
    <row r="2708" spans="2:33" ht="15" customHeight="1" x14ac:dyDescent="0.65"/>
    <row r="2709" spans="2:33" ht="15" customHeight="1" x14ac:dyDescent="0.65"/>
    <row r="2710" spans="2:33" ht="15" customHeight="1" x14ac:dyDescent="0.65"/>
    <row r="2711" spans="2:33" ht="15" customHeight="1" x14ac:dyDescent="0.65"/>
    <row r="2712" spans="2:33" ht="15" customHeight="1" x14ac:dyDescent="0.65"/>
    <row r="2713" spans="2:33" ht="15" customHeight="1" x14ac:dyDescent="0.65"/>
    <row r="2714" spans="2:33" ht="15" customHeight="1" x14ac:dyDescent="0.65"/>
    <row r="2715" spans="2:33" ht="15" customHeight="1" x14ac:dyDescent="0.65"/>
    <row r="2716" spans="2:33" ht="15" customHeight="1" x14ac:dyDescent="0.65"/>
    <row r="2717" spans="2:33" ht="15" customHeight="1" x14ac:dyDescent="0.65"/>
    <row r="2718" spans="2:33" ht="15" customHeight="1" x14ac:dyDescent="0.65"/>
    <row r="2719" spans="2:33" ht="15" customHeight="1" x14ac:dyDescent="0.65">
      <c r="B2719" s="475"/>
      <c r="C2719" s="475"/>
      <c r="D2719" s="475"/>
      <c r="E2719" s="475"/>
      <c r="F2719" s="475"/>
      <c r="G2719" s="475"/>
      <c r="H2719" s="475"/>
      <c r="I2719" s="475"/>
      <c r="J2719" s="475"/>
      <c r="K2719" s="475"/>
      <c r="L2719" s="475"/>
      <c r="M2719" s="475"/>
      <c r="N2719" s="475"/>
      <c r="O2719" s="475"/>
      <c r="P2719" s="475"/>
      <c r="Q2719" s="475"/>
      <c r="R2719" s="475"/>
      <c r="S2719" s="475"/>
      <c r="T2719" s="475"/>
      <c r="U2719" s="475"/>
      <c r="V2719" s="475"/>
      <c r="W2719" s="475"/>
      <c r="X2719" s="475"/>
      <c r="Y2719" s="475"/>
      <c r="Z2719" s="475"/>
      <c r="AA2719" s="475"/>
      <c r="AB2719" s="475"/>
      <c r="AC2719" s="475"/>
      <c r="AD2719" s="475"/>
      <c r="AE2719" s="475"/>
      <c r="AF2719" s="475"/>
      <c r="AG2719" s="475"/>
    </row>
    <row r="2720" spans="2:33" ht="15" customHeight="1" x14ac:dyDescent="0.65"/>
    <row r="2721" ht="15" customHeight="1" x14ac:dyDescent="0.65"/>
    <row r="2722" ht="15" customHeight="1" x14ac:dyDescent="0.65"/>
    <row r="2723" ht="15" customHeight="1" x14ac:dyDescent="0.65"/>
    <row r="2724" ht="15" customHeight="1" x14ac:dyDescent="0.65"/>
    <row r="2725" ht="15" customHeight="1" x14ac:dyDescent="0.65"/>
    <row r="2726" ht="15" customHeight="1" x14ac:dyDescent="0.65"/>
    <row r="2727" ht="15" customHeight="1" x14ac:dyDescent="0.65"/>
    <row r="2728" ht="15" customHeight="1" x14ac:dyDescent="0.65"/>
    <row r="2729" ht="15" customHeight="1" x14ac:dyDescent="0.65"/>
    <row r="2730" ht="15" customHeight="1" x14ac:dyDescent="0.65"/>
    <row r="2731" ht="15" customHeight="1" x14ac:dyDescent="0.65"/>
    <row r="2732" ht="15" customHeight="1" x14ac:dyDescent="0.65"/>
    <row r="2733" ht="15" customHeight="1" x14ac:dyDescent="0.65"/>
    <row r="2734" ht="15" customHeight="1" x14ac:dyDescent="0.65"/>
    <row r="2735" ht="15" customHeight="1" x14ac:dyDescent="0.65"/>
    <row r="2736" ht="15" customHeight="1" x14ac:dyDescent="0.65"/>
    <row r="2737" ht="15" customHeight="1" x14ac:dyDescent="0.65"/>
    <row r="2738" ht="15" customHeight="1" x14ac:dyDescent="0.65"/>
    <row r="2739" ht="15" customHeight="1" x14ac:dyDescent="0.65"/>
    <row r="2740" ht="15" customHeight="1" x14ac:dyDescent="0.65"/>
    <row r="2741" ht="15" customHeight="1" x14ac:dyDescent="0.65"/>
    <row r="2742" ht="15" customHeight="1" x14ac:dyDescent="0.65"/>
    <row r="2743" ht="15" customHeight="1" x14ac:dyDescent="0.65"/>
    <row r="2744" ht="15" customHeight="1" x14ac:dyDescent="0.65"/>
    <row r="2745" ht="15" customHeight="1" x14ac:dyDescent="0.65"/>
    <row r="2746" ht="15" customHeight="1" x14ac:dyDescent="0.65"/>
    <row r="2747" ht="15" customHeight="1" x14ac:dyDescent="0.65"/>
    <row r="2748" ht="15" customHeight="1" x14ac:dyDescent="0.65"/>
    <row r="2749" ht="15" customHeight="1" x14ac:dyDescent="0.65"/>
    <row r="2750" ht="15" customHeight="1" x14ac:dyDescent="0.65"/>
    <row r="2751" ht="15" customHeight="1" x14ac:dyDescent="0.65"/>
    <row r="2752" ht="15" customHeight="1" x14ac:dyDescent="0.65"/>
    <row r="2753" ht="15" customHeight="1" x14ac:dyDescent="0.65"/>
    <row r="2754" ht="15" customHeight="1" x14ac:dyDescent="0.65"/>
    <row r="2755" ht="15" customHeight="1" x14ac:dyDescent="0.65"/>
    <row r="2756" ht="15" customHeight="1" x14ac:dyDescent="0.65"/>
    <row r="2757" ht="15" customHeight="1" x14ac:dyDescent="0.65"/>
    <row r="2758" ht="15" customHeight="1" x14ac:dyDescent="0.65"/>
    <row r="2759" ht="15" customHeight="1" x14ac:dyDescent="0.65"/>
    <row r="2760" ht="15" customHeight="1" x14ac:dyDescent="0.65"/>
    <row r="2761" ht="15" customHeight="1" x14ac:dyDescent="0.65"/>
    <row r="2762" ht="15" customHeight="1" x14ac:dyDescent="0.65"/>
    <row r="2763" ht="15" customHeight="1" x14ac:dyDescent="0.65"/>
    <row r="2764" ht="15" customHeight="1" x14ac:dyDescent="0.65"/>
    <row r="2765" ht="15" customHeight="1" x14ac:dyDescent="0.65"/>
    <row r="2766" ht="15" customHeight="1" x14ac:dyDescent="0.65"/>
    <row r="2767" ht="15" customHeight="1" x14ac:dyDescent="0.65"/>
    <row r="2768" ht="15" customHeight="1" x14ac:dyDescent="0.65"/>
    <row r="2769" ht="15" customHeight="1" x14ac:dyDescent="0.65"/>
    <row r="2770" ht="15" customHeight="1" x14ac:dyDescent="0.65"/>
    <row r="2771" ht="15" customHeight="1" x14ac:dyDescent="0.65"/>
    <row r="2772" ht="15" customHeight="1" x14ac:dyDescent="0.65"/>
    <row r="2773" ht="15" customHeight="1" x14ac:dyDescent="0.65"/>
    <row r="2774" ht="15" customHeight="1" x14ac:dyDescent="0.65"/>
    <row r="2775" ht="15" customHeight="1" x14ac:dyDescent="0.65"/>
    <row r="2776" ht="15" customHeight="1" x14ac:dyDescent="0.65"/>
    <row r="2777" ht="15" customHeight="1" x14ac:dyDescent="0.65"/>
    <row r="2778" ht="15" customHeight="1" x14ac:dyDescent="0.65"/>
    <row r="2779" ht="15" customHeight="1" x14ac:dyDescent="0.65"/>
    <row r="2780" ht="15" customHeight="1" x14ac:dyDescent="0.65"/>
    <row r="2781" ht="15" customHeight="1" x14ac:dyDescent="0.65"/>
    <row r="2782" ht="15" customHeight="1" x14ac:dyDescent="0.65"/>
    <row r="2783" ht="15" customHeight="1" x14ac:dyDescent="0.65"/>
    <row r="2784" ht="15" customHeight="1" x14ac:dyDescent="0.65"/>
    <row r="2785" ht="15" customHeight="1" x14ac:dyDescent="0.65"/>
    <row r="2786" ht="15" customHeight="1" x14ac:dyDescent="0.65"/>
    <row r="2787" ht="15" customHeight="1" x14ac:dyDescent="0.65"/>
    <row r="2788" ht="15" customHeight="1" x14ac:dyDescent="0.65"/>
    <row r="2789" ht="15" customHeight="1" x14ac:dyDescent="0.65"/>
    <row r="2790" ht="15" customHeight="1" x14ac:dyDescent="0.65"/>
    <row r="2791" ht="15" customHeight="1" x14ac:dyDescent="0.65"/>
    <row r="2792" ht="15" customHeight="1" x14ac:dyDescent="0.65"/>
    <row r="2793" ht="15" customHeight="1" x14ac:dyDescent="0.65"/>
    <row r="2794" ht="15" customHeight="1" x14ac:dyDescent="0.65"/>
    <row r="2795" ht="15" customHeight="1" x14ac:dyDescent="0.65"/>
    <row r="2796" ht="15" customHeight="1" x14ac:dyDescent="0.65"/>
    <row r="2797" ht="15" customHeight="1" x14ac:dyDescent="0.65"/>
    <row r="2798" ht="15" customHeight="1" x14ac:dyDescent="0.65"/>
    <row r="2799" ht="15" customHeight="1" x14ac:dyDescent="0.65"/>
    <row r="2800" ht="15" customHeight="1" x14ac:dyDescent="0.65"/>
    <row r="2801" ht="15" customHeight="1" x14ac:dyDescent="0.65"/>
    <row r="2802" ht="15" customHeight="1" x14ac:dyDescent="0.65"/>
    <row r="2803" ht="15" customHeight="1" x14ac:dyDescent="0.65"/>
    <row r="2804" ht="15" customHeight="1" x14ac:dyDescent="0.65"/>
    <row r="2805" ht="15" customHeight="1" x14ac:dyDescent="0.65"/>
    <row r="2806" ht="15" customHeight="1" x14ac:dyDescent="0.65"/>
    <row r="2807" ht="15" customHeight="1" x14ac:dyDescent="0.65"/>
    <row r="2808" ht="15" customHeight="1" x14ac:dyDescent="0.65"/>
    <row r="2809" ht="15" customHeight="1" x14ac:dyDescent="0.65"/>
    <row r="2810" ht="15" customHeight="1" x14ac:dyDescent="0.65"/>
    <row r="2811" ht="15" customHeight="1" x14ac:dyDescent="0.65"/>
    <row r="2812" ht="15" customHeight="1" x14ac:dyDescent="0.65"/>
    <row r="2813" ht="15" customHeight="1" x14ac:dyDescent="0.65"/>
    <row r="2814" ht="15" customHeight="1" x14ac:dyDescent="0.65"/>
    <row r="2815" ht="15" customHeight="1" x14ac:dyDescent="0.65"/>
    <row r="2816" ht="15" customHeight="1" x14ac:dyDescent="0.65"/>
    <row r="2817" ht="15" customHeight="1" x14ac:dyDescent="0.65"/>
    <row r="2818" ht="15" customHeight="1" x14ac:dyDescent="0.65"/>
    <row r="2819" ht="15" customHeight="1" x14ac:dyDescent="0.65"/>
    <row r="2820" ht="15" customHeight="1" x14ac:dyDescent="0.65"/>
    <row r="2821" ht="15" customHeight="1" x14ac:dyDescent="0.65"/>
    <row r="2822" ht="15" customHeight="1" x14ac:dyDescent="0.65"/>
    <row r="2823" ht="15" customHeight="1" x14ac:dyDescent="0.65"/>
    <row r="2824" ht="15" customHeight="1" x14ac:dyDescent="0.65"/>
    <row r="2825" ht="15" customHeight="1" x14ac:dyDescent="0.65"/>
    <row r="2826" ht="15" customHeight="1" x14ac:dyDescent="0.65"/>
    <row r="2827" ht="15" customHeight="1" x14ac:dyDescent="0.65"/>
    <row r="2828" ht="15" customHeight="1" x14ac:dyDescent="0.65"/>
    <row r="2829" ht="15" customHeight="1" x14ac:dyDescent="0.65"/>
    <row r="2830" ht="15" customHeight="1" x14ac:dyDescent="0.65"/>
    <row r="2831" ht="15" customHeight="1" x14ac:dyDescent="0.65"/>
    <row r="2832" ht="15" customHeight="1" x14ac:dyDescent="0.65"/>
    <row r="2833" spans="2:33" ht="15" customHeight="1" x14ac:dyDescent="0.65"/>
    <row r="2834" spans="2:33" ht="15" customHeight="1" x14ac:dyDescent="0.65"/>
    <row r="2835" spans="2:33" ht="15" customHeight="1" x14ac:dyDescent="0.65"/>
    <row r="2836" spans="2:33" ht="15" customHeight="1" x14ac:dyDescent="0.65"/>
    <row r="2837" spans="2:33" ht="15" customHeight="1" x14ac:dyDescent="0.65">
      <c r="B2837" s="475"/>
      <c r="C2837" s="475"/>
      <c r="D2837" s="475"/>
      <c r="E2837" s="475"/>
      <c r="F2837" s="475"/>
      <c r="G2837" s="475"/>
      <c r="H2837" s="475"/>
      <c r="I2837" s="475"/>
      <c r="J2837" s="475"/>
      <c r="K2837" s="475"/>
      <c r="L2837" s="475"/>
      <c r="M2837" s="475"/>
      <c r="N2837" s="475"/>
      <c r="O2837" s="475"/>
      <c r="P2837" s="475"/>
      <c r="Q2837" s="475"/>
      <c r="R2837" s="475"/>
      <c r="S2837" s="475"/>
      <c r="T2837" s="475"/>
      <c r="U2837" s="475"/>
      <c r="V2837" s="475"/>
      <c r="W2837" s="475"/>
      <c r="X2837" s="475"/>
      <c r="Y2837" s="475"/>
      <c r="Z2837" s="475"/>
      <c r="AA2837" s="475"/>
      <c r="AB2837" s="475"/>
      <c r="AC2837" s="475"/>
      <c r="AD2837" s="475"/>
      <c r="AE2837" s="475"/>
      <c r="AF2837" s="475"/>
      <c r="AG2837" s="475"/>
    </row>
  </sheetData>
  <mergeCells count="20">
    <mergeCell ref="B112:AG112"/>
    <mergeCell ref="B308:AG308"/>
    <mergeCell ref="B511:AG511"/>
    <mergeCell ref="B712:AG712"/>
    <mergeCell ref="B887:AG887"/>
    <mergeCell ref="B1100:AG1100"/>
    <mergeCell ref="B1227:AG1227"/>
    <mergeCell ref="B1390:AG1390"/>
    <mergeCell ref="B1502:AG1502"/>
    <mergeCell ref="B1604:AG1604"/>
    <mergeCell ref="B1698:AG1698"/>
    <mergeCell ref="B1945:AG1945"/>
    <mergeCell ref="B2031:AG2031"/>
    <mergeCell ref="B2153:AG2153"/>
    <mergeCell ref="B2317:AG2317"/>
    <mergeCell ref="B2419:AG2419"/>
    <mergeCell ref="B2509:AG2509"/>
    <mergeCell ref="B2598:AG2598"/>
    <mergeCell ref="B2719:AG2719"/>
    <mergeCell ref="B2837:AG28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265625" defaultRowHeight="15" customHeight="1" x14ac:dyDescent="0.65"/>
  <cols>
    <col min="1" max="1" width="19.81640625" style="37" bestFit="1" customWidth="1"/>
    <col min="2" max="2" width="46.7265625" style="37" customWidth="1"/>
    <col min="3" max="16384" width="8.7265625" style="37"/>
  </cols>
  <sheetData>
    <row r="1" spans="1:33" ht="15" customHeight="1" thickBot="1" x14ac:dyDescent="0.8">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65"/>
    <row r="3" spans="1:33" ht="15" customHeight="1" x14ac:dyDescent="0.7">
      <c r="C3" s="73" t="s">
        <v>494</v>
      </c>
      <c r="D3" s="73" t="s">
        <v>640</v>
      </c>
      <c r="E3" s="55"/>
      <c r="F3" s="55"/>
      <c r="G3" s="55"/>
    </row>
    <row r="4" spans="1:33" ht="15" customHeight="1" x14ac:dyDescent="0.7">
      <c r="C4" s="73" t="s">
        <v>495</v>
      </c>
      <c r="D4" s="73" t="s">
        <v>641</v>
      </c>
      <c r="E4" s="55"/>
      <c r="F4" s="55"/>
      <c r="G4" s="73" t="s">
        <v>620</v>
      </c>
    </row>
    <row r="5" spans="1:33" ht="15" customHeight="1" x14ac:dyDescent="0.7">
      <c r="C5" s="73" t="s">
        <v>496</v>
      </c>
      <c r="D5" s="73" t="s">
        <v>642</v>
      </c>
      <c r="E5" s="55"/>
      <c r="F5" s="55"/>
      <c r="G5" s="55"/>
    </row>
    <row r="6" spans="1:33" ht="15" customHeight="1" x14ac:dyDescent="0.7">
      <c r="C6" s="73" t="s">
        <v>497</v>
      </c>
      <c r="D6" s="55"/>
      <c r="E6" s="73" t="s">
        <v>643</v>
      </c>
      <c r="F6" s="55"/>
      <c r="G6" s="55"/>
    </row>
    <row r="7" spans="1:33" ht="12.25" x14ac:dyDescent="0.65"/>
    <row r="8" spans="1:33" ht="12.25" x14ac:dyDescent="0.65"/>
    <row r="9" spans="1:33" ht="12.25" x14ac:dyDescent="0.65">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8">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65">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65">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8">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6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65">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65">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65">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65">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65">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65">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65">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65">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65">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65">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65">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65">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65">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65">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65">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65">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25" x14ac:dyDescent="0.65">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25" x14ac:dyDescent="0.65">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25" x14ac:dyDescent="0.65">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25" x14ac:dyDescent="0.65">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25" x14ac:dyDescent="0.65">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25" x14ac:dyDescent="0.65">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25" x14ac:dyDescent="0.65">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25" x14ac:dyDescent="0.65">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25" x14ac:dyDescent="0.65">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25" x14ac:dyDescent="0.65">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25" x14ac:dyDescent="0.65">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25" x14ac:dyDescent="0.65">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25" x14ac:dyDescent="0.65">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25" x14ac:dyDescent="0.65">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25" x14ac:dyDescent="0.65">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25" x14ac:dyDescent="0.65">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25" x14ac:dyDescent="0.65">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25" x14ac:dyDescent="0.65">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25" x14ac:dyDescent="0.65">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65">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65">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65">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65">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65">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65">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65">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65">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65">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65">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65">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65">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65">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65">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65">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65">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25" x14ac:dyDescent="0.65">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65">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65">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65">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65">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65">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65">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25" x14ac:dyDescent="0.65">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65">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65">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65">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65">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65">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25" x14ac:dyDescent="0.65">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65">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25" x14ac:dyDescent="0.65">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65">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65">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65">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65">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65">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65">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65">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65">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65">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65">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25" x14ac:dyDescent="0.65">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65">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65">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65">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65">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65">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65">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65">
      <c r="B100" s="477" t="s">
        <v>652</v>
      </c>
      <c r="C100" s="478"/>
      <c r="D100" s="478"/>
      <c r="E100" s="478"/>
      <c r="F100" s="478"/>
      <c r="G100" s="478"/>
      <c r="H100" s="478"/>
      <c r="I100" s="478"/>
      <c r="J100" s="478"/>
      <c r="K100" s="478"/>
      <c r="L100" s="478"/>
      <c r="M100" s="478"/>
      <c r="N100" s="478"/>
      <c r="O100" s="478"/>
      <c r="P100" s="478"/>
      <c r="Q100" s="478"/>
      <c r="R100" s="478"/>
      <c r="S100" s="478"/>
      <c r="T100" s="478"/>
      <c r="U100" s="478"/>
      <c r="V100" s="478"/>
      <c r="W100" s="478"/>
      <c r="X100" s="478"/>
      <c r="Y100" s="478"/>
      <c r="Z100" s="478"/>
      <c r="AA100" s="478"/>
      <c r="AB100" s="478"/>
      <c r="AC100" s="478"/>
      <c r="AD100" s="478"/>
      <c r="AE100" s="478"/>
      <c r="AF100" s="478"/>
      <c r="AG100" s="478"/>
      <c r="AH100" s="58"/>
    </row>
    <row r="101" spans="1:34" ht="12.25" x14ac:dyDescent="0.65">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25" x14ac:dyDescent="0.65">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65">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65">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65">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65">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65">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65">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65">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65">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65">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65">
      <c r="B112" s="476" t="s">
        <v>569</v>
      </c>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c r="AA112" s="476"/>
      <c r="AB112" s="476"/>
      <c r="AC112" s="476"/>
      <c r="AD112" s="476"/>
      <c r="AE112" s="476"/>
      <c r="AF112" s="476"/>
      <c r="AG112" s="38"/>
    </row>
    <row r="113" spans="2:33" ht="15" customHeight="1" x14ac:dyDescent="0.65">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65">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65">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65">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65">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65">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65">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65">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65">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65">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65">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65">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65">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65">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65">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65">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65">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65">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65">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65">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65">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65">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65">
      <c r="B308" s="475"/>
      <c r="C308" s="475"/>
      <c r="D308" s="475"/>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c r="AA308" s="475"/>
      <c r="AB308" s="475"/>
      <c r="AC308" s="475"/>
      <c r="AD308" s="475"/>
      <c r="AE308" s="475"/>
      <c r="AF308" s="475"/>
    </row>
    <row r="511" spans="2:32" ht="15" customHeight="1" x14ac:dyDescent="0.65">
      <c r="B511" s="475"/>
      <c r="C511" s="475"/>
      <c r="D511" s="475"/>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c r="AA511" s="475"/>
      <c r="AB511" s="475"/>
      <c r="AC511" s="475"/>
      <c r="AD511" s="475"/>
      <c r="AE511" s="475"/>
      <c r="AF511" s="475"/>
    </row>
    <row r="712" spans="2:32" ht="15" customHeight="1" x14ac:dyDescent="0.65">
      <c r="B712" s="475"/>
      <c r="C712" s="475"/>
      <c r="D712" s="475"/>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c r="AA712" s="475"/>
      <c r="AB712" s="475"/>
      <c r="AC712" s="475"/>
      <c r="AD712" s="475"/>
      <c r="AE712" s="475"/>
      <c r="AF712" s="475"/>
    </row>
    <row r="887" spans="2:32" ht="15" customHeight="1" x14ac:dyDescent="0.65">
      <c r="B887" s="475"/>
      <c r="C887" s="475"/>
      <c r="D887" s="475"/>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c r="AA887" s="475"/>
      <c r="AB887" s="475"/>
      <c r="AC887" s="475"/>
      <c r="AD887" s="475"/>
      <c r="AE887" s="475"/>
      <c r="AF887" s="475"/>
    </row>
    <row r="1101" spans="2:32" ht="15" customHeight="1" x14ac:dyDescent="0.65">
      <c r="B1101" s="475"/>
      <c r="C1101" s="475"/>
      <c r="D1101" s="475"/>
      <c r="E1101" s="475"/>
      <c r="F1101" s="475"/>
      <c r="G1101" s="475"/>
      <c r="H1101" s="475"/>
      <c r="I1101" s="475"/>
      <c r="J1101" s="475"/>
      <c r="K1101" s="475"/>
      <c r="L1101" s="475"/>
      <c r="M1101" s="475"/>
      <c r="N1101" s="475"/>
      <c r="O1101" s="475"/>
      <c r="P1101" s="475"/>
      <c r="Q1101" s="475"/>
      <c r="R1101" s="475"/>
      <c r="S1101" s="475"/>
      <c r="T1101" s="475"/>
      <c r="U1101" s="475"/>
      <c r="V1101" s="475"/>
      <c r="W1101" s="475"/>
      <c r="X1101" s="475"/>
      <c r="Y1101" s="475"/>
      <c r="Z1101" s="475"/>
      <c r="AA1101" s="475"/>
      <c r="AB1101" s="475"/>
      <c r="AC1101" s="475"/>
      <c r="AD1101" s="475"/>
      <c r="AE1101" s="475"/>
      <c r="AF1101" s="475"/>
    </row>
    <row r="1229" spans="2:32" ht="15" customHeight="1" x14ac:dyDescent="0.65">
      <c r="B1229" s="475"/>
      <c r="C1229" s="475"/>
      <c r="D1229" s="475"/>
      <c r="E1229" s="475"/>
      <c r="F1229" s="475"/>
      <c r="G1229" s="475"/>
      <c r="H1229" s="475"/>
      <c r="I1229" s="475"/>
      <c r="J1229" s="475"/>
      <c r="K1229" s="475"/>
      <c r="L1229" s="475"/>
      <c r="M1229" s="475"/>
      <c r="N1229" s="475"/>
      <c r="O1229" s="475"/>
      <c r="P1229" s="475"/>
      <c r="Q1229" s="475"/>
      <c r="R1229" s="475"/>
      <c r="S1229" s="475"/>
      <c r="T1229" s="475"/>
      <c r="U1229" s="475"/>
      <c r="V1229" s="475"/>
      <c r="W1229" s="475"/>
      <c r="X1229" s="475"/>
      <c r="Y1229" s="475"/>
      <c r="Z1229" s="475"/>
      <c r="AA1229" s="475"/>
      <c r="AB1229" s="475"/>
      <c r="AC1229" s="475"/>
      <c r="AD1229" s="475"/>
      <c r="AE1229" s="475"/>
      <c r="AF1229" s="475"/>
    </row>
    <row r="1390" spans="2:32" ht="15" customHeight="1" x14ac:dyDescent="0.65">
      <c r="B1390" s="475"/>
      <c r="C1390" s="475"/>
      <c r="D1390" s="475"/>
      <c r="E1390" s="475"/>
      <c r="F1390" s="475"/>
      <c r="G1390" s="475"/>
      <c r="H1390" s="475"/>
      <c r="I1390" s="475"/>
      <c r="J1390" s="475"/>
      <c r="K1390" s="475"/>
      <c r="L1390" s="475"/>
      <c r="M1390" s="475"/>
      <c r="N1390" s="475"/>
      <c r="O1390" s="475"/>
      <c r="P1390" s="475"/>
      <c r="Q1390" s="475"/>
      <c r="R1390" s="475"/>
      <c r="S1390" s="475"/>
      <c r="T1390" s="475"/>
      <c r="U1390" s="475"/>
      <c r="V1390" s="475"/>
      <c r="W1390" s="475"/>
      <c r="X1390" s="475"/>
      <c r="Y1390" s="475"/>
      <c r="Z1390" s="475"/>
      <c r="AA1390" s="475"/>
      <c r="AB1390" s="475"/>
      <c r="AC1390" s="475"/>
      <c r="AD1390" s="475"/>
      <c r="AE1390" s="475"/>
      <c r="AF1390" s="475"/>
    </row>
    <row r="1502" spans="2:32" ht="15" customHeight="1" x14ac:dyDescent="0.65">
      <c r="B1502" s="475"/>
      <c r="C1502" s="475"/>
      <c r="D1502" s="475"/>
      <c r="E1502" s="475"/>
      <c r="F1502" s="475"/>
      <c r="G1502" s="475"/>
      <c r="H1502" s="475"/>
      <c r="I1502" s="475"/>
      <c r="J1502" s="475"/>
      <c r="K1502" s="475"/>
      <c r="L1502" s="475"/>
      <c r="M1502" s="475"/>
      <c r="N1502" s="475"/>
      <c r="O1502" s="475"/>
      <c r="P1502" s="475"/>
      <c r="Q1502" s="475"/>
      <c r="R1502" s="475"/>
      <c r="S1502" s="475"/>
      <c r="T1502" s="475"/>
      <c r="U1502" s="475"/>
      <c r="V1502" s="475"/>
      <c r="W1502" s="475"/>
      <c r="X1502" s="475"/>
      <c r="Y1502" s="475"/>
      <c r="Z1502" s="475"/>
      <c r="AA1502" s="475"/>
      <c r="AB1502" s="475"/>
      <c r="AC1502" s="475"/>
      <c r="AD1502" s="475"/>
      <c r="AE1502" s="475"/>
      <c r="AF1502" s="475"/>
    </row>
    <row r="1604" spans="2:32" ht="15" customHeight="1" x14ac:dyDescent="0.65">
      <c r="B1604" s="475"/>
      <c r="C1604" s="475"/>
      <c r="D1604" s="475"/>
      <c r="E1604" s="475"/>
      <c r="F1604" s="475"/>
      <c r="G1604" s="475"/>
      <c r="H1604" s="475"/>
      <c r="I1604" s="475"/>
      <c r="J1604" s="475"/>
      <c r="K1604" s="475"/>
      <c r="L1604" s="475"/>
      <c r="M1604" s="475"/>
      <c r="N1604" s="475"/>
      <c r="O1604" s="475"/>
      <c r="P1604" s="475"/>
      <c r="Q1604" s="475"/>
      <c r="R1604" s="475"/>
      <c r="S1604" s="475"/>
      <c r="T1604" s="475"/>
      <c r="U1604" s="475"/>
      <c r="V1604" s="475"/>
      <c r="W1604" s="475"/>
      <c r="X1604" s="475"/>
      <c r="Y1604" s="475"/>
      <c r="Z1604" s="475"/>
      <c r="AA1604" s="475"/>
      <c r="AB1604" s="475"/>
      <c r="AC1604" s="475"/>
      <c r="AD1604" s="475"/>
      <c r="AE1604" s="475"/>
      <c r="AF1604" s="475"/>
    </row>
    <row r="1699" spans="2:32" ht="15" customHeight="1" x14ac:dyDescent="0.65">
      <c r="B1699" s="475"/>
      <c r="C1699" s="475"/>
      <c r="D1699" s="475"/>
      <c r="E1699" s="475"/>
      <c r="F1699" s="475"/>
      <c r="G1699" s="475"/>
      <c r="H1699" s="475"/>
      <c r="I1699" s="475"/>
      <c r="J1699" s="475"/>
      <c r="K1699" s="475"/>
      <c r="L1699" s="475"/>
      <c r="M1699" s="475"/>
      <c r="N1699" s="475"/>
      <c r="O1699" s="475"/>
      <c r="P1699" s="475"/>
      <c r="Q1699" s="475"/>
      <c r="R1699" s="475"/>
      <c r="S1699" s="475"/>
      <c r="T1699" s="475"/>
      <c r="U1699" s="475"/>
      <c r="V1699" s="475"/>
      <c r="W1699" s="475"/>
      <c r="X1699" s="475"/>
      <c r="Y1699" s="475"/>
      <c r="Z1699" s="475"/>
      <c r="AA1699" s="475"/>
      <c r="AB1699" s="475"/>
      <c r="AC1699" s="475"/>
      <c r="AD1699" s="475"/>
      <c r="AE1699" s="475"/>
      <c r="AF1699" s="475"/>
    </row>
    <row r="1945" spans="2:32" ht="15" customHeight="1" x14ac:dyDescent="0.65">
      <c r="B1945" s="475"/>
      <c r="C1945" s="475"/>
      <c r="D1945" s="475"/>
      <c r="E1945" s="475"/>
      <c r="F1945" s="475"/>
      <c r="G1945" s="475"/>
      <c r="H1945" s="475"/>
      <c r="I1945" s="475"/>
      <c r="J1945" s="475"/>
      <c r="K1945" s="475"/>
      <c r="L1945" s="475"/>
      <c r="M1945" s="475"/>
      <c r="N1945" s="475"/>
      <c r="O1945" s="475"/>
      <c r="P1945" s="475"/>
      <c r="Q1945" s="475"/>
      <c r="R1945" s="475"/>
      <c r="S1945" s="475"/>
      <c r="T1945" s="475"/>
      <c r="U1945" s="475"/>
      <c r="V1945" s="475"/>
      <c r="W1945" s="475"/>
      <c r="X1945" s="475"/>
      <c r="Y1945" s="475"/>
      <c r="Z1945" s="475"/>
      <c r="AA1945" s="475"/>
      <c r="AB1945" s="475"/>
      <c r="AC1945" s="475"/>
      <c r="AD1945" s="475"/>
      <c r="AE1945" s="475"/>
      <c r="AF1945" s="475"/>
    </row>
    <row r="2031" spans="2:32" ht="15" customHeight="1" x14ac:dyDescent="0.65">
      <c r="B2031" s="475"/>
      <c r="C2031" s="475"/>
      <c r="D2031" s="475"/>
      <c r="E2031" s="475"/>
      <c r="F2031" s="475"/>
      <c r="G2031" s="475"/>
      <c r="H2031" s="475"/>
      <c r="I2031" s="475"/>
      <c r="J2031" s="475"/>
      <c r="K2031" s="475"/>
      <c r="L2031" s="475"/>
      <c r="M2031" s="475"/>
      <c r="N2031" s="475"/>
      <c r="O2031" s="475"/>
      <c r="P2031" s="475"/>
      <c r="Q2031" s="475"/>
      <c r="R2031" s="475"/>
      <c r="S2031" s="475"/>
      <c r="T2031" s="475"/>
      <c r="U2031" s="475"/>
      <c r="V2031" s="475"/>
      <c r="W2031" s="475"/>
      <c r="X2031" s="475"/>
      <c r="Y2031" s="475"/>
      <c r="Z2031" s="475"/>
      <c r="AA2031" s="475"/>
      <c r="AB2031" s="475"/>
      <c r="AC2031" s="475"/>
      <c r="AD2031" s="475"/>
      <c r="AE2031" s="475"/>
      <c r="AF2031" s="475"/>
    </row>
    <row r="2153" spans="2:32" ht="15" customHeight="1" x14ac:dyDescent="0.65">
      <c r="B2153" s="475"/>
      <c r="C2153" s="475"/>
      <c r="D2153" s="475"/>
      <c r="E2153" s="475"/>
      <c r="F2153" s="475"/>
      <c r="G2153" s="475"/>
      <c r="H2153" s="475"/>
      <c r="I2153" s="475"/>
      <c r="J2153" s="475"/>
      <c r="K2153" s="475"/>
      <c r="L2153" s="475"/>
      <c r="M2153" s="475"/>
      <c r="N2153" s="475"/>
      <c r="O2153" s="475"/>
      <c r="P2153" s="475"/>
      <c r="Q2153" s="475"/>
      <c r="R2153" s="475"/>
      <c r="S2153" s="475"/>
      <c r="T2153" s="475"/>
      <c r="U2153" s="475"/>
      <c r="V2153" s="475"/>
      <c r="W2153" s="475"/>
      <c r="X2153" s="475"/>
      <c r="Y2153" s="475"/>
      <c r="Z2153" s="475"/>
      <c r="AA2153" s="475"/>
      <c r="AB2153" s="475"/>
      <c r="AC2153" s="475"/>
      <c r="AD2153" s="475"/>
      <c r="AE2153" s="475"/>
      <c r="AF2153" s="475"/>
    </row>
    <row r="2317" spans="2:32" ht="15" customHeight="1" x14ac:dyDescent="0.65">
      <c r="B2317" s="475"/>
      <c r="C2317" s="475"/>
      <c r="D2317" s="475"/>
      <c r="E2317" s="475"/>
      <c r="F2317" s="475"/>
      <c r="G2317" s="475"/>
      <c r="H2317" s="475"/>
      <c r="I2317" s="475"/>
      <c r="J2317" s="475"/>
      <c r="K2317" s="475"/>
      <c r="L2317" s="475"/>
      <c r="M2317" s="475"/>
      <c r="N2317" s="475"/>
      <c r="O2317" s="475"/>
      <c r="P2317" s="475"/>
      <c r="Q2317" s="475"/>
      <c r="R2317" s="475"/>
      <c r="S2317" s="475"/>
      <c r="T2317" s="475"/>
      <c r="U2317" s="475"/>
      <c r="V2317" s="475"/>
      <c r="W2317" s="475"/>
      <c r="X2317" s="475"/>
      <c r="Y2317" s="475"/>
      <c r="Z2317" s="475"/>
      <c r="AA2317" s="475"/>
      <c r="AB2317" s="475"/>
      <c r="AC2317" s="475"/>
      <c r="AD2317" s="475"/>
      <c r="AE2317" s="475"/>
      <c r="AF2317" s="475"/>
    </row>
    <row r="2419" spans="2:32" ht="15" customHeight="1" x14ac:dyDescent="0.65">
      <c r="B2419" s="475"/>
      <c r="C2419" s="475"/>
      <c r="D2419" s="475"/>
      <c r="E2419" s="475"/>
      <c r="F2419" s="475"/>
      <c r="G2419" s="475"/>
      <c r="H2419" s="475"/>
      <c r="I2419" s="475"/>
      <c r="J2419" s="475"/>
      <c r="K2419" s="475"/>
      <c r="L2419" s="475"/>
      <c r="M2419" s="475"/>
      <c r="N2419" s="475"/>
      <c r="O2419" s="475"/>
      <c r="P2419" s="475"/>
      <c r="Q2419" s="475"/>
      <c r="R2419" s="475"/>
      <c r="S2419" s="475"/>
      <c r="T2419" s="475"/>
      <c r="U2419" s="475"/>
      <c r="V2419" s="475"/>
      <c r="W2419" s="475"/>
      <c r="X2419" s="475"/>
      <c r="Y2419" s="475"/>
      <c r="Z2419" s="475"/>
      <c r="AA2419" s="475"/>
      <c r="AB2419" s="475"/>
      <c r="AC2419" s="475"/>
      <c r="AD2419" s="475"/>
      <c r="AE2419" s="475"/>
      <c r="AF2419" s="475"/>
    </row>
    <row r="2509" spans="2:32" ht="15" customHeight="1" x14ac:dyDescent="0.65">
      <c r="B2509" s="475"/>
      <c r="C2509" s="475"/>
      <c r="D2509" s="475"/>
      <c r="E2509" s="475"/>
      <c r="F2509" s="475"/>
      <c r="G2509" s="475"/>
      <c r="H2509" s="475"/>
      <c r="I2509" s="475"/>
      <c r="J2509" s="475"/>
      <c r="K2509" s="475"/>
      <c r="L2509" s="475"/>
      <c r="M2509" s="475"/>
      <c r="N2509" s="475"/>
      <c r="O2509" s="475"/>
      <c r="P2509" s="475"/>
      <c r="Q2509" s="475"/>
      <c r="R2509" s="475"/>
      <c r="S2509" s="475"/>
      <c r="T2509" s="475"/>
      <c r="U2509" s="475"/>
      <c r="V2509" s="475"/>
      <c r="W2509" s="475"/>
      <c r="X2509" s="475"/>
      <c r="Y2509" s="475"/>
      <c r="Z2509" s="475"/>
      <c r="AA2509" s="475"/>
      <c r="AB2509" s="475"/>
      <c r="AC2509" s="475"/>
      <c r="AD2509" s="475"/>
      <c r="AE2509" s="475"/>
      <c r="AF2509" s="475"/>
    </row>
    <row r="2598" spans="2:32" ht="15" customHeight="1" x14ac:dyDescent="0.65">
      <c r="B2598" s="475"/>
      <c r="C2598" s="475"/>
      <c r="D2598" s="475"/>
      <c r="E2598" s="475"/>
      <c r="F2598" s="475"/>
      <c r="G2598" s="475"/>
      <c r="H2598" s="475"/>
      <c r="I2598" s="475"/>
      <c r="J2598" s="475"/>
      <c r="K2598" s="475"/>
      <c r="L2598" s="475"/>
      <c r="M2598" s="475"/>
      <c r="N2598" s="475"/>
      <c r="O2598" s="475"/>
      <c r="P2598" s="475"/>
      <c r="Q2598" s="475"/>
      <c r="R2598" s="475"/>
      <c r="S2598" s="475"/>
      <c r="T2598" s="475"/>
      <c r="U2598" s="475"/>
      <c r="V2598" s="475"/>
      <c r="W2598" s="475"/>
      <c r="X2598" s="475"/>
      <c r="Y2598" s="475"/>
      <c r="Z2598" s="475"/>
      <c r="AA2598" s="475"/>
      <c r="AB2598" s="475"/>
      <c r="AC2598" s="475"/>
      <c r="AD2598" s="475"/>
      <c r="AE2598" s="475"/>
      <c r="AF2598" s="475"/>
    </row>
    <row r="2719" spans="2:32" ht="15" customHeight="1" x14ac:dyDescent="0.65">
      <c r="B2719" s="475"/>
      <c r="C2719" s="475"/>
      <c r="D2719" s="475"/>
      <c r="E2719" s="475"/>
      <c r="F2719" s="475"/>
      <c r="G2719" s="475"/>
      <c r="H2719" s="475"/>
      <c r="I2719" s="475"/>
      <c r="J2719" s="475"/>
      <c r="K2719" s="475"/>
      <c r="L2719" s="475"/>
      <c r="M2719" s="475"/>
      <c r="N2719" s="475"/>
      <c r="O2719" s="475"/>
      <c r="P2719" s="475"/>
      <c r="Q2719" s="475"/>
      <c r="R2719" s="475"/>
      <c r="S2719" s="475"/>
      <c r="T2719" s="475"/>
      <c r="U2719" s="475"/>
      <c r="V2719" s="475"/>
      <c r="W2719" s="475"/>
      <c r="X2719" s="475"/>
      <c r="Y2719" s="475"/>
      <c r="Z2719" s="475"/>
      <c r="AA2719" s="475"/>
      <c r="AB2719" s="475"/>
      <c r="AC2719" s="475"/>
      <c r="AD2719" s="475"/>
      <c r="AE2719" s="475"/>
      <c r="AF2719" s="475"/>
    </row>
    <row r="2837" spans="2:32" ht="15" customHeight="1" x14ac:dyDescent="0.65">
      <c r="B2837" s="475"/>
      <c r="C2837" s="475"/>
      <c r="D2837" s="475"/>
      <c r="E2837" s="475"/>
      <c r="F2837" s="475"/>
      <c r="G2837" s="475"/>
      <c r="H2837" s="475"/>
      <c r="I2837" s="475"/>
      <c r="J2837" s="475"/>
      <c r="K2837" s="475"/>
      <c r="L2837" s="475"/>
      <c r="M2837" s="475"/>
      <c r="N2837" s="475"/>
      <c r="O2837" s="475"/>
      <c r="P2837" s="475"/>
      <c r="Q2837" s="475"/>
      <c r="R2837" s="475"/>
      <c r="S2837" s="475"/>
      <c r="T2837" s="475"/>
      <c r="U2837" s="475"/>
      <c r="V2837" s="475"/>
      <c r="W2837" s="475"/>
      <c r="X2837" s="475"/>
      <c r="Y2837" s="475"/>
      <c r="Z2837" s="475"/>
      <c r="AA2837" s="475"/>
      <c r="AB2837" s="475"/>
      <c r="AC2837" s="475"/>
      <c r="AD2837" s="475"/>
      <c r="AE2837" s="475"/>
      <c r="AF2837" s="475"/>
    </row>
  </sheetData>
  <mergeCells count="21">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 ref="B1604:AF1604"/>
    <mergeCell ref="B1699:AF1699"/>
    <mergeCell ref="B1229:AF1229"/>
    <mergeCell ref="B1390:AF1390"/>
    <mergeCell ref="B1502:AF1502"/>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265625" defaultRowHeight="12.25" x14ac:dyDescent="0.65"/>
  <cols>
    <col min="1" max="1" width="19.81640625" style="37" bestFit="1" customWidth="1"/>
    <col min="2" max="2" width="46.7265625" style="37" customWidth="1"/>
    <col min="3" max="16384" width="8.7265625" style="37"/>
  </cols>
  <sheetData>
    <row r="1" spans="1:33" ht="15" customHeight="1" thickBot="1" x14ac:dyDescent="0.8">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65"/>
    <row r="3" spans="1:33" ht="15" customHeight="1" x14ac:dyDescent="0.65">
      <c r="C3" s="55" t="s">
        <v>494</v>
      </c>
      <c r="D3" s="55" t="s">
        <v>622</v>
      </c>
      <c r="E3" s="55"/>
      <c r="F3" s="55"/>
      <c r="G3" s="55"/>
    </row>
    <row r="4" spans="1:33" ht="15" customHeight="1" x14ac:dyDescent="0.65">
      <c r="C4" s="55" t="s">
        <v>495</v>
      </c>
      <c r="D4" s="55" t="s">
        <v>621</v>
      </c>
      <c r="E4" s="55"/>
      <c r="F4" s="55"/>
      <c r="G4" s="55" t="s">
        <v>620</v>
      </c>
    </row>
    <row r="5" spans="1:33" ht="15" customHeight="1" x14ac:dyDescent="0.65">
      <c r="C5" s="55" t="s">
        <v>496</v>
      </c>
      <c r="D5" s="55" t="s">
        <v>619</v>
      </c>
      <c r="E5" s="55"/>
      <c r="F5" s="55"/>
      <c r="G5" s="55"/>
    </row>
    <row r="6" spans="1:33" ht="15" customHeight="1" x14ac:dyDescent="0.65">
      <c r="C6" s="55" t="s">
        <v>497</v>
      </c>
      <c r="D6" s="55"/>
      <c r="E6" s="55" t="s">
        <v>618</v>
      </c>
      <c r="F6" s="55"/>
      <c r="G6" s="55"/>
    </row>
    <row r="10" spans="1:33" ht="15" customHeight="1" x14ac:dyDescent="0.8">
      <c r="A10" s="43" t="s">
        <v>434</v>
      </c>
      <c r="B10" s="54" t="s">
        <v>78</v>
      </c>
      <c r="AG10" s="51" t="s">
        <v>617</v>
      </c>
    </row>
    <row r="11" spans="1:33" ht="15" customHeight="1" x14ac:dyDescent="0.65">
      <c r="B11" s="53" t="s">
        <v>79</v>
      </c>
      <c r="AG11" s="51" t="s">
        <v>616</v>
      </c>
    </row>
    <row r="12" spans="1:33" ht="15" customHeight="1" x14ac:dyDescent="0.65">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8">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65"/>
    <row r="15" spans="1:33" ht="15" customHeight="1" x14ac:dyDescent="0.7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7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7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7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7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7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7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7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65">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7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7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7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7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7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7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7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4.75" x14ac:dyDescent="0.7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4.75" x14ac:dyDescent="0.7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4.75" x14ac:dyDescent="0.7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4.75" x14ac:dyDescent="0.7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4.75" x14ac:dyDescent="0.7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4.75" x14ac:dyDescent="0.7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4.75" x14ac:dyDescent="0.7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4.75" x14ac:dyDescent="0.7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4.75" x14ac:dyDescent="0.7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4.75" x14ac:dyDescent="0.7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4.75" x14ac:dyDescent="0.7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4.75" x14ac:dyDescent="0.7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4.75" x14ac:dyDescent="0.7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4.75" x14ac:dyDescent="0.7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4.75" x14ac:dyDescent="0.7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4.75" x14ac:dyDescent="0.7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4.75" x14ac:dyDescent="0.7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4.75" x14ac:dyDescent="0.7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4.75" x14ac:dyDescent="0.7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65">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7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7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7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7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7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7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7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7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7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7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7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7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7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7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7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4.75" x14ac:dyDescent="0.7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7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7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65">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7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7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75">
      <c r="B72"/>
      <c r="C72"/>
      <c r="D72"/>
      <c r="E72"/>
      <c r="F72"/>
      <c r="G72"/>
      <c r="H72"/>
      <c r="I72"/>
      <c r="J72"/>
      <c r="K72"/>
      <c r="L72"/>
      <c r="M72"/>
      <c r="N72"/>
      <c r="O72"/>
      <c r="P72"/>
      <c r="Q72"/>
      <c r="R72"/>
      <c r="S72"/>
      <c r="T72"/>
      <c r="U72"/>
      <c r="V72"/>
      <c r="W72"/>
      <c r="X72"/>
      <c r="Y72"/>
      <c r="Z72"/>
      <c r="AA72"/>
      <c r="AB72"/>
      <c r="AC72"/>
      <c r="AD72"/>
      <c r="AE72"/>
      <c r="AF72"/>
      <c r="AG72"/>
    </row>
    <row r="73" spans="1:33" ht="14.75" x14ac:dyDescent="0.7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7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7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7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7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7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4.75" x14ac:dyDescent="0.7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7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8"/>
    <row r="83" spans="2:2" ht="15" customHeight="1" x14ac:dyDescent="0.65">
      <c r="B83" s="39" t="s">
        <v>587</v>
      </c>
    </row>
    <row r="84" spans="2:2" ht="15" customHeight="1" x14ac:dyDescent="0.65">
      <c r="B84" s="38" t="s">
        <v>570</v>
      </c>
    </row>
    <row r="85" spans="2:2" ht="15" customHeight="1" x14ac:dyDescent="0.65">
      <c r="B85" s="38" t="s">
        <v>571</v>
      </c>
    </row>
    <row r="86" spans="2:2" ht="15" customHeight="1" x14ac:dyDescent="0.65">
      <c r="B86" s="38" t="s">
        <v>572</v>
      </c>
    </row>
    <row r="87" spans="2:2" ht="15" customHeight="1" x14ac:dyDescent="0.65">
      <c r="B87" s="38" t="s">
        <v>107</v>
      </c>
    </row>
    <row r="88" spans="2:2" ht="15" customHeight="1" x14ac:dyDescent="0.65">
      <c r="B88" s="38" t="s">
        <v>573</v>
      </c>
    </row>
    <row r="89" spans="2:2" ht="15" customHeight="1" x14ac:dyDescent="0.65">
      <c r="B89" s="38" t="s">
        <v>108</v>
      </c>
    </row>
    <row r="90" spans="2:2" ht="15" customHeight="1" x14ac:dyDescent="0.65">
      <c r="B90" s="38" t="s">
        <v>574</v>
      </c>
    </row>
    <row r="91" spans="2:2" ht="15" customHeight="1" x14ac:dyDescent="0.65">
      <c r="B91" s="38" t="s">
        <v>575</v>
      </c>
    </row>
    <row r="92" spans="2:2" x14ac:dyDescent="0.65">
      <c r="B92" s="38" t="s">
        <v>219</v>
      </c>
    </row>
    <row r="93" spans="2:2" ht="15" customHeight="1" x14ac:dyDescent="0.65">
      <c r="B93" s="38" t="s">
        <v>576</v>
      </c>
    </row>
    <row r="94" spans="2:2" ht="15" customHeight="1" x14ac:dyDescent="0.65">
      <c r="B94" s="38" t="s">
        <v>577</v>
      </c>
    </row>
    <row r="95" spans="2:2" ht="15" customHeight="1" x14ac:dyDescent="0.65">
      <c r="B95" s="38" t="s">
        <v>628</v>
      </c>
    </row>
    <row r="96" spans="2:2" ht="15" customHeight="1" x14ac:dyDescent="0.65">
      <c r="B96" s="38" t="s">
        <v>493</v>
      </c>
    </row>
    <row r="97" spans="2:33" ht="15" customHeight="1" x14ac:dyDescent="0.65">
      <c r="B97" s="38" t="s">
        <v>578</v>
      </c>
    </row>
    <row r="98" spans="2:33" ht="15" customHeight="1" x14ac:dyDescent="0.65">
      <c r="B98" s="38" t="s">
        <v>579</v>
      </c>
    </row>
    <row r="99" spans="2:33" ht="15" customHeight="1" x14ac:dyDescent="0.65">
      <c r="B99" s="38" t="s">
        <v>580</v>
      </c>
    </row>
    <row r="100" spans="2:33" ht="15" customHeight="1" x14ac:dyDescent="0.65">
      <c r="B100" s="38" t="s">
        <v>499</v>
      </c>
    </row>
    <row r="101" spans="2:33" x14ac:dyDescent="0.65">
      <c r="B101" s="38" t="s">
        <v>581</v>
      </c>
    </row>
    <row r="102" spans="2:33" x14ac:dyDescent="0.65">
      <c r="B102" s="38" t="s">
        <v>582</v>
      </c>
    </row>
    <row r="103" spans="2:33" ht="15" customHeight="1" x14ac:dyDescent="0.65">
      <c r="B103" s="38" t="s">
        <v>583</v>
      </c>
    </row>
    <row r="104" spans="2:33" ht="15" customHeight="1" x14ac:dyDescent="0.65">
      <c r="B104" s="38" t="s">
        <v>584</v>
      </c>
    </row>
    <row r="105" spans="2:33" ht="15" customHeight="1" x14ac:dyDescent="0.65">
      <c r="B105" s="38" t="s">
        <v>585</v>
      </c>
    </row>
    <row r="106" spans="2:33" ht="15" customHeight="1" x14ac:dyDescent="0.65">
      <c r="B106" s="38" t="s">
        <v>586</v>
      </c>
    </row>
    <row r="107" spans="2:33" ht="15" customHeight="1" x14ac:dyDescent="0.65">
      <c r="B107" s="38" t="s">
        <v>109</v>
      </c>
    </row>
    <row r="108" spans="2:33" ht="15" customHeight="1" x14ac:dyDescent="0.65">
      <c r="B108" s="38" t="s">
        <v>554</v>
      </c>
    </row>
    <row r="109" spans="2:33" ht="15" customHeight="1" x14ac:dyDescent="0.65">
      <c r="B109" s="38" t="s">
        <v>555</v>
      </c>
    </row>
    <row r="110" spans="2:33" ht="15" customHeight="1" x14ac:dyDescent="0.65">
      <c r="B110" s="38" t="s">
        <v>627</v>
      </c>
    </row>
    <row r="111" spans="2:33" ht="15" customHeight="1" x14ac:dyDescent="0.65">
      <c r="B111" s="38" t="s">
        <v>606</v>
      </c>
    </row>
    <row r="112" spans="2:33" ht="15" customHeight="1" x14ac:dyDescent="0.6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row>
    <row r="113" ht="15" customHeight="1" x14ac:dyDescent="0.65"/>
    <row r="114" ht="15" customHeight="1" x14ac:dyDescent="0.65"/>
    <row r="115" ht="15" customHeight="1" x14ac:dyDescent="0.65"/>
    <row r="116" ht="15" customHeight="1" x14ac:dyDescent="0.65"/>
    <row r="117" ht="15" customHeight="1" x14ac:dyDescent="0.65"/>
    <row r="118" ht="15" customHeight="1" x14ac:dyDescent="0.65"/>
    <row r="119" ht="15" customHeight="1" x14ac:dyDescent="0.65"/>
    <row r="120" ht="15" customHeight="1" x14ac:dyDescent="0.65"/>
    <row r="121" ht="15" customHeight="1" x14ac:dyDescent="0.65"/>
    <row r="122" ht="15" customHeight="1" x14ac:dyDescent="0.65"/>
    <row r="123" ht="15" customHeight="1" x14ac:dyDescent="0.65"/>
    <row r="124" ht="15" customHeight="1" x14ac:dyDescent="0.65"/>
    <row r="125" ht="15" customHeight="1" x14ac:dyDescent="0.65"/>
    <row r="126" ht="15" customHeight="1" x14ac:dyDescent="0.65"/>
    <row r="127" ht="15" customHeight="1" x14ac:dyDescent="0.65"/>
    <row r="128" ht="15" customHeight="1" x14ac:dyDescent="0.65"/>
    <row r="129" ht="15" customHeight="1" x14ac:dyDescent="0.65"/>
    <row r="130" ht="15" customHeight="1" x14ac:dyDescent="0.65"/>
    <row r="131" ht="15" customHeight="1" x14ac:dyDescent="0.65"/>
    <row r="132" ht="15" customHeight="1" x14ac:dyDescent="0.65"/>
    <row r="133" ht="15" customHeight="1" x14ac:dyDescent="0.65"/>
    <row r="134" ht="15" customHeight="1" x14ac:dyDescent="0.65"/>
    <row r="135" ht="15" customHeight="1" x14ac:dyDescent="0.65"/>
    <row r="136" ht="15" customHeight="1" x14ac:dyDescent="0.65"/>
    <row r="137" ht="15" customHeight="1" x14ac:dyDescent="0.65"/>
    <row r="138" ht="15" customHeight="1" x14ac:dyDescent="0.65"/>
    <row r="139" ht="15" customHeight="1" x14ac:dyDescent="0.65"/>
    <row r="140" ht="15" customHeight="1" x14ac:dyDescent="0.65"/>
    <row r="150" ht="15" customHeight="1" x14ac:dyDescent="0.65"/>
    <row r="151" ht="15" customHeight="1" x14ac:dyDescent="0.65"/>
    <row r="152" ht="15" customHeight="1" x14ac:dyDescent="0.65"/>
    <row r="153" ht="15" customHeight="1" x14ac:dyDescent="0.65"/>
    <row r="154" ht="15" customHeight="1" x14ac:dyDescent="0.65"/>
    <row r="155" ht="15" customHeight="1" x14ac:dyDescent="0.65"/>
    <row r="156" ht="15" customHeight="1" x14ac:dyDescent="0.65"/>
    <row r="157" ht="15" customHeight="1" x14ac:dyDescent="0.65"/>
    <row r="158" ht="15" customHeight="1" x14ac:dyDescent="0.65"/>
    <row r="159" ht="15" customHeight="1" x14ac:dyDescent="0.65"/>
    <row r="160" ht="15" customHeight="1" x14ac:dyDescent="0.65"/>
    <row r="161" ht="15" customHeight="1" x14ac:dyDescent="0.65"/>
    <row r="162" ht="15" customHeight="1" x14ac:dyDescent="0.65"/>
    <row r="163" ht="15" customHeight="1" x14ac:dyDescent="0.65"/>
    <row r="164" ht="15" customHeight="1" x14ac:dyDescent="0.65"/>
    <row r="166" ht="15" customHeight="1" x14ac:dyDescent="0.65"/>
    <row r="167" ht="15" customHeight="1" x14ac:dyDescent="0.65"/>
    <row r="168" ht="15" customHeight="1" x14ac:dyDescent="0.65"/>
    <row r="169" ht="15" customHeight="1" x14ac:dyDescent="0.65"/>
    <row r="170" ht="15" customHeight="1" x14ac:dyDescent="0.65"/>
    <row r="171" ht="15" customHeight="1" x14ac:dyDescent="0.65"/>
    <row r="172" ht="15" customHeight="1" x14ac:dyDescent="0.65"/>
    <row r="173" ht="15" customHeight="1" x14ac:dyDescent="0.65"/>
    <row r="174" ht="15" customHeight="1" x14ac:dyDescent="0.65"/>
    <row r="175" ht="15" customHeight="1" x14ac:dyDescent="0.65"/>
    <row r="176" ht="15" customHeight="1" x14ac:dyDescent="0.65"/>
    <row r="177" ht="15" customHeight="1" x14ac:dyDescent="0.65"/>
    <row r="178" ht="15" customHeight="1" x14ac:dyDescent="0.65"/>
    <row r="179" ht="15" customHeight="1" x14ac:dyDescent="0.65"/>
    <row r="181" ht="15" customHeight="1" x14ac:dyDescent="0.65"/>
    <row r="182" ht="15" customHeight="1" x14ac:dyDescent="0.65"/>
    <row r="183" ht="15" customHeight="1" x14ac:dyDescent="0.65"/>
    <row r="184" ht="15" customHeight="1" x14ac:dyDescent="0.65"/>
    <row r="185" ht="15" customHeight="1" x14ac:dyDescent="0.65"/>
    <row r="186" ht="15" customHeight="1" x14ac:dyDescent="0.65"/>
    <row r="187" ht="15" customHeight="1" x14ac:dyDescent="0.65"/>
    <row r="188" ht="15" customHeight="1" x14ac:dyDescent="0.65"/>
    <row r="189" ht="15" customHeight="1" x14ac:dyDescent="0.65"/>
    <row r="190" ht="15" customHeight="1" x14ac:dyDescent="0.65"/>
    <row r="191" ht="15" customHeight="1" x14ac:dyDescent="0.65"/>
    <row r="192" ht="15" customHeight="1" x14ac:dyDescent="0.65"/>
    <row r="193" ht="15" customHeight="1" x14ac:dyDescent="0.65"/>
    <row r="194" ht="15" customHeight="1" x14ac:dyDescent="0.65"/>
    <row r="195" ht="15" customHeight="1" x14ac:dyDescent="0.65"/>
    <row r="196" ht="15" customHeight="1" x14ac:dyDescent="0.65"/>
    <row r="197" ht="15" customHeight="1" x14ac:dyDescent="0.65"/>
    <row r="198" ht="15" customHeight="1" x14ac:dyDescent="0.65"/>
    <row r="199" ht="15" customHeight="1" x14ac:dyDescent="0.65"/>
    <row r="200" ht="15" customHeight="1" x14ac:dyDescent="0.65"/>
    <row r="201" ht="15" customHeight="1" x14ac:dyDescent="0.65"/>
    <row r="202" ht="15" customHeight="1" x14ac:dyDescent="0.65"/>
    <row r="203" ht="15" customHeight="1" x14ac:dyDescent="0.65"/>
    <row r="204" ht="15" customHeight="1" x14ac:dyDescent="0.65"/>
    <row r="207" ht="15" customHeight="1" x14ac:dyDescent="0.65"/>
    <row r="208" ht="15" customHeight="1" x14ac:dyDescent="0.65"/>
    <row r="209" ht="15" customHeight="1" x14ac:dyDescent="0.65"/>
    <row r="210" ht="15" customHeight="1" x14ac:dyDescent="0.65"/>
    <row r="211" ht="15" customHeight="1" x14ac:dyDescent="0.65"/>
    <row r="212" ht="15" customHeight="1" x14ac:dyDescent="0.65"/>
    <row r="213" ht="15" customHeight="1" x14ac:dyDescent="0.65"/>
    <row r="214" ht="15" customHeight="1" x14ac:dyDescent="0.65"/>
    <row r="215" ht="15" customHeight="1" x14ac:dyDescent="0.65"/>
    <row r="216" ht="15" customHeight="1" x14ac:dyDescent="0.65"/>
    <row r="217" ht="15" customHeight="1" x14ac:dyDescent="0.65"/>
    <row r="218" ht="15" customHeight="1" x14ac:dyDescent="0.65"/>
    <row r="219" ht="15" customHeight="1" x14ac:dyDescent="0.65"/>
    <row r="220" ht="15" customHeight="1" x14ac:dyDescent="0.65"/>
    <row r="221" ht="15" customHeight="1" x14ac:dyDescent="0.65"/>
    <row r="222" ht="15" customHeight="1" x14ac:dyDescent="0.65"/>
    <row r="224" ht="15" customHeight="1" x14ac:dyDescent="0.65"/>
    <row r="225" ht="15" customHeight="1" x14ac:dyDescent="0.65"/>
    <row r="227" ht="15" customHeight="1" x14ac:dyDescent="0.65"/>
    <row r="228" ht="15" customHeight="1" x14ac:dyDescent="0.65"/>
    <row r="229" ht="15" customHeight="1" x14ac:dyDescent="0.65"/>
    <row r="230" ht="15" customHeight="1" x14ac:dyDescent="0.65"/>
    <row r="231" ht="15" customHeight="1" x14ac:dyDescent="0.65"/>
    <row r="232" ht="15" customHeight="1" x14ac:dyDescent="0.65"/>
    <row r="233" ht="15" customHeight="1" x14ac:dyDescent="0.65"/>
    <row r="234" ht="15" customHeight="1" x14ac:dyDescent="0.65"/>
    <row r="235" ht="15" customHeight="1" x14ac:dyDescent="0.65"/>
    <row r="236" ht="15" customHeight="1" x14ac:dyDescent="0.65"/>
    <row r="237" ht="15" customHeight="1" x14ac:dyDescent="0.65"/>
    <row r="238" ht="15" customHeight="1" x14ac:dyDescent="0.65"/>
    <row r="239" ht="15" customHeight="1" x14ac:dyDescent="0.65"/>
    <row r="240" ht="15" customHeight="1" x14ac:dyDescent="0.65"/>
    <row r="241" ht="15" customHeight="1" x14ac:dyDescent="0.65"/>
    <row r="242" ht="15" customHeight="1" x14ac:dyDescent="0.65"/>
    <row r="243" ht="15" customHeight="1" x14ac:dyDescent="0.65"/>
    <row r="244" ht="15" customHeight="1" x14ac:dyDescent="0.65"/>
    <row r="245" ht="15" customHeight="1" x14ac:dyDescent="0.65"/>
    <row r="246" ht="15" customHeight="1" x14ac:dyDescent="0.65"/>
    <row r="247" ht="15" customHeight="1" x14ac:dyDescent="0.65"/>
    <row r="248" ht="15" customHeight="1" x14ac:dyDescent="0.65"/>
    <row r="249" ht="15" customHeight="1" x14ac:dyDescent="0.65"/>
    <row r="250" ht="15" customHeight="1" x14ac:dyDescent="0.65"/>
    <row r="251" ht="15" customHeight="1" x14ac:dyDescent="0.65"/>
    <row r="252" ht="15" customHeight="1" x14ac:dyDescent="0.65"/>
    <row r="253" ht="15" customHeight="1" x14ac:dyDescent="0.65"/>
    <row r="254" ht="15" customHeight="1" x14ac:dyDescent="0.65"/>
    <row r="255" ht="15" customHeight="1" x14ac:dyDescent="0.65"/>
    <row r="256" ht="15" customHeight="1" x14ac:dyDescent="0.65"/>
    <row r="257" ht="15" customHeight="1" x14ac:dyDescent="0.65"/>
    <row r="258" ht="15" customHeight="1" x14ac:dyDescent="0.65"/>
    <row r="259" ht="15" customHeight="1" x14ac:dyDescent="0.65"/>
    <row r="260" ht="15" customHeight="1" x14ac:dyDescent="0.65"/>
    <row r="261" ht="15" customHeight="1" x14ac:dyDescent="0.65"/>
    <row r="262" ht="15" customHeight="1" x14ac:dyDescent="0.65"/>
    <row r="263" ht="15" customHeight="1" x14ac:dyDescent="0.65"/>
    <row r="264" ht="15" customHeight="1" x14ac:dyDescent="0.65"/>
    <row r="265" ht="15" customHeight="1" x14ac:dyDescent="0.65"/>
    <row r="266" ht="15" customHeight="1" x14ac:dyDescent="0.65"/>
    <row r="267" ht="15" customHeight="1" x14ac:dyDescent="0.65"/>
    <row r="268" ht="15" customHeight="1" x14ac:dyDescent="0.65"/>
    <row r="269" ht="15" customHeight="1" x14ac:dyDescent="0.65"/>
    <row r="270" ht="15" customHeight="1" x14ac:dyDescent="0.65"/>
    <row r="271" ht="15" customHeight="1" x14ac:dyDescent="0.65"/>
    <row r="272" ht="15" customHeight="1" x14ac:dyDescent="0.65"/>
    <row r="273" ht="15" customHeight="1" x14ac:dyDescent="0.65"/>
    <row r="274" ht="15" customHeight="1" x14ac:dyDescent="0.65"/>
    <row r="275" ht="15" customHeight="1" x14ac:dyDescent="0.65"/>
    <row r="276" ht="15" customHeight="1" x14ac:dyDescent="0.65"/>
    <row r="277" ht="15" customHeight="1" x14ac:dyDescent="0.65"/>
    <row r="278" ht="15" customHeight="1" x14ac:dyDescent="0.65"/>
    <row r="279" ht="15" customHeight="1" x14ac:dyDescent="0.65"/>
    <row r="280" ht="15" customHeight="1" x14ac:dyDescent="0.65"/>
    <row r="281" ht="15" customHeight="1" x14ac:dyDescent="0.65"/>
    <row r="282" ht="15" customHeight="1" x14ac:dyDescent="0.65"/>
    <row r="283" ht="15" customHeight="1" x14ac:dyDescent="0.65"/>
    <row r="284" ht="15" customHeight="1" x14ac:dyDescent="0.65"/>
    <row r="285" ht="15" customHeight="1" x14ac:dyDescent="0.65"/>
    <row r="286" ht="15" customHeight="1" x14ac:dyDescent="0.65"/>
    <row r="287" ht="15" customHeight="1" x14ac:dyDescent="0.65"/>
    <row r="288" ht="15" customHeight="1" x14ac:dyDescent="0.65"/>
    <row r="289" ht="15" customHeight="1" x14ac:dyDescent="0.65"/>
    <row r="290" ht="15" customHeight="1" x14ac:dyDescent="0.65"/>
    <row r="291" ht="15" customHeight="1" x14ac:dyDescent="0.65"/>
    <row r="292" ht="15" customHeight="1" x14ac:dyDescent="0.65"/>
    <row r="293" ht="15" customHeight="1" x14ac:dyDescent="0.65"/>
    <row r="294" ht="15" customHeight="1" x14ac:dyDescent="0.65"/>
    <row r="295" ht="15" customHeight="1" x14ac:dyDescent="0.65"/>
    <row r="296" ht="15" customHeight="1" x14ac:dyDescent="0.65"/>
    <row r="297" ht="15" customHeight="1" x14ac:dyDescent="0.65"/>
    <row r="298" ht="15" customHeight="1" x14ac:dyDescent="0.65"/>
    <row r="299" ht="15" customHeight="1" x14ac:dyDescent="0.65"/>
    <row r="300" ht="15" customHeight="1" x14ac:dyDescent="0.65"/>
    <row r="301" ht="15" customHeight="1" x14ac:dyDescent="0.65"/>
    <row r="302" ht="15" customHeight="1" x14ac:dyDescent="0.65"/>
    <row r="303" ht="15" customHeight="1" x14ac:dyDescent="0.65"/>
    <row r="304" ht="15" customHeight="1" x14ac:dyDescent="0.65"/>
    <row r="305" spans="2:33" ht="15" customHeight="1" x14ac:dyDescent="0.65"/>
    <row r="306" spans="2:33" ht="15" customHeight="1" x14ac:dyDescent="0.65"/>
    <row r="307" spans="2:33" ht="15" customHeight="1" x14ac:dyDescent="0.65"/>
    <row r="308" spans="2:33" ht="15" customHeight="1" x14ac:dyDescent="0.65">
      <c r="B308" s="475"/>
      <c r="C308" s="475"/>
      <c r="D308" s="475"/>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c r="AA308" s="475"/>
      <c r="AB308" s="475"/>
      <c r="AC308" s="475"/>
      <c r="AD308" s="475"/>
      <c r="AE308" s="475"/>
      <c r="AF308" s="475"/>
      <c r="AG308" s="475"/>
    </row>
    <row r="309" spans="2:33" ht="15" customHeight="1" x14ac:dyDescent="0.65"/>
    <row r="310" spans="2:33" ht="15" customHeight="1" x14ac:dyDescent="0.65"/>
    <row r="311" spans="2:33" ht="15" customHeight="1" x14ac:dyDescent="0.65"/>
    <row r="312" spans="2:33" ht="15" customHeight="1" x14ac:dyDescent="0.65"/>
    <row r="313" spans="2:33" ht="15" customHeight="1" x14ac:dyDescent="0.65"/>
    <row r="314" spans="2:33" ht="15" customHeight="1" x14ac:dyDescent="0.65"/>
    <row r="315" spans="2:33" ht="15" customHeight="1" x14ac:dyDescent="0.65"/>
    <row r="316" spans="2:33" ht="15" customHeight="1" x14ac:dyDescent="0.65"/>
    <row r="317" spans="2:33" ht="15" customHeight="1" x14ac:dyDescent="0.65"/>
    <row r="318" spans="2:33" ht="15" customHeight="1" x14ac:dyDescent="0.65"/>
    <row r="319" spans="2:33" ht="15" customHeight="1" x14ac:dyDescent="0.65"/>
    <row r="320" spans="2:33" ht="15" customHeight="1" x14ac:dyDescent="0.65"/>
    <row r="321" ht="15" customHeight="1" x14ac:dyDescent="0.65"/>
    <row r="322" ht="15" customHeight="1" x14ac:dyDescent="0.65"/>
    <row r="323" ht="15" customHeight="1" x14ac:dyDescent="0.65"/>
    <row r="324" ht="15" customHeight="1" x14ac:dyDescent="0.65"/>
    <row r="325" ht="15" customHeight="1" x14ac:dyDescent="0.65"/>
    <row r="326" ht="15" customHeight="1" x14ac:dyDescent="0.65"/>
    <row r="327" ht="15" customHeight="1" x14ac:dyDescent="0.65"/>
    <row r="328" ht="15" customHeight="1" x14ac:dyDescent="0.65"/>
    <row r="329" ht="15" customHeight="1" x14ac:dyDescent="0.65"/>
    <row r="330" ht="15" customHeight="1" x14ac:dyDescent="0.65"/>
    <row r="331" ht="15" customHeight="1" x14ac:dyDescent="0.65"/>
    <row r="332" ht="15" customHeight="1" x14ac:dyDescent="0.65"/>
    <row r="333" ht="15" customHeight="1" x14ac:dyDescent="0.65"/>
    <row r="334" ht="15" customHeight="1" x14ac:dyDescent="0.65"/>
    <row r="335" ht="15" customHeight="1" x14ac:dyDescent="0.65"/>
    <row r="336" ht="15" customHeight="1" x14ac:dyDescent="0.65"/>
    <row r="337" ht="15" customHeight="1" x14ac:dyDescent="0.65"/>
    <row r="338" ht="15" customHeight="1" x14ac:dyDescent="0.65"/>
    <row r="339" ht="15" customHeight="1" x14ac:dyDescent="0.65"/>
    <row r="340" ht="15" customHeight="1" x14ac:dyDescent="0.65"/>
    <row r="341" ht="15" customHeight="1" x14ac:dyDescent="0.65"/>
    <row r="342" ht="15" customHeight="1" x14ac:dyDescent="0.65"/>
    <row r="343" ht="15" customHeight="1" x14ac:dyDescent="0.65"/>
    <row r="344" ht="15" customHeight="1" x14ac:dyDescent="0.65"/>
    <row r="345" ht="15" customHeight="1" x14ac:dyDescent="0.65"/>
    <row r="346" ht="15" customHeight="1" x14ac:dyDescent="0.65"/>
    <row r="347" ht="15" customHeight="1" x14ac:dyDescent="0.65"/>
    <row r="348" ht="15" customHeight="1" x14ac:dyDescent="0.65"/>
    <row r="349" ht="15" customHeight="1" x14ac:dyDescent="0.65"/>
    <row r="350" ht="15" customHeight="1" x14ac:dyDescent="0.65"/>
    <row r="351" ht="15" customHeight="1" x14ac:dyDescent="0.65"/>
    <row r="352" ht="15" customHeight="1" x14ac:dyDescent="0.65"/>
    <row r="353" ht="15" customHeight="1" x14ac:dyDescent="0.65"/>
    <row r="354" ht="15" customHeight="1" x14ac:dyDescent="0.65"/>
    <row r="355" ht="15" customHeight="1" x14ac:dyDescent="0.65"/>
    <row r="356" ht="15" customHeight="1" x14ac:dyDescent="0.65"/>
    <row r="357" ht="15" customHeight="1" x14ac:dyDescent="0.65"/>
    <row r="358" ht="15" customHeight="1" x14ac:dyDescent="0.65"/>
    <row r="359" ht="15" customHeight="1" x14ac:dyDescent="0.65"/>
    <row r="360" ht="15" customHeight="1" x14ac:dyDescent="0.65"/>
    <row r="361" ht="15" customHeight="1" x14ac:dyDescent="0.65"/>
    <row r="362" ht="15" customHeight="1" x14ac:dyDescent="0.65"/>
    <row r="363" ht="15" customHeight="1" x14ac:dyDescent="0.65"/>
    <row r="364" ht="15" customHeight="1" x14ac:dyDescent="0.65"/>
    <row r="365" ht="15" customHeight="1" x14ac:dyDescent="0.65"/>
    <row r="366" ht="15" customHeight="1" x14ac:dyDescent="0.65"/>
    <row r="367" ht="15" customHeight="1" x14ac:dyDescent="0.65"/>
    <row r="368" ht="15" customHeight="1" x14ac:dyDescent="0.65"/>
    <row r="369" ht="15" customHeight="1" x14ac:dyDescent="0.65"/>
    <row r="370" ht="15" customHeight="1" x14ac:dyDescent="0.65"/>
    <row r="371" ht="15" customHeight="1" x14ac:dyDescent="0.65"/>
    <row r="372" ht="15" customHeight="1" x14ac:dyDescent="0.65"/>
    <row r="373" ht="15" customHeight="1" x14ac:dyDescent="0.65"/>
    <row r="374" ht="15" customHeight="1" x14ac:dyDescent="0.65"/>
    <row r="375" ht="15" customHeight="1" x14ac:dyDescent="0.65"/>
    <row r="376" ht="15" customHeight="1" x14ac:dyDescent="0.65"/>
    <row r="377" ht="15" customHeight="1" x14ac:dyDescent="0.65"/>
    <row r="378" ht="15" customHeight="1" x14ac:dyDescent="0.65"/>
    <row r="379" ht="15" customHeight="1" x14ac:dyDescent="0.65"/>
    <row r="380" ht="15" customHeight="1" x14ac:dyDescent="0.65"/>
    <row r="381" ht="15" customHeight="1" x14ac:dyDescent="0.65"/>
    <row r="382" ht="15" customHeight="1" x14ac:dyDescent="0.65"/>
    <row r="383" ht="15" customHeight="1" x14ac:dyDescent="0.65"/>
    <row r="384" ht="15" customHeight="1" x14ac:dyDescent="0.65"/>
    <row r="385" ht="15" customHeight="1" x14ac:dyDescent="0.65"/>
    <row r="386" ht="15" customHeight="1" x14ac:dyDescent="0.65"/>
    <row r="387" ht="15" customHeight="1" x14ac:dyDescent="0.65"/>
    <row r="388" ht="15" customHeight="1" x14ac:dyDescent="0.65"/>
    <row r="389" ht="15" customHeight="1" x14ac:dyDescent="0.65"/>
    <row r="390" ht="15" customHeight="1" x14ac:dyDescent="0.65"/>
    <row r="391" ht="15" customHeight="1" x14ac:dyDescent="0.65"/>
    <row r="392" ht="15" customHeight="1" x14ac:dyDescent="0.65"/>
    <row r="393" ht="15" customHeight="1" x14ac:dyDescent="0.65"/>
    <row r="394" ht="15" customHeight="1" x14ac:dyDescent="0.65"/>
    <row r="395" ht="15" customHeight="1" x14ac:dyDescent="0.65"/>
    <row r="396" ht="15" customHeight="1" x14ac:dyDescent="0.65"/>
    <row r="397" ht="15" customHeight="1" x14ac:dyDescent="0.65"/>
    <row r="398" ht="15" customHeight="1" x14ac:dyDescent="0.65"/>
    <row r="399" ht="15" customHeight="1" x14ac:dyDescent="0.65"/>
    <row r="400" ht="15" customHeight="1" x14ac:dyDescent="0.65"/>
    <row r="401" ht="15" customHeight="1" x14ac:dyDescent="0.65"/>
    <row r="402" ht="15" customHeight="1" x14ac:dyDescent="0.65"/>
    <row r="403" ht="15" customHeight="1" x14ac:dyDescent="0.65"/>
    <row r="404" ht="15" customHeight="1" x14ac:dyDescent="0.65"/>
    <row r="405" ht="15" customHeight="1" x14ac:dyDescent="0.65"/>
    <row r="406" ht="15" customHeight="1" x14ac:dyDescent="0.65"/>
    <row r="407" ht="15" customHeight="1" x14ac:dyDescent="0.65"/>
    <row r="408" ht="15" customHeight="1" x14ac:dyDescent="0.65"/>
    <row r="409" ht="15" customHeight="1" x14ac:dyDescent="0.65"/>
    <row r="410" ht="15" customHeight="1" x14ac:dyDescent="0.65"/>
    <row r="411" ht="15" customHeight="1" x14ac:dyDescent="0.65"/>
    <row r="412" ht="15" customHeight="1" x14ac:dyDescent="0.65"/>
    <row r="413" ht="15" customHeight="1" x14ac:dyDescent="0.65"/>
    <row r="414" ht="15" customHeight="1" x14ac:dyDescent="0.65"/>
    <row r="415" ht="15" customHeight="1" x14ac:dyDescent="0.65"/>
    <row r="416" ht="15" customHeight="1" x14ac:dyDescent="0.65"/>
    <row r="417" ht="15" customHeight="1" x14ac:dyDescent="0.65"/>
    <row r="418" ht="15" customHeight="1" x14ac:dyDescent="0.65"/>
    <row r="419" ht="15" customHeight="1" x14ac:dyDescent="0.65"/>
    <row r="420" ht="15" customHeight="1" x14ac:dyDescent="0.65"/>
    <row r="421" ht="15" customHeight="1" x14ac:dyDescent="0.65"/>
    <row r="422" ht="15" customHeight="1" x14ac:dyDescent="0.65"/>
    <row r="423" ht="15" customHeight="1" x14ac:dyDescent="0.65"/>
    <row r="424" ht="15" customHeight="1" x14ac:dyDescent="0.65"/>
    <row r="425" ht="15" customHeight="1" x14ac:dyDescent="0.65"/>
    <row r="426" ht="15" customHeight="1" x14ac:dyDescent="0.65"/>
    <row r="427" ht="15" customHeight="1" x14ac:dyDescent="0.65"/>
    <row r="428" ht="15" customHeight="1" x14ac:dyDescent="0.65"/>
    <row r="429" ht="15" customHeight="1" x14ac:dyDescent="0.65"/>
    <row r="430" ht="15" customHeight="1" x14ac:dyDescent="0.65"/>
    <row r="431" ht="15" customHeight="1" x14ac:dyDescent="0.65"/>
    <row r="432" ht="15" customHeight="1" x14ac:dyDescent="0.65"/>
    <row r="433" ht="15" customHeight="1" x14ac:dyDescent="0.65"/>
    <row r="434" ht="15" customHeight="1" x14ac:dyDescent="0.65"/>
    <row r="435" ht="15" customHeight="1" x14ac:dyDescent="0.65"/>
    <row r="436" ht="15" customHeight="1" x14ac:dyDescent="0.65"/>
    <row r="437" ht="15" customHeight="1" x14ac:dyDescent="0.65"/>
    <row r="438" ht="15" customHeight="1" x14ac:dyDescent="0.65"/>
    <row r="439" ht="15" customHeight="1" x14ac:dyDescent="0.65"/>
    <row r="440" ht="15" customHeight="1" x14ac:dyDescent="0.65"/>
    <row r="441" ht="15" customHeight="1" x14ac:dyDescent="0.65"/>
    <row r="442" ht="15" customHeight="1" x14ac:dyDescent="0.65"/>
    <row r="443" ht="15" customHeight="1" x14ac:dyDescent="0.65"/>
    <row r="444" ht="15" customHeight="1" x14ac:dyDescent="0.65"/>
    <row r="445" ht="15" customHeight="1" x14ac:dyDescent="0.65"/>
    <row r="446" ht="15" customHeight="1" x14ac:dyDescent="0.65"/>
    <row r="447" ht="15" customHeight="1" x14ac:dyDescent="0.65"/>
    <row r="448" ht="15" customHeight="1" x14ac:dyDescent="0.65"/>
    <row r="449" ht="15" customHeight="1" x14ac:dyDescent="0.65"/>
    <row r="450" ht="15" customHeight="1" x14ac:dyDescent="0.65"/>
    <row r="451" ht="15" customHeight="1" x14ac:dyDescent="0.65"/>
    <row r="452" ht="15" customHeight="1" x14ac:dyDescent="0.65"/>
    <row r="453" ht="15" customHeight="1" x14ac:dyDescent="0.65"/>
    <row r="454" ht="15" customHeight="1" x14ac:dyDescent="0.65"/>
    <row r="455" ht="15" customHeight="1" x14ac:dyDescent="0.65"/>
    <row r="456" ht="15" customHeight="1" x14ac:dyDescent="0.65"/>
    <row r="457" ht="15" customHeight="1" x14ac:dyDescent="0.65"/>
    <row r="458" ht="15" customHeight="1" x14ac:dyDescent="0.65"/>
    <row r="459" ht="15" customHeight="1" x14ac:dyDescent="0.65"/>
    <row r="460" ht="15" customHeight="1" x14ac:dyDescent="0.65"/>
    <row r="461" ht="15" customHeight="1" x14ac:dyDescent="0.65"/>
    <row r="462" ht="15" customHeight="1" x14ac:dyDescent="0.65"/>
    <row r="463" ht="15" customHeight="1" x14ac:dyDescent="0.65"/>
    <row r="464" ht="15" customHeight="1" x14ac:dyDescent="0.65"/>
    <row r="465" ht="15" customHeight="1" x14ac:dyDescent="0.65"/>
    <row r="466" ht="15" customHeight="1" x14ac:dyDescent="0.65"/>
    <row r="467" ht="15" customHeight="1" x14ac:dyDescent="0.65"/>
    <row r="468" ht="15" customHeight="1" x14ac:dyDescent="0.65"/>
    <row r="469" ht="15" customHeight="1" x14ac:dyDescent="0.65"/>
    <row r="470" ht="15" customHeight="1" x14ac:dyDescent="0.65"/>
    <row r="471" ht="15" customHeight="1" x14ac:dyDescent="0.65"/>
    <row r="472" ht="15" customHeight="1" x14ac:dyDescent="0.65"/>
    <row r="473" ht="15" customHeight="1" x14ac:dyDescent="0.65"/>
    <row r="474" ht="15" customHeight="1" x14ac:dyDescent="0.65"/>
    <row r="475" ht="15" customHeight="1" x14ac:dyDescent="0.65"/>
    <row r="476" ht="15" customHeight="1" x14ac:dyDescent="0.65"/>
    <row r="477" ht="15" customHeight="1" x14ac:dyDescent="0.65"/>
    <row r="478" ht="15" customHeight="1" x14ac:dyDescent="0.65"/>
    <row r="479" ht="15" customHeight="1" x14ac:dyDescent="0.65"/>
    <row r="480" ht="15" customHeight="1" x14ac:dyDescent="0.65"/>
    <row r="481" ht="15" customHeight="1" x14ac:dyDescent="0.65"/>
    <row r="482" ht="15" customHeight="1" x14ac:dyDescent="0.65"/>
    <row r="483" ht="15" customHeight="1" x14ac:dyDescent="0.65"/>
    <row r="484" ht="15" customHeight="1" x14ac:dyDescent="0.65"/>
    <row r="485" ht="15" customHeight="1" x14ac:dyDescent="0.65"/>
    <row r="486" ht="15" customHeight="1" x14ac:dyDescent="0.65"/>
    <row r="487" ht="15" customHeight="1" x14ac:dyDescent="0.65"/>
    <row r="488" ht="15" customHeight="1" x14ac:dyDescent="0.65"/>
    <row r="489" ht="15" customHeight="1" x14ac:dyDescent="0.65"/>
    <row r="490" ht="15" customHeight="1" x14ac:dyDescent="0.65"/>
    <row r="491" ht="15" customHeight="1" x14ac:dyDescent="0.65"/>
    <row r="492" ht="15" customHeight="1" x14ac:dyDescent="0.65"/>
    <row r="493" ht="15" customHeight="1" x14ac:dyDescent="0.65"/>
    <row r="494" ht="15" customHeight="1" x14ac:dyDescent="0.65"/>
    <row r="495" ht="15" customHeight="1" x14ac:dyDescent="0.65"/>
    <row r="496" ht="15" customHeight="1" x14ac:dyDescent="0.65"/>
    <row r="497" spans="2:33" ht="15" customHeight="1" x14ac:dyDescent="0.65"/>
    <row r="498" spans="2:33" ht="15" customHeight="1" x14ac:dyDescent="0.65"/>
    <row r="499" spans="2:33" ht="15" customHeight="1" x14ac:dyDescent="0.65"/>
    <row r="500" spans="2:33" ht="15" customHeight="1" x14ac:dyDescent="0.65"/>
    <row r="501" spans="2:33" ht="15" customHeight="1" x14ac:dyDescent="0.65"/>
    <row r="502" spans="2:33" ht="15" customHeight="1" x14ac:dyDescent="0.65"/>
    <row r="503" spans="2:33" ht="15" customHeight="1" x14ac:dyDescent="0.65"/>
    <row r="504" spans="2:33" ht="15" customHeight="1" x14ac:dyDescent="0.65"/>
    <row r="505" spans="2:33" ht="15" customHeight="1" x14ac:dyDescent="0.65"/>
    <row r="506" spans="2:33" ht="15" customHeight="1" x14ac:dyDescent="0.65"/>
    <row r="507" spans="2:33" ht="15" customHeight="1" x14ac:dyDescent="0.65"/>
    <row r="508" spans="2:33" ht="15" customHeight="1" x14ac:dyDescent="0.65"/>
    <row r="509" spans="2:33" ht="15" customHeight="1" x14ac:dyDescent="0.65"/>
    <row r="510" spans="2:33" ht="15" customHeight="1" x14ac:dyDescent="0.65"/>
    <row r="511" spans="2:33" ht="15" customHeight="1" x14ac:dyDescent="0.65">
      <c r="B511" s="475"/>
      <c r="C511" s="475"/>
      <c r="D511" s="475"/>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c r="AA511" s="475"/>
      <c r="AB511" s="475"/>
      <c r="AC511" s="475"/>
      <c r="AD511" s="475"/>
      <c r="AE511" s="475"/>
      <c r="AF511" s="475"/>
      <c r="AG511" s="475"/>
    </row>
    <row r="512" spans="2:33" ht="15" customHeight="1" x14ac:dyDescent="0.65"/>
    <row r="513" ht="15" customHeight="1" x14ac:dyDescent="0.65"/>
    <row r="514" ht="15" customHeight="1" x14ac:dyDescent="0.65"/>
    <row r="515" ht="15" customHeight="1" x14ac:dyDescent="0.65"/>
    <row r="516" ht="15" customHeight="1" x14ac:dyDescent="0.65"/>
    <row r="517" ht="15" customHeight="1" x14ac:dyDescent="0.65"/>
    <row r="518" ht="15" customHeight="1" x14ac:dyDescent="0.65"/>
    <row r="519" ht="15" customHeight="1" x14ac:dyDescent="0.65"/>
    <row r="520" ht="15" customHeight="1" x14ac:dyDescent="0.65"/>
    <row r="521" ht="15" customHeight="1" x14ac:dyDescent="0.65"/>
    <row r="522" ht="15" customHeight="1" x14ac:dyDescent="0.65"/>
    <row r="523" ht="15" customHeight="1" x14ac:dyDescent="0.65"/>
    <row r="524" ht="15" customHeight="1" x14ac:dyDescent="0.65"/>
    <row r="525" ht="15" customHeight="1" x14ac:dyDescent="0.65"/>
    <row r="526" ht="15" customHeight="1" x14ac:dyDescent="0.65"/>
    <row r="527" ht="15" customHeight="1" x14ac:dyDescent="0.65"/>
    <row r="528" ht="15" customHeight="1" x14ac:dyDescent="0.65"/>
    <row r="529" ht="15" customHeight="1" x14ac:dyDescent="0.65"/>
    <row r="530" ht="15" customHeight="1" x14ac:dyDescent="0.65"/>
    <row r="531" ht="15" customHeight="1" x14ac:dyDescent="0.65"/>
    <row r="532" ht="15" customHeight="1" x14ac:dyDescent="0.65"/>
    <row r="533" ht="15" customHeight="1" x14ac:dyDescent="0.65"/>
    <row r="534" ht="15" customHeight="1" x14ac:dyDescent="0.65"/>
    <row r="535" ht="15" customHeight="1" x14ac:dyDescent="0.65"/>
    <row r="536" ht="15" customHeight="1" x14ac:dyDescent="0.65"/>
    <row r="537" ht="15" customHeight="1" x14ac:dyDescent="0.65"/>
    <row r="538" ht="15" customHeight="1" x14ac:dyDescent="0.65"/>
    <row r="539" ht="15" customHeight="1" x14ac:dyDescent="0.65"/>
    <row r="540" ht="15" customHeight="1" x14ac:dyDescent="0.65"/>
    <row r="541" ht="15" customHeight="1" x14ac:dyDescent="0.65"/>
    <row r="542" ht="15" customHeight="1" x14ac:dyDescent="0.65"/>
    <row r="543" ht="15" customHeight="1" x14ac:dyDescent="0.65"/>
    <row r="544" ht="15" customHeight="1" x14ac:dyDescent="0.65"/>
    <row r="545" ht="15" customHeight="1" x14ac:dyDescent="0.65"/>
    <row r="546" ht="15" customHeight="1" x14ac:dyDescent="0.65"/>
    <row r="547" ht="15" customHeight="1" x14ac:dyDescent="0.65"/>
    <row r="548" ht="15" customHeight="1" x14ac:dyDescent="0.65"/>
    <row r="549" ht="15" customHeight="1" x14ac:dyDescent="0.65"/>
    <row r="550" ht="15" customHeight="1" x14ac:dyDescent="0.65"/>
    <row r="551" ht="15" customHeight="1" x14ac:dyDescent="0.65"/>
    <row r="552" ht="15" customHeight="1" x14ac:dyDescent="0.65"/>
    <row r="553" ht="15" customHeight="1" x14ac:dyDescent="0.65"/>
    <row r="554" ht="15" customHeight="1" x14ac:dyDescent="0.65"/>
    <row r="555" ht="15" customHeight="1" x14ac:dyDescent="0.65"/>
    <row r="556" ht="15" customHeight="1" x14ac:dyDescent="0.65"/>
    <row r="557" ht="15" customHeight="1" x14ac:dyDescent="0.65"/>
    <row r="558" ht="15" customHeight="1" x14ac:dyDescent="0.65"/>
    <row r="559" ht="15" customHeight="1" x14ac:dyDescent="0.65"/>
    <row r="560" ht="15" customHeight="1" x14ac:dyDescent="0.65"/>
    <row r="561" ht="15" customHeight="1" x14ac:dyDescent="0.65"/>
    <row r="562" ht="15" customHeight="1" x14ac:dyDescent="0.65"/>
    <row r="563" ht="15" customHeight="1" x14ac:dyDescent="0.65"/>
    <row r="564" ht="15" customHeight="1" x14ac:dyDescent="0.65"/>
    <row r="565" ht="15" customHeight="1" x14ac:dyDescent="0.65"/>
    <row r="566" ht="15" customHeight="1" x14ac:dyDescent="0.65"/>
    <row r="567" ht="15" customHeight="1" x14ac:dyDescent="0.65"/>
    <row r="568" ht="15" customHeight="1" x14ac:dyDescent="0.65"/>
    <row r="569" ht="15" customHeight="1" x14ac:dyDescent="0.65"/>
    <row r="570" ht="15" customHeight="1" x14ac:dyDescent="0.65"/>
    <row r="571" ht="15" customHeight="1" x14ac:dyDescent="0.65"/>
    <row r="572" ht="15" customHeight="1" x14ac:dyDescent="0.65"/>
    <row r="573" ht="15" customHeight="1" x14ac:dyDescent="0.65"/>
    <row r="574" ht="15" customHeight="1" x14ac:dyDescent="0.65"/>
    <row r="575" ht="15" customHeight="1" x14ac:dyDescent="0.65"/>
    <row r="576" ht="15" customHeight="1" x14ac:dyDescent="0.65"/>
    <row r="577" ht="15" customHeight="1" x14ac:dyDescent="0.65"/>
    <row r="578" ht="15" customHeight="1" x14ac:dyDescent="0.65"/>
    <row r="579" ht="15" customHeight="1" x14ac:dyDescent="0.65"/>
    <row r="580" ht="15" customHeight="1" x14ac:dyDescent="0.65"/>
    <row r="581" ht="15" customHeight="1" x14ac:dyDescent="0.65"/>
    <row r="582" ht="15" customHeight="1" x14ac:dyDescent="0.65"/>
    <row r="583" ht="15" customHeight="1" x14ac:dyDescent="0.65"/>
    <row r="584" ht="15" customHeight="1" x14ac:dyDescent="0.65"/>
    <row r="585" ht="15" customHeight="1" x14ac:dyDescent="0.65"/>
    <row r="586" ht="15" customHeight="1" x14ac:dyDescent="0.65"/>
    <row r="587" ht="15" customHeight="1" x14ac:dyDescent="0.65"/>
    <row r="588" ht="15" customHeight="1" x14ac:dyDescent="0.65"/>
    <row r="589" ht="15" customHeight="1" x14ac:dyDescent="0.65"/>
    <row r="590" ht="15" customHeight="1" x14ac:dyDescent="0.65"/>
    <row r="591" ht="15" customHeight="1" x14ac:dyDescent="0.65"/>
    <row r="592" ht="15" customHeight="1" x14ac:dyDescent="0.65"/>
    <row r="593" ht="15" customHeight="1" x14ac:dyDescent="0.65"/>
    <row r="594" ht="15" customHeight="1" x14ac:dyDescent="0.65"/>
    <row r="595" ht="15" customHeight="1" x14ac:dyDescent="0.65"/>
    <row r="596" ht="15" customHeight="1" x14ac:dyDescent="0.65"/>
    <row r="597" ht="15" customHeight="1" x14ac:dyDescent="0.65"/>
    <row r="598" ht="15" customHeight="1" x14ac:dyDescent="0.65"/>
    <row r="599" ht="15" customHeight="1" x14ac:dyDescent="0.65"/>
    <row r="600" ht="15" customHeight="1" x14ac:dyDescent="0.65"/>
    <row r="601" ht="15" customHeight="1" x14ac:dyDescent="0.65"/>
    <row r="602" ht="15" customHeight="1" x14ac:dyDescent="0.65"/>
    <row r="603" ht="15" customHeight="1" x14ac:dyDescent="0.65"/>
    <row r="604" ht="15" customHeight="1" x14ac:dyDescent="0.65"/>
    <row r="605" ht="15" customHeight="1" x14ac:dyDescent="0.65"/>
    <row r="606" ht="15" customHeight="1" x14ac:dyDescent="0.65"/>
    <row r="607" ht="15" customHeight="1" x14ac:dyDescent="0.65"/>
    <row r="608" ht="15" customHeight="1" x14ac:dyDescent="0.65"/>
    <row r="609" ht="15" customHeight="1" x14ac:dyDescent="0.65"/>
    <row r="610" ht="15" customHeight="1" x14ac:dyDescent="0.65"/>
    <row r="611" ht="15" customHeight="1" x14ac:dyDescent="0.65"/>
    <row r="612" ht="15" customHeight="1" x14ac:dyDescent="0.65"/>
    <row r="613" ht="15" customHeight="1" x14ac:dyDescent="0.65"/>
    <row r="614" ht="15" customHeight="1" x14ac:dyDescent="0.65"/>
    <row r="615" ht="15" customHeight="1" x14ac:dyDescent="0.65"/>
    <row r="616" ht="15" customHeight="1" x14ac:dyDescent="0.65"/>
    <row r="617" ht="15" customHeight="1" x14ac:dyDescent="0.65"/>
    <row r="618" ht="15" customHeight="1" x14ac:dyDescent="0.65"/>
    <row r="619" ht="15" customHeight="1" x14ac:dyDescent="0.65"/>
    <row r="620" ht="15" customHeight="1" x14ac:dyDescent="0.65"/>
    <row r="621" ht="15" customHeight="1" x14ac:dyDescent="0.65"/>
    <row r="622" ht="15" customHeight="1" x14ac:dyDescent="0.65"/>
    <row r="623" ht="15" customHeight="1" x14ac:dyDescent="0.65"/>
    <row r="624" ht="15" customHeight="1" x14ac:dyDescent="0.65"/>
    <row r="625" ht="15" customHeight="1" x14ac:dyDescent="0.65"/>
    <row r="626" ht="15" customHeight="1" x14ac:dyDescent="0.65"/>
    <row r="627" ht="15" customHeight="1" x14ac:dyDescent="0.65"/>
    <row r="628" ht="15" customHeight="1" x14ac:dyDescent="0.65"/>
    <row r="629" ht="15" customHeight="1" x14ac:dyDescent="0.65"/>
    <row r="630" ht="15" customHeight="1" x14ac:dyDescent="0.65"/>
    <row r="631" ht="15" customHeight="1" x14ac:dyDescent="0.65"/>
    <row r="632" ht="15" customHeight="1" x14ac:dyDescent="0.65"/>
    <row r="633" ht="15" customHeight="1" x14ac:dyDescent="0.65"/>
    <row r="634" ht="15" customHeight="1" x14ac:dyDescent="0.65"/>
    <row r="635" ht="15" customHeight="1" x14ac:dyDescent="0.65"/>
    <row r="636" ht="15" customHeight="1" x14ac:dyDescent="0.65"/>
    <row r="637" ht="15" customHeight="1" x14ac:dyDescent="0.65"/>
    <row r="638" ht="15" customHeight="1" x14ac:dyDescent="0.65"/>
    <row r="639" ht="15" customHeight="1" x14ac:dyDescent="0.65"/>
    <row r="640" ht="15" customHeight="1" x14ac:dyDescent="0.65"/>
    <row r="641" ht="15" customHeight="1" x14ac:dyDescent="0.65"/>
    <row r="642" ht="15" customHeight="1" x14ac:dyDescent="0.65"/>
    <row r="643" ht="15" customHeight="1" x14ac:dyDescent="0.65"/>
    <row r="644" ht="15" customHeight="1" x14ac:dyDescent="0.65"/>
    <row r="645" ht="15" customHeight="1" x14ac:dyDescent="0.65"/>
    <row r="646" ht="15" customHeight="1" x14ac:dyDescent="0.65"/>
    <row r="647" ht="15" customHeight="1" x14ac:dyDescent="0.65"/>
    <row r="648" ht="15" customHeight="1" x14ac:dyDescent="0.65"/>
    <row r="649" ht="15" customHeight="1" x14ac:dyDescent="0.65"/>
    <row r="650" ht="15" customHeight="1" x14ac:dyDescent="0.65"/>
    <row r="651" ht="15" customHeight="1" x14ac:dyDescent="0.65"/>
    <row r="652" ht="15" customHeight="1" x14ac:dyDescent="0.65"/>
    <row r="653" ht="15" customHeight="1" x14ac:dyDescent="0.65"/>
    <row r="654" ht="15" customHeight="1" x14ac:dyDescent="0.65"/>
    <row r="655" ht="15" customHeight="1" x14ac:dyDescent="0.65"/>
    <row r="656" ht="15" customHeight="1" x14ac:dyDescent="0.65"/>
    <row r="657" ht="15" customHeight="1" x14ac:dyDescent="0.65"/>
    <row r="658" ht="15" customHeight="1" x14ac:dyDescent="0.65"/>
    <row r="659" ht="15" customHeight="1" x14ac:dyDescent="0.65"/>
    <row r="660" ht="15" customHeight="1" x14ac:dyDescent="0.65"/>
    <row r="661" ht="15" customHeight="1" x14ac:dyDescent="0.65"/>
    <row r="662" ht="15" customHeight="1" x14ac:dyDescent="0.65"/>
    <row r="663" ht="15" customHeight="1" x14ac:dyDescent="0.65"/>
    <row r="664" ht="15" customHeight="1" x14ac:dyDescent="0.65"/>
    <row r="665" ht="15" customHeight="1" x14ac:dyDescent="0.65"/>
    <row r="666" ht="15" customHeight="1" x14ac:dyDescent="0.65"/>
    <row r="667" ht="15" customHeight="1" x14ac:dyDescent="0.65"/>
    <row r="668" ht="15" customHeight="1" x14ac:dyDescent="0.65"/>
    <row r="669" ht="15" customHeight="1" x14ac:dyDescent="0.65"/>
    <row r="670" ht="15" customHeight="1" x14ac:dyDescent="0.65"/>
    <row r="671" ht="15" customHeight="1" x14ac:dyDescent="0.65"/>
    <row r="672" ht="15" customHeight="1" x14ac:dyDescent="0.65"/>
    <row r="673" ht="15" customHeight="1" x14ac:dyDescent="0.65"/>
    <row r="674" ht="15" customHeight="1" x14ac:dyDescent="0.65"/>
    <row r="675" ht="15" customHeight="1" x14ac:dyDescent="0.65"/>
    <row r="676" ht="15" customHeight="1" x14ac:dyDescent="0.65"/>
    <row r="677" ht="15" customHeight="1" x14ac:dyDescent="0.65"/>
    <row r="678" ht="15" customHeight="1" x14ac:dyDescent="0.65"/>
    <row r="679" ht="15" customHeight="1" x14ac:dyDescent="0.65"/>
    <row r="680" ht="15" customHeight="1" x14ac:dyDescent="0.65"/>
    <row r="681" ht="15" customHeight="1" x14ac:dyDescent="0.65"/>
    <row r="682" ht="15" customHeight="1" x14ac:dyDescent="0.65"/>
    <row r="683" ht="15" customHeight="1" x14ac:dyDescent="0.65"/>
    <row r="684" ht="15" customHeight="1" x14ac:dyDescent="0.65"/>
    <row r="685" ht="15" customHeight="1" x14ac:dyDescent="0.65"/>
    <row r="686" ht="15" customHeight="1" x14ac:dyDescent="0.65"/>
    <row r="687" ht="15" customHeight="1" x14ac:dyDescent="0.65"/>
    <row r="688" ht="15" customHeight="1" x14ac:dyDescent="0.65"/>
    <row r="689" ht="15" customHeight="1" x14ac:dyDescent="0.65"/>
    <row r="690" ht="15" customHeight="1" x14ac:dyDescent="0.65"/>
    <row r="691" ht="15" customHeight="1" x14ac:dyDescent="0.65"/>
    <row r="692" ht="15" customHeight="1" x14ac:dyDescent="0.65"/>
    <row r="693" ht="15" customHeight="1" x14ac:dyDescent="0.65"/>
    <row r="694" ht="15" customHeight="1" x14ac:dyDescent="0.65"/>
    <row r="695" ht="15" customHeight="1" x14ac:dyDescent="0.65"/>
    <row r="696" ht="15" customHeight="1" x14ac:dyDescent="0.65"/>
    <row r="697" ht="15" customHeight="1" x14ac:dyDescent="0.65"/>
    <row r="698" ht="15" customHeight="1" x14ac:dyDescent="0.65"/>
    <row r="699" ht="15" customHeight="1" x14ac:dyDescent="0.65"/>
    <row r="700" ht="15" customHeight="1" x14ac:dyDescent="0.65"/>
    <row r="701" ht="15" customHeight="1" x14ac:dyDescent="0.65"/>
    <row r="702" ht="15" customHeight="1" x14ac:dyDescent="0.65"/>
    <row r="703" ht="15" customHeight="1" x14ac:dyDescent="0.65"/>
    <row r="704" ht="15" customHeight="1" x14ac:dyDescent="0.65"/>
    <row r="705" spans="2:33" ht="15" customHeight="1" x14ac:dyDescent="0.65"/>
    <row r="706" spans="2:33" ht="15" customHeight="1" x14ac:dyDescent="0.65"/>
    <row r="707" spans="2:33" ht="15" customHeight="1" x14ac:dyDescent="0.65"/>
    <row r="708" spans="2:33" ht="15" customHeight="1" x14ac:dyDescent="0.65"/>
    <row r="709" spans="2:33" ht="15" customHeight="1" x14ac:dyDescent="0.65"/>
    <row r="710" spans="2:33" ht="15" customHeight="1" x14ac:dyDescent="0.65"/>
    <row r="711" spans="2:33" ht="15" customHeight="1" x14ac:dyDescent="0.65"/>
    <row r="712" spans="2:33" ht="15" customHeight="1" x14ac:dyDescent="0.65">
      <c r="B712" s="475"/>
      <c r="C712" s="475"/>
      <c r="D712" s="475"/>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c r="AA712" s="475"/>
      <c r="AB712" s="475"/>
      <c r="AC712" s="475"/>
      <c r="AD712" s="475"/>
      <c r="AE712" s="475"/>
      <c r="AF712" s="475"/>
      <c r="AG712" s="475"/>
    </row>
    <row r="713" spans="2:33" ht="15" customHeight="1" x14ac:dyDescent="0.65"/>
    <row r="714" spans="2:33" ht="15" customHeight="1" x14ac:dyDescent="0.65"/>
    <row r="715" spans="2:33" ht="15" customHeight="1" x14ac:dyDescent="0.65"/>
    <row r="716" spans="2:33" ht="15" customHeight="1" x14ac:dyDescent="0.65"/>
    <row r="717" spans="2:33" ht="15" customHeight="1" x14ac:dyDescent="0.65"/>
    <row r="718" spans="2:33" ht="15" customHeight="1" x14ac:dyDescent="0.65"/>
    <row r="719" spans="2:33" ht="15" customHeight="1" x14ac:dyDescent="0.65"/>
    <row r="720" spans="2:33" ht="15" customHeight="1" x14ac:dyDescent="0.65"/>
    <row r="721" ht="15" customHeight="1" x14ac:dyDescent="0.65"/>
    <row r="722" ht="15" customHeight="1" x14ac:dyDescent="0.65"/>
    <row r="723" ht="15" customHeight="1" x14ac:dyDescent="0.65"/>
    <row r="724" ht="15" customHeight="1" x14ac:dyDescent="0.65"/>
    <row r="725" ht="15" customHeight="1" x14ac:dyDescent="0.65"/>
    <row r="726" ht="15" customHeight="1" x14ac:dyDescent="0.65"/>
    <row r="727" ht="15" customHeight="1" x14ac:dyDescent="0.65"/>
    <row r="728" ht="15" customHeight="1" x14ac:dyDescent="0.65"/>
    <row r="729" ht="15" customHeight="1" x14ac:dyDescent="0.65"/>
    <row r="730" ht="15" customHeight="1" x14ac:dyDescent="0.65"/>
    <row r="731" ht="15" customHeight="1" x14ac:dyDescent="0.65"/>
    <row r="732" ht="15" customHeight="1" x14ac:dyDescent="0.65"/>
    <row r="733" ht="15" customHeight="1" x14ac:dyDescent="0.65"/>
    <row r="734" ht="15" customHeight="1" x14ac:dyDescent="0.65"/>
    <row r="735" ht="15" customHeight="1" x14ac:dyDescent="0.65"/>
    <row r="736" ht="15" customHeight="1" x14ac:dyDescent="0.65"/>
    <row r="737" ht="15" customHeight="1" x14ac:dyDescent="0.65"/>
    <row r="738" ht="15" customHeight="1" x14ac:dyDescent="0.65"/>
    <row r="739" ht="15" customHeight="1" x14ac:dyDescent="0.65"/>
    <row r="740" ht="15" customHeight="1" x14ac:dyDescent="0.65"/>
    <row r="741" ht="15" customHeight="1" x14ac:dyDescent="0.65"/>
    <row r="742" ht="15" customHeight="1" x14ac:dyDescent="0.65"/>
    <row r="743" ht="15" customHeight="1" x14ac:dyDescent="0.65"/>
    <row r="744" ht="15" customHeight="1" x14ac:dyDescent="0.65"/>
    <row r="745" ht="15" customHeight="1" x14ac:dyDescent="0.65"/>
    <row r="746" ht="15" customHeight="1" x14ac:dyDescent="0.65"/>
    <row r="747" ht="15" customHeight="1" x14ac:dyDescent="0.65"/>
    <row r="748" ht="15" customHeight="1" x14ac:dyDescent="0.65"/>
    <row r="749" ht="15" customHeight="1" x14ac:dyDescent="0.65"/>
    <row r="750" ht="15" customHeight="1" x14ac:dyDescent="0.65"/>
    <row r="751" ht="15" customHeight="1" x14ac:dyDescent="0.65"/>
    <row r="752" ht="15" customHeight="1" x14ac:dyDescent="0.65"/>
    <row r="753" ht="15" customHeight="1" x14ac:dyDescent="0.65"/>
    <row r="754" ht="15" customHeight="1" x14ac:dyDescent="0.65"/>
    <row r="755" ht="15" customHeight="1" x14ac:dyDescent="0.65"/>
    <row r="756" ht="15" customHeight="1" x14ac:dyDescent="0.65"/>
    <row r="757" ht="15" customHeight="1" x14ac:dyDescent="0.65"/>
    <row r="758" ht="15" customHeight="1" x14ac:dyDescent="0.65"/>
    <row r="759" ht="15" customHeight="1" x14ac:dyDescent="0.65"/>
    <row r="760" ht="15" customHeight="1" x14ac:dyDescent="0.65"/>
    <row r="761" ht="15" customHeight="1" x14ac:dyDescent="0.65"/>
    <row r="762" ht="15" customHeight="1" x14ac:dyDescent="0.65"/>
    <row r="763" ht="15" customHeight="1" x14ac:dyDescent="0.65"/>
    <row r="764" ht="15" customHeight="1" x14ac:dyDescent="0.65"/>
    <row r="765" ht="15" customHeight="1" x14ac:dyDescent="0.65"/>
    <row r="766" ht="15" customHeight="1" x14ac:dyDescent="0.65"/>
    <row r="767" ht="15" customHeight="1" x14ac:dyDescent="0.65"/>
    <row r="768" ht="15" customHeight="1" x14ac:dyDescent="0.65"/>
    <row r="769" ht="15" customHeight="1" x14ac:dyDescent="0.65"/>
    <row r="770" ht="15" customHeight="1" x14ac:dyDescent="0.65"/>
    <row r="771" ht="15" customHeight="1" x14ac:dyDescent="0.65"/>
    <row r="772" ht="15" customHeight="1" x14ac:dyDescent="0.65"/>
    <row r="773" ht="15" customHeight="1" x14ac:dyDescent="0.65"/>
    <row r="774" ht="15" customHeight="1" x14ac:dyDescent="0.65"/>
    <row r="775" ht="15" customHeight="1" x14ac:dyDescent="0.65"/>
    <row r="776" ht="15" customHeight="1" x14ac:dyDescent="0.65"/>
    <row r="777" ht="15" customHeight="1" x14ac:dyDescent="0.65"/>
    <row r="778" ht="15" customHeight="1" x14ac:dyDescent="0.65"/>
    <row r="779" ht="15" customHeight="1" x14ac:dyDescent="0.65"/>
    <row r="780" ht="15" customHeight="1" x14ac:dyDescent="0.65"/>
    <row r="781" ht="15" customHeight="1" x14ac:dyDescent="0.65"/>
    <row r="782" ht="15" customHeight="1" x14ac:dyDescent="0.65"/>
    <row r="783" ht="15" customHeight="1" x14ac:dyDescent="0.65"/>
    <row r="784" ht="15" customHeight="1" x14ac:dyDescent="0.65"/>
    <row r="785" ht="15" customHeight="1" x14ac:dyDescent="0.65"/>
    <row r="786" ht="15" customHeight="1" x14ac:dyDescent="0.65"/>
    <row r="787" ht="15" customHeight="1" x14ac:dyDescent="0.65"/>
    <row r="788" ht="15" customHeight="1" x14ac:dyDescent="0.65"/>
    <row r="789" ht="15" customHeight="1" x14ac:dyDescent="0.65"/>
    <row r="790" ht="15" customHeight="1" x14ac:dyDescent="0.65"/>
    <row r="791" ht="15" customHeight="1" x14ac:dyDescent="0.65"/>
    <row r="792" ht="15" customHeight="1" x14ac:dyDescent="0.65"/>
    <row r="793" ht="15" customHeight="1" x14ac:dyDescent="0.65"/>
    <row r="794" ht="15" customHeight="1" x14ac:dyDescent="0.65"/>
    <row r="795" ht="15" customHeight="1" x14ac:dyDescent="0.65"/>
    <row r="796" ht="15" customHeight="1" x14ac:dyDescent="0.65"/>
    <row r="797" ht="15" customHeight="1" x14ac:dyDescent="0.65"/>
    <row r="798" ht="15" customHeight="1" x14ac:dyDescent="0.65"/>
    <row r="799" ht="15" customHeight="1" x14ac:dyDescent="0.65"/>
    <row r="800" ht="15" customHeight="1" x14ac:dyDescent="0.65"/>
    <row r="801" ht="15" customHeight="1" x14ac:dyDescent="0.65"/>
    <row r="802" ht="15" customHeight="1" x14ac:dyDescent="0.65"/>
    <row r="803" ht="15" customHeight="1" x14ac:dyDescent="0.65"/>
    <row r="804" ht="15" customHeight="1" x14ac:dyDescent="0.65"/>
    <row r="805" ht="15" customHeight="1" x14ac:dyDescent="0.65"/>
    <row r="806" ht="15" customHeight="1" x14ac:dyDescent="0.65"/>
    <row r="807" ht="15" customHeight="1" x14ac:dyDescent="0.65"/>
    <row r="808" ht="15" customHeight="1" x14ac:dyDescent="0.65"/>
    <row r="809" ht="15" customHeight="1" x14ac:dyDescent="0.65"/>
    <row r="810" ht="15" customHeight="1" x14ac:dyDescent="0.65"/>
    <row r="811" ht="15" customHeight="1" x14ac:dyDescent="0.65"/>
    <row r="812" ht="15" customHeight="1" x14ac:dyDescent="0.65"/>
    <row r="813" ht="15" customHeight="1" x14ac:dyDescent="0.65"/>
    <row r="814" ht="15" customHeight="1" x14ac:dyDescent="0.65"/>
    <row r="815" ht="15" customHeight="1" x14ac:dyDescent="0.65"/>
    <row r="816" ht="15" customHeight="1" x14ac:dyDescent="0.65"/>
    <row r="817" ht="15" customHeight="1" x14ac:dyDescent="0.65"/>
    <row r="818" ht="15" customHeight="1" x14ac:dyDescent="0.65"/>
    <row r="819" ht="15" customHeight="1" x14ac:dyDescent="0.65"/>
    <row r="820" ht="15" customHeight="1" x14ac:dyDescent="0.65"/>
    <row r="821" ht="15" customHeight="1" x14ac:dyDescent="0.65"/>
    <row r="822" ht="15" customHeight="1" x14ac:dyDescent="0.65"/>
    <row r="823" ht="15" customHeight="1" x14ac:dyDescent="0.65"/>
    <row r="824" ht="15" customHeight="1" x14ac:dyDescent="0.65"/>
    <row r="825" ht="15" customHeight="1" x14ac:dyDescent="0.65"/>
    <row r="826" ht="15" customHeight="1" x14ac:dyDescent="0.65"/>
    <row r="827" ht="15" customHeight="1" x14ac:dyDescent="0.65"/>
    <row r="828" ht="15" customHeight="1" x14ac:dyDescent="0.65"/>
    <row r="829" ht="15" customHeight="1" x14ac:dyDescent="0.65"/>
    <row r="830" ht="15" customHeight="1" x14ac:dyDescent="0.65"/>
    <row r="831" ht="15" customHeight="1" x14ac:dyDescent="0.65"/>
    <row r="832" ht="15" customHeight="1" x14ac:dyDescent="0.65"/>
    <row r="833" ht="15" customHeight="1" x14ac:dyDescent="0.65"/>
    <row r="834" ht="15" customHeight="1" x14ac:dyDescent="0.65"/>
    <row r="835" ht="15" customHeight="1" x14ac:dyDescent="0.65"/>
    <row r="836" ht="15" customHeight="1" x14ac:dyDescent="0.65"/>
    <row r="837" ht="15" customHeight="1" x14ac:dyDescent="0.65"/>
    <row r="838" ht="15" customHeight="1" x14ac:dyDescent="0.65"/>
    <row r="839" ht="15" customHeight="1" x14ac:dyDescent="0.65"/>
    <row r="840" ht="15" customHeight="1" x14ac:dyDescent="0.65"/>
    <row r="841" ht="15" customHeight="1" x14ac:dyDescent="0.65"/>
    <row r="842" ht="15" customHeight="1" x14ac:dyDescent="0.65"/>
    <row r="843" ht="15" customHeight="1" x14ac:dyDescent="0.65"/>
    <row r="844" ht="15" customHeight="1" x14ac:dyDescent="0.65"/>
    <row r="845" ht="15" customHeight="1" x14ac:dyDescent="0.65"/>
    <row r="846" ht="15" customHeight="1" x14ac:dyDescent="0.65"/>
    <row r="847" ht="15" customHeight="1" x14ac:dyDescent="0.65"/>
    <row r="848" ht="15" customHeight="1" x14ac:dyDescent="0.65"/>
    <row r="849" ht="15" customHeight="1" x14ac:dyDescent="0.65"/>
    <row r="850" ht="15" customHeight="1" x14ac:dyDescent="0.65"/>
    <row r="851" ht="15" customHeight="1" x14ac:dyDescent="0.65"/>
    <row r="852" ht="15" customHeight="1" x14ac:dyDescent="0.65"/>
    <row r="853" ht="15" customHeight="1" x14ac:dyDescent="0.65"/>
    <row r="854" ht="15" customHeight="1" x14ac:dyDescent="0.65"/>
    <row r="855" ht="15" customHeight="1" x14ac:dyDescent="0.65"/>
    <row r="856" ht="15" customHeight="1" x14ac:dyDescent="0.65"/>
    <row r="857" ht="15" customHeight="1" x14ac:dyDescent="0.65"/>
    <row r="858" ht="15" customHeight="1" x14ac:dyDescent="0.65"/>
    <row r="859" ht="15" customHeight="1" x14ac:dyDescent="0.65"/>
    <row r="860" ht="15" customHeight="1" x14ac:dyDescent="0.65"/>
    <row r="861" ht="15" customHeight="1" x14ac:dyDescent="0.65"/>
    <row r="862" ht="15" customHeight="1" x14ac:dyDescent="0.65"/>
    <row r="863" ht="15" customHeight="1" x14ac:dyDescent="0.65"/>
    <row r="864" ht="15" customHeight="1" x14ac:dyDescent="0.65"/>
    <row r="865" ht="15" customHeight="1" x14ac:dyDescent="0.65"/>
    <row r="866" ht="15" customHeight="1" x14ac:dyDescent="0.65"/>
    <row r="867" ht="15" customHeight="1" x14ac:dyDescent="0.65"/>
    <row r="868" ht="15" customHeight="1" x14ac:dyDescent="0.65"/>
    <row r="869" ht="15" customHeight="1" x14ac:dyDescent="0.65"/>
    <row r="870" ht="15" customHeight="1" x14ac:dyDescent="0.65"/>
    <row r="871" ht="15" customHeight="1" x14ac:dyDescent="0.65"/>
    <row r="872" ht="15" customHeight="1" x14ac:dyDescent="0.65"/>
    <row r="873" ht="15" customHeight="1" x14ac:dyDescent="0.65"/>
    <row r="874" ht="15" customHeight="1" x14ac:dyDescent="0.65"/>
    <row r="875" ht="15" customHeight="1" x14ac:dyDescent="0.65"/>
    <row r="876" ht="15" customHeight="1" x14ac:dyDescent="0.65"/>
    <row r="877" ht="15" customHeight="1" x14ac:dyDescent="0.65"/>
    <row r="878" ht="15" customHeight="1" x14ac:dyDescent="0.65"/>
    <row r="879" ht="15" customHeight="1" x14ac:dyDescent="0.65"/>
    <row r="880" ht="15" customHeight="1" x14ac:dyDescent="0.65"/>
    <row r="881" spans="2:33" ht="15" customHeight="1" x14ac:dyDescent="0.65"/>
    <row r="882" spans="2:33" ht="15" customHeight="1" x14ac:dyDescent="0.65"/>
    <row r="883" spans="2:33" ht="15" customHeight="1" x14ac:dyDescent="0.65"/>
    <row r="884" spans="2:33" ht="15" customHeight="1" x14ac:dyDescent="0.65"/>
    <row r="885" spans="2:33" ht="15" customHeight="1" x14ac:dyDescent="0.65"/>
    <row r="886" spans="2:33" ht="15" customHeight="1" x14ac:dyDescent="0.65"/>
    <row r="887" spans="2:33" ht="15" customHeight="1" x14ac:dyDescent="0.65">
      <c r="B887" s="475"/>
      <c r="C887" s="475"/>
      <c r="D887" s="475"/>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c r="AA887" s="475"/>
      <c r="AB887" s="475"/>
      <c r="AC887" s="475"/>
      <c r="AD887" s="475"/>
      <c r="AE887" s="475"/>
      <c r="AF887" s="475"/>
      <c r="AG887" s="475"/>
    </row>
    <row r="888" spans="2:33" ht="15" customHeight="1" x14ac:dyDescent="0.65"/>
    <row r="889" spans="2:33" ht="15" customHeight="1" x14ac:dyDescent="0.65"/>
    <row r="890" spans="2:33" ht="15" customHeight="1" x14ac:dyDescent="0.65"/>
    <row r="891" spans="2:33" ht="15" customHeight="1" x14ac:dyDescent="0.65"/>
    <row r="892" spans="2:33" ht="15" customHeight="1" x14ac:dyDescent="0.65"/>
    <row r="893" spans="2:33" ht="15" customHeight="1" x14ac:dyDescent="0.65"/>
    <row r="894" spans="2:33" ht="15" customHeight="1" x14ac:dyDescent="0.65"/>
    <row r="895" spans="2:33" ht="15" customHeight="1" x14ac:dyDescent="0.65"/>
    <row r="896" spans="2:33" ht="15" customHeight="1" x14ac:dyDescent="0.65"/>
    <row r="897" ht="15" customHeight="1" x14ac:dyDescent="0.65"/>
    <row r="898" ht="15" customHeight="1" x14ac:dyDescent="0.65"/>
    <row r="899" ht="15" customHeight="1" x14ac:dyDescent="0.65"/>
    <row r="900" ht="15" customHeight="1" x14ac:dyDescent="0.65"/>
    <row r="901" ht="15" customHeight="1" x14ac:dyDescent="0.65"/>
    <row r="902" ht="15" customHeight="1" x14ac:dyDescent="0.65"/>
    <row r="903" ht="15" customHeight="1" x14ac:dyDescent="0.65"/>
    <row r="904" ht="15" customHeight="1" x14ac:dyDescent="0.65"/>
    <row r="905" ht="15" customHeight="1" x14ac:dyDescent="0.65"/>
    <row r="906" ht="15" customHeight="1" x14ac:dyDescent="0.65"/>
    <row r="907" ht="15" customHeight="1" x14ac:dyDescent="0.65"/>
    <row r="908" ht="15" customHeight="1" x14ac:dyDescent="0.65"/>
    <row r="909" ht="15" customHeight="1" x14ac:dyDescent="0.65"/>
    <row r="910" ht="15" customHeight="1" x14ac:dyDescent="0.65"/>
    <row r="911" ht="15" customHeight="1" x14ac:dyDescent="0.65"/>
    <row r="912" ht="15" customHeight="1" x14ac:dyDescent="0.65"/>
    <row r="913" ht="15" customHeight="1" x14ac:dyDescent="0.65"/>
    <row r="914" ht="15" customHeight="1" x14ac:dyDescent="0.65"/>
    <row r="915" ht="15" customHeight="1" x14ac:dyDescent="0.65"/>
    <row r="916" ht="15" customHeight="1" x14ac:dyDescent="0.65"/>
    <row r="917" ht="15" customHeight="1" x14ac:dyDescent="0.65"/>
    <row r="918" ht="15" customHeight="1" x14ac:dyDescent="0.65"/>
    <row r="919" ht="15" customHeight="1" x14ac:dyDescent="0.65"/>
    <row r="920" ht="15" customHeight="1" x14ac:dyDescent="0.65"/>
    <row r="921" ht="15" customHeight="1" x14ac:dyDescent="0.65"/>
    <row r="922" ht="15" customHeight="1" x14ac:dyDescent="0.65"/>
    <row r="923" ht="15" customHeight="1" x14ac:dyDescent="0.65"/>
    <row r="924" ht="15" customHeight="1" x14ac:dyDescent="0.65"/>
    <row r="925" ht="15" customHeight="1" x14ac:dyDescent="0.65"/>
    <row r="926" ht="15" customHeight="1" x14ac:dyDescent="0.65"/>
    <row r="927" ht="15" customHeight="1" x14ac:dyDescent="0.65"/>
    <row r="928" ht="15" customHeight="1" x14ac:dyDescent="0.65"/>
    <row r="929" ht="15" customHeight="1" x14ac:dyDescent="0.65"/>
    <row r="930" ht="15" customHeight="1" x14ac:dyDescent="0.65"/>
    <row r="931" ht="15" customHeight="1" x14ac:dyDescent="0.65"/>
    <row r="932" ht="15" customHeight="1" x14ac:dyDescent="0.65"/>
    <row r="933" ht="15" customHeight="1" x14ac:dyDescent="0.65"/>
    <row r="934" ht="15" customHeight="1" x14ac:dyDescent="0.65"/>
    <row r="935" ht="15" customHeight="1" x14ac:dyDescent="0.65"/>
    <row r="936" ht="15" customHeight="1" x14ac:dyDescent="0.65"/>
    <row r="937" ht="15" customHeight="1" x14ac:dyDescent="0.65"/>
    <row r="938" ht="15" customHeight="1" x14ac:dyDescent="0.65"/>
    <row r="939" ht="15" customHeight="1" x14ac:dyDescent="0.65"/>
    <row r="940" ht="15" customHeight="1" x14ac:dyDescent="0.65"/>
    <row r="941" ht="15" customHeight="1" x14ac:dyDescent="0.65"/>
    <row r="942" ht="15" customHeight="1" x14ac:dyDescent="0.65"/>
    <row r="943" ht="15" customHeight="1" x14ac:dyDescent="0.65"/>
    <row r="944" ht="15" customHeight="1" x14ac:dyDescent="0.65"/>
    <row r="945" ht="15" customHeight="1" x14ac:dyDescent="0.65"/>
    <row r="946" ht="15" customHeight="1" x14ac:dyDescent="0.65"/>
    <row r="947" ht="15" customHeight="1" x14ac:dyDescent="0.65"/>
    <row r="948" ht="15" customHeight="1" x14ac:dyDescent="0.65"/>
    <row r="949" ht="15" customHeight="1" x14ac:dyDescent="0.65"/>
    <row r="950" ht="15" customHeight="1" x14ac:dyDescent="0.65"/>
    <row r="951" ht="15" customHeight="1" x14ac:dyDescent="0.65"/>
    <row r="952" ht="15" customHeight="1" x14ac:dyDescent="0.65"/>
    <row r="953" ht="15" customHeight="1" x14ac:dyDescent="0.65"/>
    <row r="954" ht="15" customHeight="1" x14ac:dyDescent="0.65"/>
    <row r="955" ht="15" customHeight="1" x14ac:dyDescent="0.65"/>
    <row r="956" ht="15" customHeight="1" x14ac:dyDescent="0.65"/>
    <row r="957" ht="15" customHeight="1" x14ac:dyDescent="0.65"/>
    <row r="958" ht="15" customHeight="1" x14ac:dyDescent="0.65"/>
    <row r="959" ht="15" customHeight="1" x14ac:dyDescent="0.65"/>
    <row r="960" ht="15" customHeight="1" x14ac:dyDescent="0.65"/>
    <row r="961" ht="15" customHeight="1" x14ac:dyDescent="0.65"/>
    <row r="962" ht="15" customHeight="1" x14ac:dyDescent="0.65"/>
    <row r="963" ht="15" customHeight="1" x14ac:dyDescent="0.65"/>
    <row r="964" ht="15" customHeight="1" x14ac:dyDescent="0.65"/>
    <row r="965" ht="15" customHeight="1" x14ac:dyDescent="0.65"/>
    <row r="966" ht="15" customHeight="1" x14ac:dyDescent="0.65"/>
    <row r="967" ht="15" customHeight="1" x14ac:dyDescent="0.65"/>
    <row r="968" ht="15" customHeight="1" x14ac:dyDescent="0.65"/>
    <row r="969" ht="15" customHeight="1" x14ac:dyDescent="0.65"/>
    <row r="970" ht="15" customHeight="1" x14ac:dyDescent="0.65"/>
    <row r="971" ht="15" customHeight="1" x14ac:dyDescent="0.65"/>
    <row r="972" ht="15" customHeight="1" x14ac:dyDescent="0.65"/>
    <row r="973" ht="15" customHeight="1" x14ac:dyDescent="0.65"/>
    <row r="974" ht="15" customHeight="1" x14ac:dyDescent="0.65"/>
    <row r="975" ht="15" customHeight="1" x14ac:dyDescent="0.65"/>
    <row r="976" ht="15" customHeight="1" x14ac:dyDescent="0.65"/>
    <row r="977" ht="15" customHeight="1" x14ac:dyDescent="0.65"/>
    <row r="978" ht="15" customHeight="1" x14ac:dyDescent="0.65"/>
    <row r="979" ht="15" customHeight="1" x14ac:dyDescent="0.65"/>
    <row r="980" ht="15" customHeight="1" x14ac:dyDescent="0.65"/>
    <row r="981" ht="15" customHeight="1" x14ac:dyDescent="0.65"/>
    <row r="982" ht="15" customHeight="1" x14ac:dyDescent="0.65"/>
    <row r="983" ht="15" customHeight="1" x14ac:dyDescent="0.65"/>
    <row r="984" ht="15" customHeight="1" x14ac:dyDescent="0.65"/>
    <row r="985" ht="15" customHeight="1" x14ac:dyDescent="0.65"/>
    <row r="986" ht="15" customHeight="1" x14ac:dyDescent="0.65"/>
    <row r="987" ht="15" customHeight="1" x14ac:dyDescent="0.65"/>
    <row r="988" ht="15" customHeight="1" x14ac:dyDescent="0.65"/>
    <row r="989" ht="15" customHeight="1" x14ac:dyDescent="0.65"/>
    <row r="990" ht="15" customHeight="1" x14ac:dyDescent="0.65"/>
    <row r="991" ht="15" customHeight="1" x14ac:dyDescent="0.65"/>
    <row r="992" ht="15" customHeight="1" x14ac:dyDescent="0.65"/>
    <row r="993" ht="15" customHeight="1" x14ac:dyDescent="0.65"/>
    <row r="994" ht="15" customHeight="1" x14ac:dyDescent="0.65"/>
    <row r="995" ht="15" customHeight="1" x14ac:dyDescent="0.65"/>
    <row r="996" ht="15" customHeight="1" x14ac:dyDescent="0.65"/>
    <row r="997" ht="15" customHeight="1" x14ac:dyDescent="0.65"/>
    <row r="998" ht="15" customHeight="1" x14ac:dyDescent="0.65"/>
    <row r="999" ht="15" customHeight="1" x14ac:dyDescent="0.65"/>
    <row r="1000" ht="15" customHeight="1" x14ac:dyDescent="0.65"/>
    <row r="1001" ht="15" customHeight="1" x14ac:dyDescent="0.65"/>
    <row r="1002" ht="15" customHeight="1" x14ac:dyDescent="0.65"/>
    <row r="1003" ht="15" customHeight="1" x14ac:dyDescent="0.65"/>
    <row r="1004" ht="15" customHeight="1" x14ac:dyDescent="0.65"/>
    <row r="1005" ht="15" customHeight="1" x14ac:dyDescent="0.65"/>
    <row r="1006" ht="15" customHeight="1" x14ac:dyDescent="0.65"/>
    <row r="1007" ht="15" customHeight="1" x14ac:dyDescent="0.65"/>
    <row r="1008" ht="15" customHeight="1" x14ac:dyDescent="0.65"/>
    <row r="1009" ht="15" customHeight="1" x14ac:dyDescent="0.65"/>
    <row r="1010" ht="15" customHeight="1" x14ac:dyDescent="0.65"/>
    <row r="1011" ht="15" customHeight="1" x14ac:dyDescent="0.65"/>
    <row r="1012" ht="15" customHeight="1" x14ac:dyDescent="0.65"/>
    <row r="1013" ht="15" customHeight="1" x14ac:dyDescent="0.65"/>
    <row r="1014" ht="15" customHeight="1" x14ac:dyDescent="0.65"/>
    <row r="1015" ht="15" customHeight="1" x14ac:dyDescent="0.65"/>
    <row r="1016" ht="15" customHeight="1" x14ac:dyDescent="0.65"/>
    <row r="1017" ht="15" customHeight="1" x14ac:dyDescent="0.65"/>
    <row r="1018" ht="15" customHeight="1" x14ac:dyDescent="0.65"/>
    <row r="1019" ht="15" customHeight="1" x14ac:dyDescent="0.65"/>
    <row r="1020" ht="15" customHeight="1" x14ac:dyDescent="0.65"/>
    <row r="1021" ht="15" customHeight="1" x14ac:dyDescent="0.65"/>
    <row r="1022" ht="15" customHeight="1" x14ac:dyDescent="0.65"/>
    <row r="1023" ht="15" customHeight="1" x14ac:dyDescent="0.65"/>
    <row r="1024" ht="15" customHeight="1" x14ac:dyDescent="0.65"/>
    <row r="1025" ht="15" customHeight="1" x14ac:dyDescent="0.65"/>
    <row r="1026" ht="15" customHeight="1" x14ac:dyDescent="0.65"/>
    <row r="1027" ht="15" customHeight="1" x14ac:dyDescent="0.65"/>
    <row r="1028" ht="15" customHeight="1" x14ac:dyDescent="0.65"/>
    <row r="1029" ht="15" customHeight="1" x14ac:dyDescent="0.65"/>
    <row r="1030" ht="15" customHeight="1" x14ac:dyDescent="0.65"/>
    <row r="1031" ht="15" customHeight="1" x14ac:dyDescent="0.65"/>
    <row r="1032" ht="15" customHeight="1" x14ac:dyDescent="0.65"/>
    <row r="1033" ht="15" customHeight="1" x14ac:dyDescent="0.65"/>
    <row r="1034" ht="15" customHeight="1" x14ac:dyDescent="0.65"/>
    <row r="1035" ht="15" customHeight="1" x14ac:dyDescent="0.65"/>
    <row r="1036" ht="15" customHeight="1" x14ac:dyDescent="0.65"/>
    <row r="1037" ht="15" customHeight="1" x14ac:dyDescent="0.65"/>
    <row r="1038" ht="15" customHeight="1" x14ac:dyDescent="0.65"/>
    <row r="1039" ht="15" customHeight="1" x14ac:dyDescent="0.65"/>
    <row r="1040" ht="15" customHeight="1" x14ac:dyDescent="0.65"/>
    <row r="1041" ht="15" customHeight="1" x14ac:dyDescent="0.65"/>
    <row r="1042" ht="15" customHeight="1" x14ac:dyDescent="0.65"/>
    <row r="1043" ht="15" customHeight="1" x14ac:dyDescent="0.65"/>
    <row r="1044" ht="15" customHeight="1" x14ac:dyDescent="0.65"/>
    <row r="1045" ht="15" customHeight="1" x14ac:dyDescent="0.65"/>
    <row r="1046" ht="15" customHeight="1" x14ac:dyDescent="0.65"/>
    <row r="1047" ht="15" customHeight="1" x14ac:dyDescent="0.65"/>
    <row r="1048" ht="15" customHeight="1" x14ac:dyDescent="0.65"/>
    <row r="1049" ht="15" customHeight="1" x14ac:dyDescent="0.65"/>
    <row r="1050" ht="15" customHeight="1" x14ac:dyDescent="0.65"/>
    <row r="1051" ht="15" customHeight="1" x14ac:dyDescent="0.65"/>
    <row r="1052" ht="15" customHeight="1" x14ac:dyDescent="0.65"/>
    <row r="1053" ht="15" customHeight="1" x14ac:dyDescent="0.65"/>
    <row r="1054" ht="15" customHeight="1" x14ac:dyDescent="0.65"/>
    <row r="1055" ht="15" customHeight="1" x14ac:dyDescent="0.65"/>
    <row r="1056" ht="15" customHeight="1" x14ac:dyDescent="0.65"/>
    <row r="1057" ht="15" customHeight="1" x14ac:dyDescent="0.65"/>
    <row r="1058" ht="15" customHeight="1" x14ac:dyDescent="0.65"/>
    <row r="1059" ht="15" customHeight="1" x14ac:dyDescent="0.65"/>
    <row r="1060" ht="15" customHeight="1" x14ac:dyDescent="0.65"/>
    <row r="1061" ht="15" customHeight="1" x14ac:dyDescent="0.65"/>
    <row r="1062" ht="15" customHeight="1" x14ac:dyDescent="0.65"/>
    <row r="1063" ht="15" customHeight="1" x14ac:dyDescent="0.65"/>
    <row r="1064" ht="15" customHeight="1" x14ac:dyDescent="0.65"/>
    <row r="1065" ht="15" customHeight="1" x14ac:dyDescent="0.65"/>
    <row r="1066" ht="15" customHeight="1" x14ac:dyDescent="0.65"/>
    <row r="1067" ht="15" customHeight="1" x14ac:dyDescent="0.65"/>
    <row r="1068" ht="15" customHeight="1" x14ac:dyDescent="0.65"/>
    <row r="1069" ht="15" customHeight="1" x14ac:dyDescent="0.65"/>
    <row r="1070" ht="15" customHeight="1" x14ac:dyDescent="0.65"/>
    <row r="1071" ht="15" customHeight="1" x14ac:dyDescent="0.65"/>
    <row r="1072" ht="15" customHeight="1" x14ac:dyDescent="0.65"/>
    <row r="1073" ht="15" customHeight="1" x14ac:dyDescent="0.65"/>
    <row r="1074" ht="15" customHeight="1" x14ac:dyDescent="0.65"/>
    <row r="1075" ht="15" customHeight="1" x14ac:dyDescent="0.65"/>
    <row r="1076" ht="15" customHeight="1" x14ac:dyDescent="0.65"/>
    <row r="1077" ht="15" customHeight="1" x14ac:dyDescent="0.65"/>
    <row r="1078" ht="15" customHeight="1" x14ac:dyDescent="0.65"/>
    <row r="1079" ht="15" customHeight="1" x14ac:dyDescent="0.65"/>
    <row r="1080" ht="15" customHeight="1" x14ac:dyDescent="0.65"/>
    <row r="1081" ht="15" customHeight="1" x14ac:dyDescent="0.65"/>
    <row r="1082" ht="15" customHeight="1" x14ac:dyDescent="0.65"/>
    <row r="1083" ht="15" customHeight="1" x14ac:dyDescent="0.65"/>
    <row r="1084" ht="15" customHeight="1" x14ac:dyDescent="0.65"/>
    <row r="1085" ht="15" customHeight="1" x14ac:dyDescent="0.65"/>
    <row r="1086" ht="15" customHeight="1" x14ac:dyDescent="0.65"/>
    <row r="1087" ht="15" customHeight="1" x14ac:dyDescent="0.65"/>
    <row r="1088" ht="15" customHeight="1" x14ac:dyDescent="0.65"/>
    <row r="1089" spans="2:33" ht="15" customHeight="1" x14ac:dyDescent="0.65"/>
    <row r="1090" spans="2:33" ht="15" customHeight="1" x14ac:dyDescent="0.65"/>
    <row r="1091" spans="2:33" ht="15" customHeight="1" x14ac:dyDescent="0.65"/>
    <row r="1092" spans="2:33" ht="15" customHeight="1" x14ac:dyDescent="0.65"/>
    <row r="1093" spans="2:33" ht="15" customHeight="1" x14ac:dyDescent="0.65"/>
    <row r="1094" spans="2:33" ht="15" customHeight="1" x14ac:dyDescent="0.65"/>
    <row r="1095" spans="2:33" ht="15" customHeight="1" x14ac:dyDescent="0.65"/>
    <row r="1096" spans="2:33" ht="15" customHeight="1" x14ac:dyDescent="0.65"/>
    <row r="1097" spans="2:33" ht="15" customHeight="1" x14ac:dyDescent="0.65"/>
    <row r="1098" spans="2:33" ht="15" customHeight="1" x14ac:dyDescent="0.65"/>
    <row r="1099" spans="2:33" ht="15" customHeight="1" x14ac:dyDescent="0.65"/>
    <row r="1100" spans="2:33" ht="15" customHeight="1" x14ac:dyDescent="0.65">
      <c r="B1100" s="475"/>
      <c r="C1100" s="475"/>
      <c r="D1100" s="475"/>
      <c r="E1100" s="475"/>
      <c r="F1100" s="475"/>
      <c r="G1100" s="475"/>
      <c r="H1100" s="475"/>
      <c r="I1100" s="475"/>
      <c r="J1100" s="475"/>
      <c r="K1100" s="475"/>
      <c r="L1100" s="475"/>
      <c r="M1100" s="475"/>
      <c r="N1100" s="475"/>
      <c r="O1100" s="475"/>
      <c r="P1100" s="475"/>
      <c r="Q1100" s="475"/>
      <c r="R1100" s="475"/>
      <c r="S1100" s="475"/>
      <c r="T1100" s="475"/>
      <c r="U1100" s="475"/>
      <c r="V1100" s="475"/>
      <c r="W1100" s="475"/>
      <c r="X1100" s="475"/>
      <c r="Y1100" s="475"/>
      <c r="Z1100" s="475"/>
      <c r="AA1100" s="475"/>
      <c r="AB1100" s="475"/>
      <c r="AC1100" s="475"/>
      <c r="AD1100" s="475"/>
      <c r="AE1100" s="475"/>
      <c r="AF1100" s="475"/>
      <c r="AG1100" s="475"/>
    </row>
    <row r="1101" spans="2:33" ht="15" customHeight="1" x14ac:dyDescent="0.65"/>
    <row r="1102" spans="2:33" ht="15" customHeight="1" x14ac:dyDescent="0.65"/>
    <row r="1103" spans="2:33" ht="15" customHeight="1" x14ac:dyDescent="0.65"/>
    <row r="1104" spans="2:33" ht="15" customHeight="1" x14ac:dyDescent="0.65"/>
    <row r="1105" ht="15" customHeight="1" x14ac:dyDescent="0.65"/>
    <row r="1106" ht="15" customHeight="1" x14ac:dyDescent="0.65"/>
    <row r="1107" ht="15" customHeight="1" x14ac:dyDescent="0.65"/>
    <row r="1108" ht="15" customHeight="1" x14ac:dyDescent="0.65"/>
    <row r="1109" ht="15" customHeight="1" x14ac:dyDescent="0.65"/>
    <row r="1110" ht="15" customHeight="1" x14ac:dyDescent="0.65"/>
    <row r="1111" ht="15" customHeight="1" x14ac:dyDescent="0.65"/>
    <row r="1112" ht="15" customHeight="1" x14ac:dyDescent="0.65"/>
    <row r="1113" ht="15" customHeight="1" x14ac:dyDescent="0.65"/>
    <row r="1114" ht="15" customHeight="1" x14ac:dyDescent="0.65"/>
    <row r="1115" ht="15" customHeight="1" x14ac:dyDescent="0.65"/>
    <row r="1116" ht="15" customHeight="1" x14ac:dyDescent="0.65"/>
    <row r="1117" ht="15" customHeight="1" x14ac:dyDescent="0.65"/>
    <row r="1118" ht="15" customHeight="1" x14ac:dyDescent="0.65"/>
    <row r="1119" ht="15" customHeight="1" x14ac:dyDescent="0.65"/>
    <row r="1120" ht="15" customHeight="1" x14ac:dyDescent="0.65"/>
    <row r="1121" ht="15" customHeight="1" x14ac:dyDescent="0.65"/>
    <row r="1122" ht="15" customHeight="1" x14ac:dyDescent="0.65"/>
    <row r="1123" ht="15" customHeight="1" x14ac:dyDescent="0.65"/>
    <row r="1124" ht="15" customHeight="1" x14ac:dyDescent="0.65"/>
    <row r="1125" ht="15" customHeight="1" x14ac:dyDescent="0.65"/>
    <row r="1126" ht="15" customHeight="1" x14ac:dyDescent="0.65"/>
    <row r="1127" ht="15" customHeight="1" x14ac:dyDescent="0.65"/>
    <row r="1128" ht="15" customHeight="1" x14ac:dyDescent="0.65"/>
    <row r="1129" ht="15" customHeight="1" x14ac:dyDescent="0.65"/>
    <row r="1130" ht="15" customHeight="1" x14ac:dyDescent="0.65"/>
    <row r="1131" ht="15" customHeight="1" x14ac:dyDescent="0.65"/>
    <row r="1132" ht="15" customHeight="1" x14ac:dyDescent="0.65"/>
    <row r="1133" ht="15" customHeight="1" x14ac:dyDescent="0.65"/>
    <row r="1134" ht="15" customHeight="1" x14ac:dyDescent="0.65"/>
    <row r="1135" ht="15" customHeight="1" x14ac:dyDescent="0.65"/>
    <row r="1136" ht="15" customHeight="1" x14ac:dyDescent="0.65"/>
    <row r="1137" ht="15" customHeight="1" x14ac:dyDescent="0.65"/>
    <row r="1138" ht="15" customHeight="1" x14ac:dyDescent="0.65"/>
    <row r="1139" ht="15" customHeight="1" x14ac:dyDescent="0.65"/>
    <row r="1140" ht="15" customHeight="1" x14ac:dyDescent="0.65"/>
    <row r="1141" ht="15" customHeight="1" x14ac:dyDescent="0.65"/>
    <row r="1142" ht="15" customHeight="1" x14ac:dyDescent="0.65"/>
    <row r="1143" ht="15" customHeight="1" x14ac:dyDescent="0.65"/>
    <row r="1144" ht="15" customHeight="1" x14ac:dyDescent="0.65"/>
    <row r="1145" ht="15" customHeight="1" x14ac:dyDescent="0.65"/>
    <row r="1146" ht="15" customHeight="1" x14ac:dyDescent="0.65"/>
    <row r="1147" ht="15" customHeight="1" x14ac:dyDescent="0.65"/>
    <row r="1148" ht="15" customHeight="1" x14ac:dyDescent="0.65"/>
    <row r="1149" ht="15" customHeight="1" x14ac:dyDescent="0.65"/>
    <row r="1150" ht="15" customHeight="1" x14ac:dyDescent="0.65"/>
    <row r="1151" ht="15" customHeight="1" x14ac:dyDescent="0.65"/>
    <row r="1152" ht="15" customHeight="1" x14ac:dyDescent="0.65"/>
    <row r="1153" ht="15" customHeight="1" x14ac:dyDescent="0.65"/>
    <row r="1154" ht="15" customHeight="1" x14ac:dyDescent="0.65"/>
    <row r="1155" ht="15" customHeight="1" x14ac:dyDescent="0.65"/>
    <row r="1156" ht="15" customHeight="1" x14ac:dyDescent="0.65"/>
    <row r="1157" ht="15" customHeight="1" x14ac:dyDescent="0.65"/>
    <row r="1158" ht="15" customHeight="1" x14ac:dyDescent="0.65"/>
    <row r="1159" ht="15" customHeight="1" x14ac:dyDescent="0.65"/>
    <row r="1160" ht="15" customHeight="1" x14ac:dyDescent="0.65"/>
    <row r="1161" ht="15" customHeight="1" x14ac:dyDescent="0.65"/>
    <row r="1162" ht="15" customHeight="1" x14ac:dyDescent="0.65"/>
    <row r="1163" ht="15" customHeight="1" x14ac:dyDescent="0.65"/>
    <row r="1164" ht="15" customHeight="1" x14ac:dyDescent="0.65"/>
    <row r="1165" ht="15" customHeight="1" x14ac:dyDescent="0.65"/>
    <row r="1166" ht="15" customHeight="1" x14ac:dyDescent="0.65"/>
    <row r="1167" ht="15" customHeight="1" x14ac:dyDescent="0.65"/>
    <row r="1168" ht="15" customHeight="1" x14ac:dyDescent="0.65"/>
    <row r="1169" ht="15" customHeight="1" x14ac:dyDescent="0.65"/>
    <row r="1170" ht="15" customHeight="1" x14ac:dyDescent="0.65"/>
    <row r="1171" ht="15" customHeight="1" x14ac:dyDescent="0.65"/>
    <row r="1172" ht="15" customHeight="1" x14ac:dyDescent="0.65"/>
    <row r="1173" ht="15" customHeight="1" x14ac:dyDescent="0.65"/>
    <row r="1174" ht="15" customHeight="1" x14ac:dyDescent="0.65"/>
    <row r="1175" ht="15" customHeight="1" x14ac:dyDescent="0.65"/>
    <row r="1176" ht="15" customHeight="1" x14ac:dyDescent="0.65"/>
    <row r="1177" ht="15" customHeight="1" x14ac:dyDescent="0.65"/>
    <row r="1178" ht="15" customHeight="1" x14ac:dyDescent="0.65"/>
    <row r="1179" ht="15" customHeight="1" x14ac:dyDescent="0.65"/>
    <row r="1180" ht="15" customHeight="1" x14ac:dyDescent="0.65"/>
    <row r="1181" ht="15" customHeight="1" x14ac:dyDescent="0.65"/>
    <row r="1182" ht="15" customHeight="1" x14ac:dyDescent="0.65"/>
    <row r="1183" ht="15" customHeight="1" x14ac:dyDescent="0.65"/>
    <row r="1184" ht="15" customHeight="1" x14ac:dyDescent="0.65"/>
    <row r="1185" ht="15" customHeight="1" x14ac:dyDescent="0.65"/>
    <row r="1186" ht="15" customHeight="1" x14ac:dyDescent="0.65"/>
    <row r="1187" ht="15" customHeight="1" x14ac:dyDescent="0.65"/>
    <row r="1188" ht="15" customHeight="1" x14ac:dyDescent="0.65"/>
    <row r="1189" ht="15" customHeight="1" x14ac:dyDescent="0.65"/>
    <row r="1190" ht="15" customHeight="1" x14ac:dyDescent="0.65"/>
    <row r="1191" ht="15" customHeight="1" x14ac:dyDescent="0.65"/>
    <row r="1192" ht="15" customHeight="1" x14ac:dyDescent="0.65"/>
    <row r="1193" ht="15" customHeight="1" x14ac:dyDescent="0.65"/>
    <row r="1194" ht="15" customHeight="1" x14ac:dyDescent="0.65"/>
    <row r="1195" ht="15" customHeight="1" x14ac:dyDescent="0.65"/>
    <row r="1196" ht="15" customHeight="1" x14ac:dyDescent="0.65"/>
    <row r="1197" ht="15" customHeight="1" x14ac:dyDescent="0.65"/>
    <row r="1198" ht="15" customHeight="1" x14ac:dyDescent="0.65"/>
    <row r="1199" ht="15" customHeight="1" x14ac:dyDescent="0.65"/>
    <row r="1200" ht="15" customHeight="1" x14ac:dyDescent="0.65"/>
    <row r="1201" ht="15" customHeight="1" x14ac:dyDescent="0.65"/>
    <row r="1202" ht="15" customHeight="1" x14ac:dyDescent="0.65"/>
    <row r="1203" ht="15" customHeight="1" x14ac:dyDescent="0.65"/>
    <row r="1204" ht="15" customHeight="1" x14ac:dyDescent="0.65"/>
    <row r="1205" ht="15" customHeight="1" x14ac:dyDescent="0.65"/>
    <row r="1206" ht="15" customHeight="1" x14ac:dyDescent="0.65"/>
    <row r="1207" ht="15" customHeight="1" x14ac:dyDescent="0.65"/>
    <row r="1208" ht="15" customHeight="1" x14ac:dyDescent="0.65"/>
    <row r="1209" ht="15" customHeight="1" x14ac:dyDescent="0.65"/>
    <row r="1210" ht="15" customHeight="1" x14ac:dyDescent="0.65"/>
    <row r="1211" ht="15" customHeight="1" x14ac:dyDescent="0.65"/>
    <row r="1212" ht="15" customHeight="1" x14ac:dyDescent="0.65"/>
    <row r="1213" ht="15" customHeight="1" x14ac:dyDescent="0.65"/>
    <row r="1214" ht="15" customHeight="1" x14ac:dyDescent="0.65"/>
    <row r="1215" ht="15" customHeight="1" x14ac:dyDescent="0.65"/>
    <row r="1216" ht="15" customHeight="1" x14ac:dyDescent="0.65"/>
    <row r="1217" spans="2:33" ht="15" customHeight="1" x14ac:dyDescent="0.65"/>
    <row r="1218" spans="2:33" ht="15" customHeight="1" x14ac:dyDescent="0.65"/>
    <row r="1219" spans="2:33" ht="15" customHeight="1" x14ac:dyDescent="0.65"/>
    <row r="1220" spans="2:33" ht="15" customHeight="1" x14ac:dyDescent="0.65"/>
    <row r="1221" spans="2:33" ht="15" customHeight="1" x14ac:dyDescent="0.65"/>
    <row r="1222" spans="2:33" ht="15" customHeight="1" x14ac:dyDescent="0.65"/>
    <row r="1223" spans="2:33" ht="15" customHeight="1" x14ac:dyDescent="0.65"/>
    <row r="1224" spans="2:33" ht="15" customHeight="1" x14ac:dyDescent="0.65"/>
    <row r="1225" spans="2:33" ht="15" customHeight="1" x14ac:dyDescent="0.65"/>
    <row r="1226" spans="2:33" ht="15" customHeight="1" x14ac:dyDescent="0.65"/>
    <row r="1227" spans="2:33" ht="15" customHeight="1" x14ac:dyDescent="0.65">
      <c r="B1227" s="475"/>
      <c r="C1227" s="475"/>
      <c r="D1227" s="475"/>
      <c r="E1227" s="475"/>
      <c r="F1227" s="475"/>
      <c r="G1227" s="475"/>
      <c r="H1227" s="475"/>
      <c r="I1227" s="475"/>
      <c r="J1227" s="475"/>
      <c r="K1227" s="475"/>
      <c r="L1227" s="475"/>
      <c r="M1227" s="475"/>
      <c r="N1227" s="475"/>
      <c r="O1227" s="475"/>
      <c r="P1227" s="475"/>
      <c r="Q1227" s="475"/>
      <c r="R1227" s="475"/>
      <c r="S1227" s="475"/>
      <c r="T1227" s="475"/>
      <c r="U1227" s="475"/>
      <c r="V1227" s="475"/>
      <c r="W1227" s="475"/>
      <c r="X1227" s="475"/>
      <c r="Y1227" s="475"/>
      <c r="Z1227" s="475"/>
      <c r="AA1227" s="475"/>
      <c r="AB1227" s="475"/>
      <c r="AC1227" s="475"/>
      <c r="AD1227" s="475"/>
      <c r="AE1227" s="475"/>
      <c r="AF1227" s="475"/>
      <c r="AG1227" s="475"/>
    </row>
    <row r="1228" spans="2:33" ht="15" customHeight="1" x14ac:dyDescent="0.65"/>
    <row r="1229" spans="2:33" ht="15" customHeight="1" x14ac:dyDescent="0.65"/>
    <row r="1230" spans="2:33" ht="15" customHeight="1" x14ac:dyDescent="0.65"/>
    <row r="1231" spans="2:33" ht="15" customHeight="1" x14ac:dyDescent="0.65"/>
    <row r="1232" spans="2:33" ht="15" customHeight="1" x14ac:dyDescent="0.65"/>
    <row r="1233" ht="15" customHeight="1" x14ac:dyDescent="0.65"/>
    <row r="1234" ht="15" customHeight="1" x14ac:dyDescent="0.65"/>
    <row r="1235" ht="15" customHeight="1" x14ac:dyDescent="0.65"/>
    <row r="1236" ht="15" customHeight="1" x14ac:dyDescent="0.65"/>
    <row r="1237" ht="15" customHeight="1" x14ac:dyDescent="0.65"/>
    <row r="1238" ht="15" customHeight="1" x14ac:dyDescent="0.65"/>
    <row r="1239" ht="15" customHeight="1" x14ac:dyDescent="0.65"/>
    <row r="1240" ht="15" customHeight="1" x14ac:dyDescent="0.65"/>
    <row r="1241" ht="15" customHeight="1" x14ac:dyDescent="0.65"/>
    <row r="1242" ht="15" customHeight="1" x14ac:dyDescent="0.65"/>
    <row r="1243" ht="15" customHeight="1" x14ac:dyDescent="0.65"/>
    <row r="1244" ht="15" customHeight="1" x14ac:dyDescent="0.65"/>
    <row r="1245" ht="15" customHeight="1" x14ac:dyDescent="0.65"/>
    <row r="1246" ht="15" customHeight="1" x14ac:dyDescent="0.65"/>
    <row r="1247" ht="15" customHeight="1" x14ac:dyDescent="0.65"/>
    <row r="1248" ht="15" customHeight="1" x14ac:dyDescent="0.65"/>
    <row r="1249" ht="15" customHeight="1" x14ac:dyDescent="0.65"/>
    <row r="1250" ht="15" customHeight="1" x14ac:dyDescent="0.65"/>
    <row r="1251" ht="15" customHeight="1" x14ac:dyDescent="0.65"/>
    <row r="1252" ht="15" customHeight="1" x14ac:dyDescent="0.65"/>
    <row r="1253" ht="15" customHeight="1" x14ac:dyDescent="0.65"/>
    <row r="1254" ht="15" customHeight="1" x14ac:dyDescent="0.65"/>
    <row r="1255" ht="15" customHeight="1" x14ac:dyDescent="0.65"/>
    <row r="1256" ht="15" customHeight="1" x14ac:dyDescent="0.65"/>
    <row r="1257" ht="15" customHeight="1" x14ac:dyDescent="0.65"/>
    <row r="1258" ht="15" customHeight="1" x14ac:dyDescent="0.65"/>
    <row r="1259" ht="15" customHeight="1" x14ac:dyDescent="0.65"/>
    <row r="1260" ht="15" customHeight="1" x14ac:dyDescent="0.65"/>
    <row r="1261" ht="15" customHeight="1" x14ac:dyDescent="0.65"/>
    <row r="1262" ht="15" customHeight="1" x14ac:dyDescent="0.65"/>
    <row r="1263" ht="15" customHeight="1" x14ac:dyDescent="0.65"/>
    <row r="1264" ht="15" customHeight="1" x14ac:dyDescent="0.65"/>
    <row r="1265" ht="15" customHeight="1" x14ac:dyDescent="0.65"/>
    <row r="1266" ht="15" customHeight="1" x14ac:dyDescent="0.65"/>
    <row r="1267" ht="15" customHeight="1" x14ac:dyDescent="0.65"/>
    <row r="1268" ht="15" customHeight="1" x14ac:dyDescent="0.65"/>
    <row r="1269" ht="15" customHeight="1" x14ac:dyDescent="0.65"/>
    <row r="1270" ht="15" customHeight="1" x14ac:dyDescent="0.65"/>
    <row r="1271" ht="15" customHeight="1" x14ac:dyDescent="0.65"/>
    <row r="1272" ht="15" customHeight="1" x14ac:dyDescent="0.65"/>
    <row r="1273" ht="15" customHeight="1" x14ac:dyDescent="0.65"/>
    <row r="1274" ht="15" customHeight="1" x14ac:dyDescent="0.65"/>
    <row r="1275" ht="15" customHeight="1" x14ac:dyDescent="0.65"/>
    <row r="1276" ht="15" customHeight="1" x14ac:dyDescent="0.65"/>
    <row r="1277" ht="15" customHeight="1" x14ac:dyDescent="0.65"/>
    <row r="1278" ht="15" customHeight="1" x14ac:dyDescent="0.65"/>
    <row r="1279" ht="15" customHeight="1" x14ac:dyDescent="0.65"/>
    <row r="1280" ht="15" customHeight="1" x14ac:dyDescent="0.65"/>
    <row r="1281" ht="15" customHeight="1" x14ac:dyDescent="0.65"/>
    <row r="1282" ht="15" customHeight="1" x14ac:dyDescent="0.65"/>
    <row r="1283" ht="15" customHeight="1" x14ac:dyDescent="0.65"/>
    <row r="1284" ht="15" customHeight="1" x14ac:dyDescent="0.65"/>
    <row r="1285" ht="15" customHeight="1" x14ac:dyDescent="0.65"/>
    <row r="1286" ht="15" customHeight="1" x14ac:dyDescent="0.65"/>
    <row r="1287" ht="15" customHeight="1" x14ac:dyDescent="0.65"/>
    <row r="1288" ht="15" customHeight="1" x14ac:dyDescent="0.65"/>
    <row r="1289" ht="15" customHeight="1" x14ac:dyDescent="0.65"/>
    <row r="1290" ht="15" customHeight="1" x14ac:dyDescent="0.65"/>
    <row r="1291" ht="15" customHeight="1" x14ac:dyDescent="0.65"/>
    <row r="1292" ht="15" customHeight="1" x14ac:dyDescent="0.65"/>
    <row r="1293" ht="15" customHeight="1" x14ac:dyDescent="0.65"/>
    <row r="1294" ht="15" customHeight="1" x14ac:dyDescent="0.65"/>
    <row r="1295" ht="15" customHeight="1" x14ac:dyDescent="0.65"/>
    <row r="1296" ht="15" customHeight="1" x14ac:dyDescent="0.65"/>
    <row r="1297" ht="15" customHeight="1" x14ac:dyDescent="0.65"/>
    <row r="1298" ht="15" customHeight="1" x14ac:dyDescent="0.65"/>
    <row r="1299" ht="15" customHeight="1" x14ac:dyDescent="0.65"/>
    <row r="1300" ht="15" customHeight="1" x14ac:dyDescent="0.65"/>
    <row r="1301" ht="15" customHeight="1" x14ac:dyDescent="0.65"/>
    <row r="1302" ht="15" customHeight="1" x14ac:dyDescent="0.65"/>
    <row r="1303" ht="15" customHeight="1" x14ac:dyDescent="0.65"/>
    <row r="1304" ht="15" customHeight="1" x14ac:dyDescent="0.65"/>
    <row r="1305" ht="15" customHeight="1" x14ac:dyDescent="0.65"/>
    <row r="1306" ht="15" customHeight="1" x14ac:dyDescent="0.65"/>
    <row r="1307" ht="15" customHeight="1" x14ac:dyDescent="0.65"/>
    <row r="1308" ht="15" customHeight="1" x14ac:dyDescent="0.65"/>
    <row r="1309" ht="15" customHeight="1" x14ac:dyDescent="0.65"/>
    <row r="1310" ht="15" customHeight="1" x14ac:dyDescent="0.65"/>
    <row r="1311" ht="15" customHeight="1" x14ac:dyDescent="0.65"/>
    <row r="1312" ht="15" customHeight="1" x14ac:dyDescent="0.65"/>
    <row r="1313" ht="15" customHeight="1" x14ac:dyDescent="0.65"/>
    <row r="1314" ht="15" customHeight="1" x14ac:dyDescent="0.65"/>
    <row r="1315" ht="15" customHeight="1" x14ac:dyDescent="0.65"/>
    <row r="1316" ht="15" customHeight="1" x14ac:dyDescent="0.65"/>
    <row r="1317" ht="15" customHeight="1" x14ac:dyDescent="0.65"/>
    <row r="1318" ht="15" customHeight="1" x14ac:dyDescent="0.65"/>
    <row r="1319" ht="15" customHeight="1" x14ac:dyDescent="0.65"/>
    <row r="1320" ht="15" customHeight="1" x14ac:dyDescent="0.65"/>
    <row r="1321" ht="15" customHeight="1" x14ac:dyDescent="0.65"/>
    <row r="1322" ht="15" customHeight="1" x14ac:dyDescent="0.65"/>
    <row r="1323" ht="15" customHeight="1" x14ac:dyDescent="0.65"/>
    <row r="1324" ht="15" customHeight="1" x14ac:dyDescent="0.65"/>
    <row r="1325" ht="15" customHeight="1" x14ac:dyDescent="0.65"/>
    <row r="1326" ht="15" customHeight="1" x14ac:dyDescent="0.65"/>
    <row r="1327" ht="15" customHeight="1" x14ac:dyDescent="0.65"/>
    <row r="1328" ht="15" customHeight="1" x14ac:dyDescent="0.65"/>
    <row r="1329" ht="15" customHeight="1" x14ac:dyDescent="0.65"/>
    <row r="1330" ht="15" customHeight="1" x14ac:dyDescent="0.65"/>
    <row r="1331" ht="15" customHeight="1" x14ac:dyDescent="0.65"/>
    <row r="1332" ht="15" customHeight="1" x14ac:dyDescent="0.65"/>
    <row r="1333" ht="15" customHeight="1" x14ac:dyDescent="0.65"/>
    <row r="1334" ht="15" customHeight="1" x14ac:dyDescent="0.65"/>
    <row r="1335" ht="15" customHeight="1" x14ac:dyDescent="0.65"/>
    <row r="1336" ht="15" customHeight="1" x14ac:dyDescent="0.65"/>
    <row r="1337" ht="15" customHeight="1" x14ac:dyDescent="0.65"/>
    <row r="1338" ht="15" customHeight="1" x14ac:dyDescent="0.65"/>
    <row r="1339" ht="15" customHeight="1" x14ac:dyDescent="0.65"/>
    <row r="1340" ht="15" customHeight="1" x14ac:dyDescent="0.65"/>
    <row r="1341" ht="15" customHeight="1" x14ac:dyDescent="0.65"/>
    <row r="1342" ht="15" customHeight="1" x14ac:dyDescent="0.65"/>
    <row r="1343" ht="15" customHeight="1" x14ac:dyDescent="0.65"/>
    <row r="1344" ht="15" customHeight="1" x14ac:dyDescent="0.65"/>
    <row r="1345" ht="15" customHeight="1" x14ac:dyDescent="0.65"/>
    <row r="1346" ht="15" customHeight="1" x14ac:dyDescent="0.65"/>
    <row r="1347" ht="15" customHeight="1" x14ac:dyDescent="0.65"/>
    <row r="1348" ht="15" customHeight="1" x14ac:dyDescent="0.65"/>
    <row r="1349" ht="15" customHeight="1" x14ac:dyDescent="0.65"/>
    <row r="1350" ht="15" customHeight="1" x14ac:dyDescent="0.65"/>
    <row r="1351" ht="15" customHeight="1" x14ac:dyDescent="0.65"/>
    <row r="1352" ht="15" customHeight="1" x14ac:dyDescent="0.65"/>
    <row r="1353" ht="15" customHeight="1" x14ac:dyDescent="0.65"/>
    <row r="1354" ht="15" customHeight="1" x14ac:dyDescent="0.65"/>
    <row r="1355" ht="15" customHeight="1" x14ac:dyDescent="0.65"/>
    <row r="1356" ht="15" customHeight="1" x14ac:dyDescent="0.65"/>
    <row r="1357" ht="15" customHeight="1" x14ac:dyDescent="0.65"/>
    <row r="1358" ht="15" customHeight="1" x14ac:dyDescent="0.65"/>
    <row r="1359" ht="15" customHeight="1" x14ac:dyDescent="0.65"/>
    <row r="1360" ht="15" customHeight="1" x14ac:dyDescent="0.65"/>
    <row r="1361" ht="15" customHeight="1" x14ac:dyDescent="0.65"/>
    <row r="1362" ht="15" customHeight="1" x14ac:dyDescent="0.65"/>
    <row r="1363" ht="15" customHeight="1" x14ac:dyDescent="0.65"/>
    <row r="1364" ht="15" customHeight="1" x14ac:dyDescent="0.65"/>
    <row r="1365" ht="15" customHeight="1" x14ac:dyDescent="0.65"/>
    <row r="1366" ht="15" customHeight="1" x14ac:dyDescent="0.65"/>
    <row r="1367" ht="15" customHeight="1" x14ac:dyDescent="0.65"/>
    <row r="1368" ht="15" customHeight="1" x14ac:dyDescent="0.65"/>
    <row r="1369" ht="15" customHeight="1" x14ac:dyDescent="0.65"/>
    <row r="1370" ht="15" customHeight="1" x14ac:dyDescent="0.65"/>
    <row r="1371" ht="15" customHeight="1" x14ac:dyDescent="0.65"/>
    <row r="1372" ht="15" customHeight="1" x14ac:dyDescent="0.65"/>
    <row r="1373" ht="15" customHeight="1" x14ac:dyDescent="0.65"/>
    <row r="1374" ht="15" customHeight="1" x14ac:dyDescent="0.65"/>
    <row r="1375" ht="15" customHeight="1" x14ac:dyDescent="0.65"/>
    <row r="1376" ht="15" customHeight="1" x14ac:dyDescent="0.65"/>
    <row r="1377" spans="2:33" ht="15" customHeight="1" x14ac:dyDescent="0.65"/>
    <row r="1378" spans="2:33" ht="15" customHeight="1" x14ac:dyDescent="0.65"/>
    <row r="1379" spans="2:33" ht="15" customHeight="1" x14ac:dyDescent="0.65"/>
    <row r="1380" spans="2:33" ht="15" customHeight="1" x14ac:dyDescent="0.65"/>
    <row r="1381" spans="2:33" ht="15" customHeight="1" x14ac:dyDescent="0.65"/>
    <row r="1382" spans="2:33" ht="15" customHeight="1" x14ac:dyDescent="0.65"/>
    <row r="1383" spans="2:33" ht="15" customHeight="1" x14ac:dyDescent="0.65"/>
    <row r="1384" spans="2:33" ht="15" customHeight="1" x14ac:dyDescent="0.65"/>
    <row r="1385" spans="2:33" ht="15" customHeight="1" x14ac:dyDescent="0.65"/>
    <row r="1386" spans="2:33" ht="15" customHeight="1" x14ac:dyDescent="0.65"/>
    <row r="1387" spans="2:33" ht="15" customHeight="1" x14ac:dyDescent="0.65"/>
    <row r="1388" spans="2:33" ht="15" customHeight="1" x14ac:dyDescent="0.65"/>
    <row r="1389" spans="2:33" ht="15" customHeight="1" x14ac:dyDescent="0.65"/>
    <row r="1390" spans="2:33" ht="15" customHeight="1" x14ac:dyDescent="0.65">
      <c r="B1390" s="475"/>
      <c r="C1390" s="475"/>
      <c r="D1390" s="475"/>
      <c r="E1390" s="475"/>
      <c r="F1390" s="475"/>
      <c r="G1390" s="475"/>
      <c r="H1390" s="475"/>
      <c r="I1390" s="475"/>
      <c r="J1390" s="475"/>
      <c r="K1390" s="475"/>
      <c r="L1390" s="475"/>
      <c r="M1390" s="475"/>
      <c r="N1390" s="475"/>
      <c r="O1390" s="475"/>
      <c r="P1390" s="475"/>
      <c r="Q1390" s="475"/>
      <c r="R1390" s="475"/>
      <c r="S1390" s="475"/>
      <c r="T1390" s="475"/>
      <c r="U1390" s="475"/>
      <c r="V1390" s="475"/>
      <c r="W1390" s="475"/>
      <c r="X1390" s="475"/>
      <c r="Y1390" s="475"/>
      <c r="Z1390" s="475"/>
      <c r="AA1390" s="475"/>
      <c r="AB1390" s="475"/>
      <c r="AC1390" s="475"/>
      <c r="AD1390" s="475"/>
      <c r="AE1390" s="475"/>
      <c r="AF1390" s="475"/>
      <c r="AG1390" s="475"/>
    </row>
    <row r="1391" spans="2:33" ht="15" customHeight="1" x14ac:dyDescent="0.65"/>
    <row r="1392" spans="2:33" ht="15" customHeight="1" x14ac:dyDescent="0.65"/>
    <row r="1393" ht="15" customHeight="1" x14ac:dyDescent="0.65"/>
    <row r="1394" ht="15" customHeight="1" x14ac:dyDescent="0.65"/>
    <row r="1395" ht="15" customHeight="1" x14ac:dyDescent="0.65"/>
    <row r="1396" ht="15" customHeight="1" x14ac:dyDescent="0.65"/>
    <row r="1397" ht="15" customHeight="1" x14ac:dyDescent="0.65"/>
    <row r="1398" ht="15" customHeight="1" x14ac:dyDescent="0.65"/>
    <row r="1399" ht="15" customHeight="1" x14ac:dyDescent="0.65"/>
    <row r="1400" ht="15" customHeight="1" x14ac:dyDescent="0.65"/>
    <row r="1401" ht="15" customHeight="1" x14ac:dyDescent="0.65"/>
    <row r="1402" ht="15" customHeight="1" x14ac:dyDescent="0.65"/>
    <row r="1403" ht="15" customHeight="1" x14ac:dyDescent="0.65"/>
    <row r="1404" ht="15" customHeight="1" x14ac:dyDescent="0.65"/>
    <row r="1405" ht="15" customHeight="1" x14ac:dyDescent="0.65"/>
    <row r="1406" ht="15" customHeight="1" x14ac:dyDescent="0.65"/>
    <row r="1407" ht="15" customHeight="1" x14ac:dyDescent="0.65"/>
    <row r="1408" ht="15" customHeight="1" x14ac:dyDescent="0.65"/>
    <row r="1409" ht="15" customHeight="1" x14ac:dyDescent="0.65"/>
    <row r="1410" ht="15" customHeight="1" x14ac:dyDescent="0.65"/>
    <row r="1411" ht="15" customHeight="1" x14ac:dyDescent="0.65"/>
    <row r="1412" ht="15" customHeight="1" x14ac:dyDescent="0.65"/>
    <row r="1413" ht="15" customHeight="1" x14ac:dyDescent="0.65"/>
    <row r="1414" ht="15" customHeight="1" x14ac:dyDescent="0.65"/>
    <row r="1415" ht="15" customHeight="1" x14ac:dyDescent="0.65"/>
    <row r="1416" ht="15" customHeight="1" x14ac:dyDescent="0.65"/>
    <row r="1417" ht="15" customHeight="1" x14ac:dyDescent="0.65"/>
    <row r="1418" ht="15" customHeight="1" x14ac:dyDescent="0.65"/>
    <row r="1419" ht="15" customHeight="1" x14ac:dyDescent="0.65"/>
    <row r="1420" ht="15" customHeight="1" x14ac:dyDescent="0.65"/>
    <row r="1421" ht="15" customHeight="1" x14ac:dyDescent="0.65"/>
    <row r="1422" ht="15" customHeight="1" x14ac:dyDescent="0.65"/>
    <row r="1423" ht="15" customHeight="1" x14ac:dyDescent="0.65"/>
    <row r="1424" ht="15" customHeight="1" x14ac:dyDescent="0.65"/>
    <row r="1425" ht="15" customHeight="1" x14ac:dyDescent="0.65"/>
    <row r="1426" ht="15" customHeight="1" x14ac:dyDescent="0.65"/>
    <row r="1427" ht="15" customHeight="1" x14ac:dyDescent="0.65"/>
    <row r="1428" ht="15" customHeight="1" x14ac:dyDescent="0.65"/>
    <row r="1429" ht="15" customHeight="1" x14ac:dyDescent="0.65"/>
    <row r="1430" ht="15" customHeight="1" x14ac:dyDescent="0.65"/>
    <row r="1431" ht="15" customHeight="1" x14ac:dyDescent="0.65"/>
    <row r="1432" ht="15" customHeight="1" x14ac:dyDescent="0.65"/>
    <row r="1433" ht="15" customHeight="1" x14ac:dyDescent="0.65"/>
    <row r="1434" ht="15" customHeight="1" x14ac:dyDescent="0.65"/>
    <row r="1435" ht="15" customHeight="1" x14ac:dyDescent="0.65"/>
    <row r="1436" ht="15" customHeight="1" x14ac:dyDescent="0.65"/>
    <row r="1437" ht="15" customHeight="1" x14ac:dyDescent="0.65"/>
    <row r="1438" ht="15" customHeight="1" x14ac:dyDescent="0.65"/>
    <row r="1439" ht="15" customHeight="1" x14ac:dyDescent="0.65"/>
    <row r="1440" ht="15" customHeight="1" x14ac:dyDescent="0.65"/>
    <row r="1441" ht="15" customHeight="1" x14ac:dyDescent="0.65"/>
    <row r="1442" ht="15" customHeight="1" x14ac:dyDescent="0.65"/>
    <row r="1443" ht="15" customHeight="1" x14ac:dyDescent="0.65"/>
    <row r="1444" ht="15" customHeight="1" x14ac:dyDescent="0.65"/>
    <row r="1445" ht="15" customHeight="1" x14ac:dyDescent="0.65"/>
    <row r="1446" ht="15" customHeight="1" x14ac:dyDescent="0.65"/>
    <row r="1447" ht="15" customHeight="1" x14ac:dyDescent="0.65"/>
    <row r="1448" ht="15" customHeight="1" x14ac:dyDescent="0.65"/>
    <row r="1449" ht="15" customHeight="1" x14ac:dyDescent="0.65"/>
    <row r="1450" ht="15" customHeight="1" x14ac:dyDescent="0.65"/>
    <row r="1451" ht="15" customHeight="1" x14ac:dyDescent="0.65"/>
    <row r="1452" ht="15" customHeight="1" x14ac:dyDescent="0.65"/>
    <row r="1453" ht="15" customHeight="1" x14ac:dyDescent="0.65"/>
    <row r="1454" ht="15" customHeight="1" x14ac:dyDescent="0.65"/>
    <row r="1455" ht="15" customHeight="1" x14ac:dyDescent="0.65"/>
    <row r="1456" ht="15" customHeight="1" x14ac:dyDescent="0.65"/>
    <row r="1457" ht="15" customHeight="1" x14ac:dyDescent="0.65"/>
    <row r="1458" ht="15" customHeight="1" x14ac:dyDescent="0.65"/>
    <row r="1459" ht="15" customHeight="1" x14ac:dyDescent="0.65"/>
    <row r="1460" ht="15" customHeight="1" x14ac:dyDescent="0.65"/>
    <row r="1461" ht="15" customHeight="1" x14ac:dyDescent="0.65"/>
    <row r="1462" ht="15" customHeight="1" x14ac:dyDescent="0.65"/>
    <row r="1463" ht="15" customHeight="1" x14ac:dyDescent="0.65"/>
    <row r="1464" ht="15" customHeight="1" x14ac:dyDescent="0.65"/>
    <row r="1465" ht="15" customHeight="1" x14ac:dyDescent="0.65"/>
    <row r="1466" ht="15" customHeight="1" x14ac:dyDescent="0.65"/>
    <row r="1467" ht="15" customHeight="1" x14ac:dyDescent="0.65"/>
    <row r="1468" ht="15" customHeight="1" x14ac:dyDescent="0.65"/>
    <row r="1469" ht="15" customHeight="1" x14ac:dyDescent="0.65"/>
    <row r="1470" ht="15" customHeight="1" x14ac:dyDescent="0.65"/>
    <row r="1471" ht="15" customHeight="1" x14ac:dyDescent="0.65"/>
    <row r="1472" ht="15" customHeight="1" x14ac:dyDescent="0.65"/>
    <row r="1473" ht="15" customHeight="1" x14ac:dyDescent="0.65"/>
    <row r="1474" ht="15" customHeight="1" x14ac:dyDescent="0.65"/>
    <row r="1475" ht="15" customHeight="1" x14ac:dyDescent="0.65"/>
    <row r="1476" ht="15" customHeight="1" x14ac:dyDescent="0.65"/>
    <row r="1477" ht="15" customHeight="1" x14ac:dyDescent="0.65"/>
    <row r="1478" ht="15" customHeight="1" x14ac:dyDescent="0.65"/>
    <row r="1479" ht="15" customHeight="1" x14ac:dyDescent="0.65"/>
    <row r="1480" ht="15" customHeight="1" x14ac:dyDescent="0.65"/>
    <row r="1481" ht="15" customHeight="1" x14ac:dyDescent="0.65"/>
    <row r="1482" ht="15" customHeight="1" x14ac:dyDescent="0.65"/>
    <row r="1483" ht="15" customHeight="1" x14ac:dyDescent="0.65"/>
    <row r="1484" ht="15" customHeight="1" x14ac:dyDescent="0.65"/>
    <row r="1485" ht="15" customHeight="1" x14ac:dyDescent="0.65"/>
    <row r="1486" ht="15" customHeight="1" x14ac:dyDescent="0.65"/>
    <row r="1487" ht="15" customHeight="1" x14ac:dyDescent="0.65"/>
    <row r="1488" ht="15" customHeight="1" x14ac:dyDescent="0.65"/>
    <row r="1489" spans="2:33" ht="15" customHeight="1" x14ac:dyDescent="0.65"/>
    <row r="1490" spans="2:33" ht="15" customHeight="1" x14ac:dyDescent="0.65"/>
    <row r="1491" spans="2:33" ht="15" customHeight="1" x14ac:dyDescent="0.65"/>
    <row r="1492" spans="2:33" ht="15" customHeight="1" x14ac:dyDescent="0.65"/>
    <row r="1493" spans="2:33" ht="15" customHeight="1" x14ac:dyDescent="0.65"/>
    <row r="1494" spans="2:33" ht="15" customHeight="1" x14ac:dyDescent="0.65"/>
    <row r="1495" spans="2:33" ht="15" customHeight="1" x14ac:dyDescent="0.65"/>
    <row r="1496" spans="2:33" ht="15" customHeight="1" x14ac:dyDescent="0.65"/>
    <row r="1497" spans="2:33" ht="15" customHeight="1" x14ac:dyDescent="0.65"/>
    <row r="1498" spans="2:33" ht="15" customHeight="1" x14ac:dyDescent="0.65"/>
    <row r="1499" spans="2:33" ht="15" customHeight="1" x14ac:dyDescent="0.65"/>
    <row r="1500" spans="2:33" ht="15" customHeight="1" x14ac:dyDescent="0.65"/>
    <row r="1501" spans="2:33" ht="15" customHeight="1" x14ac:dyDescent="0.65"/>
    <row r="1502" spans="2:33" ht="15" customHeight="1" x14ac:dyDescent="0.65">
      <c r="B1502" s="475"/>
      <c r="C1502" s="475"/>
      <c r="D1502" s="475"/>
      <c r="E1502" s="475"/>
      <c r="F1502" s="475"/>
      <c r="G1502" s="475"/>
      <c r="H1502" s="475"/>
      <c r="I1502" s="475"/>
      <c r="J1502" s="475"/>
      <c r="K1502" s="475"/>
      <c r="L1502" s="475"/>
      <c r="M1502" s="475"/>
      <c r="N1502" s="475"/>
      <c r="O1502" s="475"/>
      <c r="P1502" s="475"/>
      <c r="Q1502" s="475"/>
      <c r="R1502" s="475"/>
      <c r="S1502" s="475"/>
      <c r="T1502" s="475"/>
      <c r="U1502" s="475"/>
      <c r="V1502" s="475"/>
      <c r="W1502" s="475"/>
      <c r="X1502" s="475"/>
      <c r="Y1502" s="475"/>
      <c r="Z1502" s="475"/>
      <c r="AA1502" s="475"/>
      <c r="AB1502" s="475"/>
      <c r="AC1502" s="475"/>
      <c r="AD1502" s="475"/>
      <c r="AE1502" s="475"/>
      <c r="AF1502" s="475"/>
      <c r="AG1502" s="475"/>
    </row>
    <row r="1503" spans="2:33" ht="15" customHeight="1" x14ac:dyDescent="0.65"/>
    <row r="1504" spans="2:33" ht="15" customHeight="1" x14ac:dyDescent="0.65"/>
    <row r="1505" ht="15" customHeight="1" x14ac:dyDescent="0.65"/>
    <row r="1506" ht="15" customHeight="1" x14ac:dyDescent="0.65"/>
    <row r="1507" ht="15" customHeight="1" x14ac:dyDescent="0.65"/>
    <row r="1508" ht="15" customHeight="1" x14ac:dyDescent="0.65"/>
    <row r="1509" ht="15" customHeight="1" x14ac:dyDescent="0.65"/>
    <row r="1510" ht="15" customHeight="1" x14ac:dyDescent="0.65"/>
    <row r="1511" ht="15" customHeight="1" x14ac:dyDescent="0.65"/>
    <row r="1512" ht="15" customHeight="1" x14ac:dyDescent="0.65"/>
    <row r="1513" ht="15" customHeight="1" x14ac:dyDescent="0.65"/>
    <row r="1514" ht="15" customHeight="1" x14ac:dyDescent="0.65"/>
    <row r="1515" ht="15" customHeight="1" x14ac:dyDescent="0.65"/>
    <row r="1516" ht="15" customHeight="1" x14ac:dyDescent="0.65"/>
    <row r="1517" ht="15" customHeight="1" x14ac:dyDescent="0.65"/>
    <row r="1518" ht="15" customHeight="1" x14ac:dyDescent="0.65"/>
    <row r="1519" ht="15" customHeight="1" x14ac:dyDescent="0.65"/>
    <row r="1520" ht="15" customHeight="1" x14ac:dyDescent="0.65"/>
    <row r="1521" ht="15" customHeight="1" x14ac:dyDescent="0.65"/>
    <row r="1522" ht="15" customHeight="1" x14ac:dyDescent="0.65"/>
    <row r="1523" ht="15" customHeight="1" x14ac:dyDescent="0.65"/>
    <row r="1524" ht="15" customHeight="1" x14ac:dyDescent="0.65"/>
    <row r="1525" ht="15" customHeight="1" x14ac:dyDescent="0.65"/>
    <row r="1526" ht="15" customHeight="1" x14ac:dyDescent="0.65"/>
    <row r="1527" ht="15" customHeight="1" x14ac:dyDescent="0.65"/>
    <row r="1528" ht="15" customHeight="1" x14ac:dyDescent="0.65"/>
    <row r="1529" ht="15" customHeight="1" x14ac:dyDescent="0.65"/>
    <row r="1530" ht="15" customHeight="1" x14ac:dyDescent="0.65"/>
    <row r="1531" ht="15" customHeight="1" x14ac:dyDescent="0.65"/>
    <row r="1532" ht="15" customHeight="1" x14ac:dyDescent="0.65"/>
    <row r="1533" ht="15" customHeight="1" x14ac:dyDescent="0.65"/>
    <row r="1534" ht="15" customHeight="1" x14ac:dyDescent="0.65"/>
    <row r="1535" ht="15" customHeight="1" x14ac:dyDescent="0.65"/>
    <row r="1536" ht="15" customHeight="1" x14ac:dyDescent="0.65"/>
    <row r="1537" ht="15" customHeight="1" x14ac:dyDescent="0.65"/>
    <row r="1538" ht="15" customHeight="1" x14ac:dyDescent="0.65"/>
    <row r="1539" ht="15" customHeight="1" x14ac:dyDescent="0.65"/>
    <row r="1540" ht="15" customHeight="1" x14ac:dyDescent="0.65"/>
    <row r="1541" ht="15" customHeight="1" x14ac:dyDescent="0.65"/>
    <row r="1542" ht="15" customHeight="1" x14ac:dyDescent="0.65"/>
    <row r="1543" ht="15" customHeight="1" x14ac:dyDescent="0.65"/>
    <row r="1544" ht="15" customHeight="1" x14ac:dyDescent="0.65"/>
    <row r="1545" ht="15" customHeight="1" x14ac:dyDescent="0.65"/>
    <row r="1546" ht="15" customHeight="1" x14ac:dyDescent="0.65"/>
    <row r="1547" ht="15" customHeight="1" x14ac:dyDescent="0.65"/>
    <row r="1548" ht="15" customHeight="1" x14ac:dyDescent="0.65"/>
    <row r="1549" ht="15" customHeight="1" x14ac:dyDescent="0.65"/>
    <row r="1550" ht="15" customHeight="1" x14ac:dyDescent="0.65"/>
    <row r="1551" ht="15" customHeight="1" x14ac:dyDescent="0.65"/>
    <row r="1552" ht="15" customHeight="1" x14ac:dyDescent="0.65"/>
    <row r="1553" ht="15" customHeight="1" x14ac:dyDescent="0.65"/>
    <row r="1554" ht="15" customHeight="1" x14ac:dyDescent="0.65"/>
    <row r="1555" ht="15" customHeight="1" x14ac:dyDescent="0.65"/>
    <row r="1556" ht="15" customHeight="1" x14ac:dyDescent="0.65"/>
    <row r="1557" ht="15" customHeight="1" x14ac:dyDescent="0.65"/>
    <row r="1558" ht="15" customHeight="1" x14ac:dyDescent="0.65"/>
    <row r="1559" ht="15" customHeight="1" x14ac:dyDescent="0.65"/>
    <row r="1560" ht="15" customHeight="1" x14ac:dyDescent="0.65"/>
    <row r="1561" ht="15" customHeight="1" x14ac:dyDescent="0.65"/>
    <row r="1562" ht="15" customHeight="1" x14ac:dyDescent="0.65"/>
    <row r="1563" ht="15" customHeight="1" x14ac:dyDescent="0.65"/>
    <row r="1564" ht="15" customHeight="1" x14ac:dyDescent="0.65"/>
    <row r="1565" ht="15" customHeight="1" x14ac:dyDescent="0.65"/>
    <row r="1566" ht="15" customHeight="1" x14ac:dyDescent="0.65"/>
    <row r="1567" ht="15" customHeight="1" x14ac:dyDescent="0.65"/>
    <row r="1568" ht="15" customHeight="1" x14ac:dyDescent="0.65"/>
    <row r="1569" ht="15" customHeight="1" x14ac:dyDescent="0.65"/>
    <row r="1570" ht="15" customHeight="1" x14ac:dyDescent="0.65"/>
    <row r="1571" ht="15" customHeight="1" x14ac:dyDescent="0.65"/>
    <row r="1572" ht="15" customHeight="1" x14ac:dyDescent="0.65"/>
    <row r="1573" ht="15" customHeight="1" x14ac:dyDescent="0.65"/>
    <row r="1574" ht="15" customHeight="1" x14ac:dyDescent="0.65"/>
    <row r="1575" ht="15" customHeight="1" x14ac:dyDescent="0.65"/>
    <row r="1576" ht="15" customHeight="1" x14ac:dyDescent="0.65"/>
    <row r="1577" ht="15" customHeight="1" x14ac:dyDescent="0.65"/>
    <row r="1578" ht="15" customHeight="1" x14ac:dyDescent="0.65"/>
    <row r="1579" ht="15" customHeight="1" x14ac:dyDescent="0.65"/>
    <row r="1580" ht="15" customHeight="1" x14ac:dyDescent="0.65"/>
    <row r="1581" ht="15" customHeight="1" x14ac:dyDescent="0.65"/>
    <row r="1582" ht="15" customHeight="1" x14ac:dyDescent="0.65"/>
    <row r="1583" ht="15" customHeight="1" x14ac:dyDescent="0.65"/>
    <row r="1584" ht="15" customHeight="1" x14ac:dyDescent="0.65"/>
    <row r="1585" ht="15" customHeight="1" x14ac:dyDescent="0.65"/>
    <row r="1586" ht="15" customHeight="1" x14ac:dyDescent="0.65"/>
    <row r="1587" ht="15" customHeight="1" x14ac:dyDescent="0.65"/>
    <row r="1588" ht="15" customHeight="1" x14ac:dyDescent="0.65"/>
    <row r="1589" ht="15" customHeight="1" x14ac:dyDescent="0.65"/>
    <row r="1590" ht="15" customHeight="1" x14ac:dyDescent="0.65"/>
    <row r="1591" ht="15" customHeight="1" x14ac:dyDescent="0.65"/>
    <row r="1592" ht="15" customHeight="1" x14ac:dyDescent="0.65"/>
    <row r="1593" ht="15" customHeight="1" x14ac:dyDescent="0.65"/>
    <row r="1594" ht="15" customHeight="1" x14ac:dyDescent="0.65"/>
    <row r="1595" ht="15" customHeight="1" x14ac:dyDescent="0.65"/>
    <row r="1596" ht="15" customHeight="1" x14ac:dyDescent="0.65"/>
    <row r="1597" ht="15" customHeight="1" x14ac:dyDescent="0.65"/>
    <row r="1598" ht="15" customHeight="1" x14ac:dyDescent="0.65"/>
    <row r="1599" ht="15" customHeight="1" x14ac:dyDescent="0.65"/>
    <row r="1600" ht="15" customHeight="1" x14ac:dyDescent="0.65"/>
    <row r="1601" spans="2:33" ht="15" customHeight="1" x14ac:dyDescent="0.65"/>
    <row r="1602" spans="2:33" ht="15" customHeight="1" x14ac:dyDescent="0.65"/>
    <row r="1603" spans="2:33" ht="15" customHeight="1" x14ac:dyDescent="0.65"/>
    <row r="1604" spans="2:33" ht="15" customHeight="1" x14ac:dyDescent="0.65">
      <c r="B1604" s="475"/>
      <c r="C1604" s="475"/>
      <c r="D1604" s="475"/>
      <c r="E1604" s="475"/>
      <c r="F1604" s="475"/>
      <c r="G1604" s="475"/>
      <c r="H1604" s="475"/>
      <c r="I1604" s="475"/>
      <c r="J1604" s="475"/>
      <c r="K1604" s="475"/>
      <c r="L1604" s="475"/>
      <c r="M1604" s="475"/>
      <c r="N1604" s="475"/>
      <c r="O1604" s="475"/>
      <c r="P1604" s="475"/>
      <c r="Q1604" s="475"/>
      <c r="R1604" s="475"/>
      <c r="S1604" s="475"/>
      <c r="T1604" s="475"/>
      <c r="U1604" s="475"/>
      <c r="V1604" s="475"/>
      <c r="W1604" s="475"/>
      <c r="X1604" s="475"/>
      <c r="Y1604" s="475"/>
      <c r="Z1604" s="475"/>
      <c r="AA1604" s="475"/>
      <c r="AB1604" s="475"/>
      <c r="AC1604" s="475"/>
      <c r="AD1604" s="475"/>
      <c r="AE1604" s="475"/>
      <c r="AF1604" s="475"/>
      <c r="AG1604" s="475"/>
    </row>
    <row r="1605" spans="2:33" ht="15" customHeight="1" x14ac:dyDescent="0.65"/>
    <row r="1606" spans="2:33" ht="15" customHeight="1" x14ac:dyDescent="0.65"/>
    <row r="1607" spans="2:33" ht="15" customHeight="1" x14ac:dyDescent="0.65"/>
    <row r="1608" spans="2:33" ht="15" customHeight="1" x14ac:dyDescent="0.65"/>
    <row r="1609" spans="2:33" ht="15" customHeight="1" x14ac:dyDescent="0.65"/>
    <row r="1610" spans="2:33" ht="15" customHeight="1" x14ac:dyDescent="0.65"/>
    <row r="1611" spans="2:33" ht="15" customHeight="1" x14ac:dyDescent="0.65"/>
    <row r="1612" spans="2:33" ht="15" customHeight="1" x14ac:dyDescent="0.65"/>
    <row r="1613" spans="2:33" ht="15" customHeight="1" x14ac:dyDescent="0.65"/>
    <row r="1614" spans="2:33" ht="15" customHeight="1" x14ac:dyDescent="0.65"/>
    <row r="1615" spans="2:33" ht="15" customHeight="1" x14ac:dyDescent="0.65"/>
    <row r="1616" spans="2:33" ht="15" customHeight="1" x14ac:dyDescent="0.65"/>
    <row r="1617" ht="15" customHeight="1" x14ac:dyDescent="0.65"/>
    <row r="1618" ht="15" customHeight="1" x14ac:dyDescent="0.65"/>
    <row r="1619" ht="15" customHeight="1" x14ac:dyDescent="0.65"/>
    <row r="1620" ht="15" customHeight="1" x14ac:dyDescent="0.65"/>
    <row r="1621" ht="15" customHeight="1" x14ac:dyDescent="0.65"/>
    <row r="1622" ht="15" customHeight="1" x14ac:dyDescent="0.65"/>
    <row r="1623" ht="15" customHeight="1" x14ac:dyDescent="0.65"/>
    <row r="1624" ht="15" customHeight="1" x14ac:dyDescent="0.65"/>
    <row r="1625" ht="15" customHeight="1" x14ac:dyDescent="0.65"/>
    <row r="1626" ht="15" customHeight="1" x14ac:dyDescent="0.65"/>
    <row r="1627" ht="15" customHeight="1" x14ac:dyDescent="0.65"/>
    <row r="1628" ht="15" customHeight="1" x14ac:dyDescent="0.65"/>
    <row r="1629" ht="15" customHeight="1" x14ac:dyDescent="0.65"/>
    <row r="1630" ht="15" customHeight="1" x14ac:dyDescent="0.65"/>
    <row r="1631" ht="15" customHeight="1" x14ac:dyDescent="0.65"/>
    <row r="1632" ht="15" customHeight="1" x14ac:dyDescent="0.65"/>
    <row r="1633" ht="15" customHeight="1" x14ac:dyDescent="0.65"/>
    <row r="1634" ht="15" customHeight="1" x14ac:dyDescent="0.65"/>
    <row r="1635" ht="15" customHeight="1" x14ac:dyDescent="0.65"/>
    <row r="1636" ht="15" customHeight="1" x14ac:dyDescent="0.65"/>
    <row r="1637" ht="15" customHeight="1" x14ac:dyDescent="0.65"/>
    <row r="1638" ht="15" customHeight="1" x14ac:dyDescent="0.65"/>
    <row r="1639" ht="15" customHeight="1" x14ac:dyDescent="0.65"/>
    <row r="1640" ht="15" customHeight="1" x14ac:dyDescent="0.65"/>
    <row r="1641" ht="15" customHeight="1" x14ac:dyDescent="0.65"/>
    <row r="1642" ht="15" customHeight="1" x14ac:dyDescent="0.65"/>
    <row r="1643" ht="15" customHeight="1" x14ac:dyDescent="0.65"/>
    <row r="1644" ht="15" customHeight="1" x14ac:dyDescent="0.65"/>
    <row r="1645" ht="15" customHeight="1" x14ac:dyDescent="0.65"/>
    <row r="1646" ht="15" customHeight="1" x14ac:dyDescent="0.65"/>
    <row r="1647" ht="15" customHeight="1" x14ac:dyDescent="0.65"/>
    <row r="1648" ht="15" customHeight="1" x14ac:dyDescent="0.65"/>
    <row r="1649" ht="15" customHeight="1" x14ac:dyDescent="0.65"/>
    <row r="1650" ht="15" customHeight="1" x14ac:dyDescent="0.65"/>
    <row r="1651" ht="15" customHeight="1" x14ac:dyDescent="0.65"/>
    <row r="1652" ht="15" customHeight="1" x14ac:dyDescent="0.65"/>
    <row r="1653" ht="15" customHeight="1" x14ac:dyDescent="0.65"/>
    <row r="1654" ht="15" customHeight="1" x14ac:dyDescent="0.65"/>
    <row r="1655" ht="15" customHeight="1" x14ac:dyDescent="0.65"/>
    <row r="1656" ht="15" customHeight="1" x14ac:dyDescent="0.65"/>
    <row r="1657" ht="15" customHeight="1" x14ac:dyDescent="0.65"/>
    <row r="1658" ht="15" customHeight="1" x14ac:dyDescent="0.65"/>
    <row r="1659" ht="15" customHeight="1" x14ac:dyDescent="0.65"/>
    <row r="1660" ht="15" customHeight="1" x14ac:dyDescent="0.65"/>
    <row r="1661" ht="15" customHeight="1" x14ac:dyDescent="0.65"/>
    <row r="1662" ht="15" customHeight="1" x14ac:dyDescent="0.65"/>
    <row r="1663" ht="15" customHeight="1" x14ac:dyDescent="0.65"/>
    <row r="1664" ht="15" customHeight="1" x14ac:dyDescent="0.65"/>
    <row r="1665" ht="15" customHeight="1" x14ac:dyDescent="0.65"/>
    <row r="1666" ht="15" customHeight="1" x14ac:dyDescent="0.65"/>
    <row r="1667" ht="15" customHeight="1" x14ac:dyDescent="0.65"/>
    <row r="1668" ht="15" customHeight="1" x14ac:dyDescent="0.65"/>
    <row r="1669" ht="15" customHeight="1" x14ac:dyDescent="0.65"/>
    <row r="1670" ht="15" customHeight="1" x14ac:dyDescent="0.65"/>
    <row r="1671" ht="15" customHeight="1" x14ac:dyDescent="0.65"/>
    <row r="1672" ht="15" customHeight="1" x14ac:dyDescent="0.65"/>
    <row r="1673" ht="15" customHeight="1" x14ac:dyDescent="0.65"/>
    <row r="1674" ht="15" customHeight="1" x14ac:dyDescent="0.65"/>
    <row r="1675" ht="15" customHeight="1" x14ac:dyDescent="0.65"/>
    <row r="1676" ht="15" customHeight="1" x14ac:dyDescent="0.65"/>
    <row r="1677" ht="15" customHeight="1" x14ac:dyDescent="0.65"/>
    <row r="1678" ht="15" customHeight="1" x14ac:dyDescent="0.65"/>
    <row r="1679" ht="15" customHeight="1" x14ac:dyDescent="0.65"/>
    <row r="1680" ht="15" customHeight="1" x14ac:dyDescent="0.65"/>
    <row r="1681" ht="15" customHeight="1" x14ac:dyDescent="0.65"/>
    <row r="1682" ht="15" customHeight="1" x14ac:dyDescent="0.65"/>
    <row r="1683" ht="15" customHeight="1" x14ac:dyDescent="0.65"/>
    <row r="1684" ht="15" customHeight="1" x14ac:dyDescent="0.65"/>
    <row r="1685" ht="15" customHeight="1" x14ac:dyDescent="0.65"/>
    <row r="1686" ht="15" customHeight="1" x14ac:dyDescent="0.65"/>
    <row r="1687" ht="15" customHeight="1" x14ac:dyDescent="0.65"/>
    <row r="1688" ht="15" customHeight="1" x14ac:dyDescent="0.65"/>
    <row r="1689" ht="15" customHeight="1" x14ac:dyDescent="0.65"/>
    <row r="1690" ht="15" customHeight="1" x14ac:dyDescent="0.65"/>
    <row r="1691" ht="15" customHeight="1" x14ac:dyDescent="0.65"/>
    <row r="1692" ht="15" customHeight="1" x14ac:dyDescent="0.65"/>
    <row r="1693" ht="15" customHeight="1" x14ac:dyDescent="0.65"/>
    <row r="1694" ht="15" customHeight="1" x14ac:dyDescent="0.65"/>
    <row r="1695" ht="15" customHeight="1" x14ac:dyDescent="0.65"/>
    <row r="1696" ht="15" customHeight="1" x14ac:dyDescent="0.65"/>
    <row r="1697" spans="2:33" ht="15" customHeight="1" x14ac:dyDescent="0.65"/>
    <row r="1698" spans="2:33" ht="15" customHeight="1" x14ac:dyDescent="0.65">
      <c r="B1698" s="475"/>
      <c r="C1698" s="475"/>
      <c r="D1698" s="475"/>
      <c r="E1698" s="475"/>
      <c r="F1698" s="475"/>
      <c r="G1698" s="475"/>
      <c r="H1698" s="475"/>
      <c r="I1698" s="475"/>
      <c r="J1698" s="475"/>
      <c r="K1698" s="475"/>
      <c r="L1698" s="475"/>
      <c r="M1698" s="475"/>
      <c r="N1698" s="475"/>
      <c r="O1698" s="475"/>
      <c r="P1698" s="475"/>
      <c r="Q1698" s="475"/>
      <c r="R1698" s="475"/>
      <c r="S1698" s="475"/>
      <c r="T1698" s="475"/>
      <c r="U1698" s="475"/>
      <c r="V1698" s="475"/>
      <c r="W1698" s="475"/>
      <c r="X1698" s="475"/>
      <c r="Y1698" s="475"/>
      <c r="Z1698" s="475"/>
      <c r="AA1698" s="475"/>
      <c r="AB1698" s="475"/>
      <c r="AC1698" s="475"/>
      <c r="AD1698" s="475"/>
      <c r="AE1698" s="475"/>
      <c r="AF1698" s="475"/>
      <c r="AG1698" s="475"/>
    </row>
    <row r="1699" spans="2:33" ht="15" customHeight="1" x14ac:dyDescent="0.65"/>
    <row r="1700" spans="2:33" ht="15" customHeight="1" x14ac:dyDescent="0.65"/>
    <row r="1701" spans="2:33" ht="15" customHeight="1" x14ac:dyDescent="0.65"/>
    <row r="1702" spans="2:33" ht="15" customHeight="1" x14ac:dyDescent="0.65"/>
    <row r="1703" spans="2:33" ht="15" customHeight="1" x14ac:dyDescent="0.65"/>
    <row r="1704" spans="2:33" ht="15" customHeight="1" x14ac:dyDescent="0.65"/>
    <row r="1705" spans="2:33" ht="15" customHeight="1" x14ac:dyDescent="0.65"/>
    <row r="1706" spans="2:33" ht="15" customHeight="1" x14ac:dyDescent="0.65"/>
    <row r="1707" spans="2:33" ht="15" customHeight="1" x14ac:dyDescent="0.65"/>
    <row r="1708" spans="2:33" ht="15" customHeight="1" x14ac:dyDescent="0.65"/>
    <row r="1709" spans="2:33" ht="15" customHeight="1" x14ac:dyDescent="0.65"/>
    <row r="1710" spans="2:33" ht="15" customHeight="1" x14ac:dyDescent="0.65"/>
    <row r="1711" spans="2:33" ht="15" customHeight="1" x14ac:dyDescent="0.65"/>
    <row r="1712" spans="2:33" ht="15" customHeight="1" x14ac:dyDescent="0.65"/>
    <row r="1713" ht="15" customHeight="1" x14ac:dyDescent="0.65"/>
    <row r="1714" ht="15" customHeight="1" x14ac:dyDescent="0.65"/>
    <row r="1715" ht="15" customHeight="1" x14ac:dyDescent="0.65"/>
    <row r="1716" ht="15" customHeight="1" x14ac:dyDescent="0.65"/>
    <row r="1717" ht="15" customHeight="1" x14ac:dyDescent="0.65"/>
    <row r="1718" ht="15" customHeight="1" x14ac:dyDescent="0.65"/>
    <row r="1719" ht="15" customHeight="1" x14ac:dyDescent="0.65"/>
    <row r="1720" ht="15" customHeight="1" x14ac:dyDescent="0.65"/>
    <row r="1721" ht="15" customHeight="1" x14ac:dyDescent="0.65"/>
    <row r="1722" ht="15" customHeight="1" x14ac:dyDescent="0.65"/>
    <row r="1723" ht="15" customHeight="1" x14ac:dyDescent="0.65"/>
    <row r="1724" ht="15" customHeight="1" x14ac:dyDescent="0.65"/>
    <row r="1725" ht="15" customHeight="1" x14ac:dyDescent="0.65"/>
    <row r="1726" ht="15" customHeight="1" x14ac:dyDescent="0.65"/>
    <row r="1727" ht="15" customHeight="1" x14ac:dyDescent="0.65"/>
    <row r="1728" ht="15" customHeight="1" x14ac:dyDescent="0.65"/>
    <row r="1729" ht="15" customHeight="1" x14ac:dyDescent="0.65"/>
    <row r="1730" ht="15" customHeight="1" x14ac:dyDescent="0.65"/>
    <row r="1731" ht="15" customHeight="1" x14ac:dyDescent="0.65"/>
    <row r="1732" ht="15" customHeight="1" x14ac:dyDescent="0.65"/>
    <row r="1733" ht="15" customHeight="1" x14ac:dyDescent="0.65"/>
    <row r="1734" ht="15" customHeight="1" x14ac:dyDescent="0.65"/>
    <row r="1735" ht="15" customHeight="1" x14ac:dyDescent="0.65"/>
    <row r="1736" ht="15" customHeight="1" x14ac:dyDescent="0.65"/>
    <row r="1737" ht="15" customHeight="1" x14ac:dyDescent="0.65"/>
    <row r="1738" ht="15" customHeight="1" x14ac:dyDescent="0.65"/>
    <row r="1739" ht="15" customHeight="1" x14ac:dyDescent="0.65"/>
    <row r="1740" ht="15" customHeight="1" x14ac:dyDescent="0.65"/>
    <row r="1741" ht="15" customHeight="1" x14ac:dyDescent="0.65"/>
    <row r="1742" ht="15" customHeight="1" x14ac:dyDescent="0.65"/>
    <row r="1743" ht="15" customHeight="1" x14ac:dyDescent="0.65"/>
    <row r="1744" ht="15" customHeight="1" x14ac:dyDescent="0.65"/>
    <row r="1745" ht="15" customHeight="1" x14ac:dyDescent="0.65"/>
    <row r="1746" ht="15" customHeight="1" x14ac:dyDescent="0.65"/>
    <row r="1747" ht="15" customHeight="1" x14ac:dyDescent="0.65"/>
    <row r="1748" ht="15" customHeight="1" x14ac:dyDescent="0.65"/>
    <row r="1749" ht="15" customHeight="1" x14ac:dyDescent="0.65"/>
    <row r="1750" ht="15" customHeight="1" x14ac:dyDescent="0.65"/>
    <row r="1751" ht="15" customHeight="1" x14ac:dyDescent="0.65"/>
    <row r="1752" ht="15" customHeight="1" x14ac:dyDescent="0.65"/>
    <row r="1753" ht="15" customHeight="1" x14ac:dyDescent="0.65"/>
    <row r="1754" ht="15" customHeight="1" x14ac:dyDescent="0.65"/>
    <row r="1755" ht="15" customHeight="1" x14ac:dyDescent="0.65"/>
    <row r="1756" ht="15" customHeight="1" x14ac:dyDescent="0.65"/>
    <row r="1757" ht="15" customHeight="1" x14ac:dyDescent="0.65"/>
    <row r="1758" ht="15" customHeight="1" x14ac:dyDescent="0.65"/>
    <row r="1759" ht="15" customHeight="1" x14ac:dyDescent="0.65"/>
    <row r="1760" ht="15" customHeight="1" x14ac:dyDescent="0.65"/>
    <row r="1761" ht="15" customHeight="1" x14ac:dyDescent="0.65"/>
    <row r="1762" ht="15" customHeight="1" x14ac:dyDescent="0.65"/>
    <row r="1763" ht="15" customHeight="1" x14ac:dyDescent="0.65"/>
    <row r="1764" ht="15" customHeight="1" x14ac:dyDescent="0.65"/>
    <row r="1765" ht="15" customHeight="1" x14ac:dyDescent="0.65"/>
    <row r="1766" ht="15" customHeight="1" x14ac:dyDescent="0.65"/>
    <row r="1767" ht="15" customHeight="1" x14ac:dyDescent="0.65"/>
    <row r="1768" ht="15" customHeight="1" x14ac:dyDescent="0.65"/>
    <row r="1769" ht="15" customHeight="1" x14ac:dyDescent="0.65"/>
    <row r="1770" ht="15" customHeight="1" x14ac:dyDescent="0.65"/>
    <row r="1771" ht="15" customHeight="1" x14ac:dyDescent="0.65"/>
    <row r="1772" ht="15" customHeight="1" x14ac:dyDescent="0.65"/>
    <row r="1773" ht="15" customHeight="1" x14ac:dyDescent="0.65"/>
    <row r="1774" ht="15" customHeight="1" x14ac:dyDescent="0.65"/>
    <row r="1775" ht="15" customHeight="1" x14ac:dyDescent="0.65"/>
    <row r="1776" ht="15" customHeight="1" x14ac:dyDescent="0.65"/>
    <row r="1777" ht="15" customHeight="1" x14ac:dyDescent="0.65"/>
    <row r="1778" ht="15" customHeight="1" x14ac:dyDescent="0.65"/>
    <row r="1779" ht="15" customHeight="1" x14ac:dyDescent="0.65"/>
    <row r="1780" ht="15" customHeight="1" x14ac:dyDescent="0.65"/>
    <row r="1781" ht="15" customHeight="1" x14ac:dyDescent="0.65"/>
    <row r="1782" ht="15" customHeight="1" x14ac:dyDescent="0.65"/>
    <row r="1783" ht="15" customHeight="1" x14ac:dyDescent="0.65"/>
    <row r="1784" ht="15" customHeight="1" x14ac:dyDescent="0.65"/>
    <row r="1785" ht="15" customHeight="1" x14ac:dyDescent="0.65"/>
    <row r="1786" ht="15" customHeight="1" x14ac:dyDescent="0.65"/>
    <row r="1787" ht="15" customHeight="1" x14ac:dyDescent="0.65"/>
    <row r="1788" ht="15" customHeight="1" x14ac:dyDescent="0.65"/>
    <row r="1789" ht="15" customHeight="1" x14ac:dyDescent="0.65"/>
    <row r="1790" ht="15" customHeight="1" x14ac:dyDescent="0.65"/>
    <row r="1791" ht="15" customHeight="1" x14ac:dyDescent="0.65"/>
    <row r="1792" ht="15" customHeight="1" x14ac:dyDescent="0.65"/>
    <row r="1793" ht="15" customHeight="1" x14ac:dyDescent="0.65"/>
    <row r="1794" ht="15" customHeight="1" x14ac:dyDescent="0.65"/>
    <row r="1795" ht="15" customHeight="1" x14ac:dyDescent="0.65"/>
    <row r="1796" ht="15" customHeight="1" x14ac:dyDescent="0.65"/>
    <row r="1797" ht="15" customHeight="1" x14ac:dyDescent="0.65"/>
    <row r="1798" ht="15" customHeight="1" x14ac:dyDescent="0.65"/>
    <row r="1799" ht="15" customHeight="1" x14ac:dyDescent="0.65"/>
    <row r="1800" ht="15" customHeight="1" x14ac:dyDescent="0.65"/>
    <row r="1801" ht="15" customHeight="1" x14ac:dyDescent="0.65"/>
    <row r="1802" ht="15" customHeight="1" x14ac:dyDescent="0.65"/>
    <row r="1803" ht="15" customHeight="1" x14ac:dyDescent="0.65"/>
    <row r="1804" ht="15" customHeight="1" x14ac:dyDescent="0.65"/>
    <row r="1805" ht="15" customHeight="1" x14ac:dyDescent="0.65"/>
    <row r="1806" ht="15" customHeight="1" x14ac:dyDescent="0.65"/>
    <row r="1807" ht="15" customHeight="1" x14ac:dyDescent="0.65"/>
    <row r="1808" ht="15" customHeight="1" x14ac:dyDescent="0.65"/>
    <row r="1809" ht="15" customHeight="1" x14ac:dyDescent="0.65"/>
    <row r="1810" ht="15" customHeight="1" x14ac:dyDescent="0.65"/>
    <row r="1811" ht="15" customHeight="1" x14ac:dyDescent="0.65"/>
    <row r="1812" ht="15" customHeight="1" x14ac:dyDescent="0.65"/>
    <row r="1813" ht="15" customHeight="1" x14ac:dyDescent="0.65"/>
    <row r="1814" ht="15" customHeight="1" x14ac:dyDescent="0.65"/>
    <row r="1815" ht="15" customHeight="1" x14ac:dyDescent="0.65"/>
    <row r="1816" ht="15" customHeight="1" x14ac:dyDescent="0.65"/>
    <row r="1817" ht="15" customHeight="1" x14ac:dyDescent="0.65"/>
    <row r="1818" ht="15" customHeight="1" x14ac:dyDescent="0.65"/>
    <row r="1819" ht="15" customHeight="1" x14ac:dyDescent="0.65"/>
    <row r="1820" ht="15" customHeight="1" x14ac:dyDescent="0.65"/>
    <row r="1821" ht="15" customHeight="1" x14ac:dyDescent="0.65"/>
    <row r="1822" ht="15" customHeight="1" x14ac:dyDescent="0.65"/>
    <row r="1823" ht="15" customHeight="1" x14ac:dyDescent="0.65"/>
    <row r="1824" ht="15" customHeight="1" x14ac:dyDescent="0.65"/>
    <row r="1825" ht="15" customHeight="1" x14ac:dyDescent="0.65"/>
    <row r="1826" ht="15" customHeight="1" x14ac:dyDescent="0.65"/>
    <row r="1827" ht="15" customHeight="1" x14ac:dyDescent="0.65"/>
    <row r="1828" ht="15" customHeight="1" x14ac:dyDescent="0.65"/>
    <row r="1829" ht="15" customHeight="1" x14ac:dyDescent="0.65"/>
    <row r="1830" ht="15" customHeight="1" x14ac:dyDescent="0.65"/>
    <row r="1831" ht="15" customHeight="1" x14ac:dyDescent="0.65"/>
    <row r="1832" ht="15" customHeight="1" x14ac:dyDescent="0.65"/>
    <row r="1833" ht="15" customHeight="1" x14ac:dyDescent="0.65"/>
    <row r="1834" ht="15" customHeight="1" x14ac:dyDescent="0.65"/>
    <row r="1835" ht="15" customHeight="1" x14ac:dyDescent="0.65"/>
    <row r="1836" ht="15" customHeight="1" x14ac:dyDescent="0.65"/>
    <row r="1837" ht="15" customHeight="1" x14ac:dyDescent="0.65"/>
    <row r="1838" ht="15" customHeight="1" x14ac:dyDescent="0.65"/>
    <row r="1839" ht="15" customHeight="1" x14ac:dyDescent="0.65"/>
    <row r="1840" ht="15" customHeight="1" x14ac:dyDescent="0.65"/>
    <row r="1841" ht="15" customHeight="1" x14ac:dyDescent="0.65"/>
    <row r="1842" ht="15" customHeight="1" x14ac:dyDescent="0.65"/>
    <row r="1843" ht="15" customHeight="1" x14ac:dyDescent="0.65"/>
    <row r="1844" ht="15" customHeight="1" x14ac:dyDescent="0.65"/>
    <row r="1845" ht="15" customHeight="1" x14ac:dyDescent="0.65"/>
    <row r="1846" ht="15" customHeight="1" x14ac:dyDescent="0.65"/>
    <row r="1847" ht="15" customHeight="1" x14ac:dyDescent="0.65"/>
    <row r="1848" ht="15" customHeight="1" x14ac:dyDescent="0.65"/>
    <row r="1849" ht="15" customHeight="1" x14ac:dyDescent="0.65"/>
    <row r="1850" ht="15" customHeight="1" x14ac:dyDescent="0.65"/>
    <row r="1851" ht="15" customHeight="1" x14ac:dyDescent="0.65"/>
    <row r="1852" ht="15" customHeight="1" x14ac:dyDescent="0.65"/>
    <row r="1853" ht="15" customHeight="1" x14ac:dyDescent="0.65"/>
    <row r="1854" ht="15" customHeight="1" x14ac:dyDescent="0.65"/>
    <row r="1855" ht="15" customHeight="1" x14ac:dyDescent="0.65"/>
    <row r="1856" ht="15" customHeight="1" x14ac:dyDescent="0.65"/>
    <row r="1857" ht="15" customHeight="1" x14ac:dyDescent="0.65"/>
    <row r="1858" ht="15" customHeight="1" x14ac:dyDescent="0.65"/>
    <row r="1859" ht="15" customHeight="1" x14ac:dyDescent="0.65"/>
    <row r="1860" ht="15" customHeight="1" x14ac:dyDescent="0.65"/>
    <row r="1861" ht="15" customHeight="1" x14ac:dyDescent="0.65"/>
    <row r="1862" ht="15" customHeight="1" x14ac:dyDescent="0.65"/>
    <row r="1863" ht="15" customHeight="1" x14ac:dyDescent="0.65"/>
    <row r="1864" ht="15" customHeight="1" x14ac:dyDescent="0.65"/>
    <row r="1865" ht="15" customHeight="1" x14ac:dyDescent="0.65"/>
    <row r="1866" ht="15" customHeight="1" x14ac:dyDescent="0.65"/>
    <row r="1867" ht="15" customHeight="1" x14ac:dyDescent="0.65"/>
    <row r="1868" ht="15" customHeight="1" x14ac:dyDescent="0.65"/>
    <row r="1869" ht="15" customHeight="1" x14ac:dyDescent="0.65"/>
    <row r="1870" ht="15" customHeight="1" x14ac:dyDescent="0.65"/>
    <row r="1871" ht="15" customHeight="1" x14ac:dyDescent="0.65"/>
    <row r="1872" ht="15" customHeight="1" x14ac:dyDescent="0.65"/>
    <row r="1873" ht="15" customHeight="1" x14ac:dyDescent="0.65"/>
    <row r="1874" ht="15" customHeight="1" x14ac:dyDescent="0.65"/>
    <row r="1875" ht="15" customHeight="1" x14ac:dyDescent="0.65"/>
    <row r="1876" ht="15" customHeight="1" x14ac:dyDescent="0.65"/>
    <row r="1877" ht="15" customHeight="1" x14ac:dyDescent="0.65"/>
    <row r="1878" ht="15" customHeight="1" x14ac:dyDescent="0.65"/>
    <row r="1879" ht="15" customHeight="1" x14ac:dyDescent="0.65"/>
    <row r="1880" ht="15" customHeight="1" x14ac:dyDescent="0.65"/>
    <row r="1881" ht="15" customHeight="1" x14ac:dyDescent="0.65"/>
    <row r="1882" ht="15" customHeight="1" x14ac:dyDescent="0.65"/>
    <row r="1883" ht="15" customHeight="1" x14ac:dyDescent="0.65"/>
    <row r="1884" ht="15" customHeight="1" x14ac:dyDescent="0.65"/>
    <row r="1885" ht="15" customHeight="1" x14ac:dyDescent="0.65"/>
    <row r="1886" ht="15" customHeight="1" x14ac:dyDescent="0.65"/>
    <row r="1887" ht="15" customHeight="1" x14ac:dyDescent="0.65"/>
    <row r="1888" ht="15" customHeight="1" x14ac:dyDescent="0.65"/>
    <row r="1889" ht="15" customHeight="1" x14ac:dyDescent="0.65"/>
    <row r="1890" ht="15" customHeight="1" x14ac:dyDescent="0.65"/>
    <row r="1891" ht="15" customHeight="1" x14ac:dyDescent="0.65"/>
    <row r="1892" ht="15" customHeight="1" x14ac:dyDescent="0.65"/>
    <row r="1893" ht="15" customHeight="1" x14ac:dyDescent="0.65"/>
    <row r="1894" ht="15" customHeight="1" x14ac:dyDescent="0.65"/>
    <row r="1895" ht="15" customHeight="1" x14ac:dyDescent="0.65"/>
    <row r="1896" ht="15" customHeight="1" x14ac:dyDescent="0.65"/>
    <row r="1897" ht="15" customHeight="1" x14ac:dyDescent="0.65"/>
    <row r="1898" ht="15" customHeight="1" x14ac:dyDescent="0.65"/>
    <row r="1899" ht="15" customHeight="1" x14ac:dyDescent="0.65"/>
    <row r="1900" ht="15" customHeight="1" x14ac:dyDescent="0.65"/>
    <row r="1901" ht="15" customHeight="1" x14ac:dyDescent="0.65"/>
    <row r="1902" ht="15" customHeight="1" x14ac:dyDescent="0.65"/>
    <row r="1903" ht="15" customHeight="1" x14ac:dyDescent="0.65"/>
    <row r="1904" ht="15" customHeight="1" x14ac:dyDescent="0.65"/>
    <row r="1905" ht="15" customHeight="1" x14ac:dyDescent="0.65"/>
    <row r="1906" ht="15" customHeight="1" x14ac:dyDescent="0.65"/>
    <row r="1907" ht="15" customHeight="1" x14ac:dyDescent="0.65"/>
    <row r="1908" ht="15" customHeight="1" x14ac:dyDescent="0.65"/>
    <row r="1909" ht="15" customHeight="1" x14ac:dyDescent="0.65"/>
    <row r="1910" ht="15" customHeight="1" x14ac:dyDescent="0.65"/>
    <row r="1911" ht="15" customHeight="1" x14ac:dyDescent="0.65"/>
    <row r="1912" ht="15" customHeight="1" x14ac:dyDescent="0.65"/>
    <row r="1913" ht="15" customHeight="1" x14ac:dyDescent="0.65"/>
    <row r="1914" ht="15" customHeight="1" x14ac:dyDescent="0.65"/>
    <row r="1915" ht="15" customHeight="1" x14ac:dyDescent="0.65"/>
    <row r="1916" ht="15" customHeight="1" x14ac:dyDescent="0.65"/>
    <row r="1917" ht="15" customHeight="1" x14ac:dyDescent="0.65"/>
    <row r="1918" ht="15" customHeight="1" x14ac:dyDescent="0.65"/>
    <row r="1919" ht="15" customHeight="1" x14ac:dyDescent="0.65"/>
    <row r="1920" ht="15" customHeight="1" x14ac:dyDescent="0.65"/>
    <row r="1921" ht="15" customHeight="1" x14ac:dyDescent="0.65"/>
    <row r="1922" ht="15" customHeight="1" x14ac:dyDescent="0.65"/>
    <row r="1923" ht="15" customHeight="1" x14ac:dyDescent="0.65"/>
    <row r="1924" ht="15" customHeight="1" x14ac:dyDescent="0.65"/>
    <row r="1925" ht="15" customHeight="1" x14ac:dyDescent="0.65"/>
    <row r="1926" ht="15" customHeight="1" x14ac:dyDescent="0.65"/>
    <row r="1927" ht="15" customHeight="1" x14ac:dyDescent="0.65"/>
    <row r="1928" ht="15" customHeight="1" x14ac:dyDescent="0.65"/>
    <row r="1929" ht="15" customHeight="1" x14ac:dyDescent="0.65"/>
    <row r="1930" ht="15" customHeight="1" x14ac:dyDescent="0.65"/>
    <row r="1931" ht="15" customHeight="1" x14ac:dyDescent="0.65"/>
    <row r="1932" ht="15" customHeight="1" x14ac:dyDescent="0.65"/>
    <row r="1933" ht="15" customHeight="1" x14ac:dyDescent="0.65"/>
    <row r="1934" ht="15" customHeight="1" x14ac:dyDescent="0.65"/>
    <row r="1935" ht="15" customHeight="1" x14ac:dyDescent="0.65"/>
    <row r="1936" ht="15" customHeight="1" x14ac:dyDescent="0.65"/>
    <row r="1937" spans="2:33" ht="15" customHeight="1" x14ac:dyDescent="0.65"/>
    <row r="1938" spans="2:33" ht="15" customHeight="1" x14ac:dyDescent="0.65"/>
    <row r="1939" spans="2:33" ht="15" customHeight="1" x14ac:dyDescent="0.65"/>
    <row r="1940" spans="2:33" ht="15" customHeight="1" x14ac:dyDescent="0.65"/>
    <row r="1941" spans="2:33" ht="15" customHeight="1" x14ac:dyDescent="0.65"/>
    <row r="1942" spans="2:33" ht="15" customHeight="1" x14ac:dyDescent="0.65"/>
    <row r="1943" spans="2:33" ht="15" customHeight="1" x14ac:dyDescent="0.65"/>
    <row r="1944" spans="2:33" ht="15" customHeight="1" x14ac:dyDescent="0.65"/>
    <row r="1945" spans="2:33" ht="15" customHeight="1" x14ac:dyDescent="0.65">
      <c r="B1945" s="475"/>
      <c r="C1945" s="475"/>
      <c r="D1945" s="475"/>
      <c r="E1945" s="475"/>
      <c r="F1945" s="475"/>
      <c r="G1945" s="475"/>
      <c r="H1945" s="475"/>
      <c r="I1945" s="475"/>
      <c r="J1945" s="475"/>
      <c r="K1945" s="475"/>
      <c r="L1945" s="475"/>
      <c r="M1945" s="475"/>
      <c r="N1945" s="475"/>
      <c r="O1945" s="475"/>
      <c r="P1945" s="475"/>
      <c r="Q1945" s="475"/>
      <c r="R1945" s="475"/>
      <c r="S1945" s="475"/>
      <c r="T1945" s="475"/>
      <c r="U1945" s="475"/>
      <c r="V1945" s="475"/>
      <c r="W1945" s="475"/>
      <c r="X1945" s="475"/>
      <c r="Y1945" s="475"/>
      <c r="Z1945" s="475"/>
      <c r="AA1945" s="475"/>
      <c r="AB1945" s="475"/>
      <c r="AC1945" s="475"/>
      <c r="AD1945" s="475"/>
      <c r="AE1945" s="475"/>
      <c r="AF1945" s="475"/>
      <c r="AG1945" s="475"/>
    </row>
    <row r="1946" spans="2:33" ht="15" customHeight="1" x14ac:dyDescent="0.65"/>
    <row r="1947" spans="2:33" ht="15" customHeight="1" x14ac:dyDescent="0.65"/>
    <row r="1948" spans="2:33" ht="15" customHeight="1" x14ac:dyDescent="0.65"/>
    <row r="1949" spans="2:33" ht="15" customHeight="1" x14ac:dyDescent="0.65"/>
    <row r="1950" spans="2:33" ht="15" customHeight="1" x14ac:dyDescent="0.65"/>
    <row r="1951" spans="2:33" ht="15" customHeight="1" x14ac:dyDescent="0.65"/>
    <row r="1952" spans="2:33" ht="15" customHeight="1" x14ac:dyDescent="0.65"/>
    <row r="1953" ht="15" customHeight="1" x14ac:dyDescent="0.65"/>
    <row r="1954" ht="15" customHeight="1" x14ac:dyDescent="0.65"/>
    <row r="1955" ht="15" customHeight="1" x14ac:dyDescent="0.65"/>
    <row r="1956" ht="15" customHeight="1" x14ac:dyDescent="0.65"/>
    <row r="1957" ht="15" customHeight="1" x14ac:dyDescent="0.65"/>
    <row r="1958" ht="15" customHeight="1" x14ac:dyDescent="0.65"/>
    <row r="1959" ht="15" customHeight="1" x14ac:dyDescent="0.65"/>
    <row r="1960" ht="15" customHeight="1" x14ac:dyDescent="0.65"/>
    <row r="1961" ht="15" customHeight="1" x14ac:dyDescent="0.65"/>
    <row r="1962" ht="15" customHeight="1" x14ac:dyDescent="0.65"/>
    <row r="1963" ht="15" customHeight="1" x14ac:dyDescent="0.65"/>
    <row r="1964" ht="15" customHeight="1" x14ac:dyDescent="0.65"/>
    <row r="1965" ht="15" customHeight="1" x14ac:dyDescent="0.65"/>
    <row r="1966" ht="15" customHeight="1" x14ac:dyDescent="0.65"/>
    <row r="1967" ht="15" customHeight="1" x14ac:dyDescent="0.65"/>
    <row r="1968" ht="15" customHeight="1" x14ac:dyDescent="0.65"/>
    <row r="1969" ht="15" customHeight="1" x14ac:dyDescent="0.65"/>
    <row r="1970" ht="15" customHeight="1" x14ac:dyDescent="0.65"/>
    <row r="1971" ht="15" customHeight="1" x14ac:dyDescent="0.65"/>
    <row r="1972" ht="15" customHeight="1" x14ac:dyDescent="0.65"/>
    <row r="1973" ht="15" customHeight="1" x14ac:dyDescent="0.65"/>
    <row r="1974" ht="15" customHeight="1" x14ac:dyDescent="0.65"/>
    <row r="1975" ht="15" customHeight="1" x14ac:dyDescent="0.65"/>
    <row r="1976" ht="15" customHeight="1" x14ac:dyDescent="0.65"/>
    <row r="1977" ht="15" customHeight="1" x14ac:dyDescent="0.65"/>
    <row r="1978" ht="15" customHeight="1" x14ac:dyDescent="0.65"/>
    <row r="1979" ht="15" customHeight="1" x14ac:dyDescent="0.65"/>
    <row r="1980" ht="15" customHeight="1" x14ac:dyDescent="0.65"/>
    <row r="1981" ht="15" customHeight="1" x14ac:dyDescent="0.65"/>
    <row r="1982" ht="15" customHeight="1" x14ac:dyDescent="0.65"/>
    <row r="1983" ht="15" customHeight="1" x14ac:dyDescent="0.65"/>
    <row r="1984" ht="15" customHeight="1" x14ac:dyDescent="0.65"/>
    <row r="1985" ht="15" customHeight="1" x14ac:dyDescent="0.65"/>
    <row r="1986" ht="15" customHeight="1" x14ac:dyDescent="0.65"/>
    <row r="1987" ht="15" customHeight="1" x14ac:dyDescent="0.65"/>
    <row r="1988" ht="15" customHeight="1" x14ac:dyDescent="0.65"/>
    <row r="1989" ht="15" customHeight="1" x14ac:dyDescent="0.65"/>
    <row r="1990" ht="15" customHeight="1" x14ac:dyDescent="0.65"/>
    <row r="1991" ht="15" customHeight="1" x14ac:dyDescent="0.65"/>
    <row r="1992" ht="15" customHeight="1" x14ac:dyDescent="0.65"/>
    <row r="1993" ht="15" customHeight="1" x14ac:dyDescent="0.65"/>
    <row r="1994" ht="15" customHeight="1" x14ac:dyDescent="0.65"/>
    <row r="1995" ht="15" customHeight="1" x14ac:dyDescent="0.65"/>
    <row r="1996" ht="15" customHeight="1" x14ac:dyDescent="0.65"/>
    <row r="1997" ht="15" customHeight="1" x14ac:dyDescent="0.65"/>
    <row r="1998" ht="15" customHeight="1" x14ac:dyDescent="0.65"/>
    <row r="1999" ht="15" customHeight="1" x14ac:dyDescent="0.65"/>
    <row r="2000" ht="15" customHeight="1" x14ac:dyDescent="0.65"/>
    <row r="2001" ht="15" customHeight="1" x14ac:dyDescent="0.65"/>
    <row r="2002" ht="15" customHeight="1" x14ac:dyDescent="0.65"/>
    <row r="2003" ht="15" customHeight="1" x14ac:dyDescent="0.65"/>
    <row r="2004" ht="15" customHeight="1" x14ac:dyDescent="0.65"/>
    <row r="2005" ht="15" customHeight="1" x14ac:dyDescent="0.65"/>
    <row r="2006" ht="15" customHeight="1" x14ac:dyDescent="0.65"/>
    <row r="2007" ht="15" customHeight="1" x14ac:dyDescent="0.65"/>
    <row r="2008" ht="15" customHeight="1" x14ac:dyDescent="0.65"/>
    <row r="2009" ht="15" customHeight="1" x14ac:dyDescent="0.65"/>
    <row r="2010" ht="15" customHeight="1" x14ac:dyDescent="0.65"/>
    <row r="2011" ht="15" customHeight="1" x14ac:dyDescent="0.65"/>
    <row r="2012" ht="15" customHeight="1" x14ac:dyDescent="0.65"/>
    <row r="2013" ht="15" customHeight="1" x14ac:dyDescent="0.65"/>
    <row r="2014" ht="15" customHeight="1" x14ac:dyDescent="0.65"/>
    <row r="2015" ht="15" customHeight="1" x14ac:dyDescent="0.65"/>
    <row r="2016" ht="15" customHeight="1" x14ac:dyDescent="0.65"/>
    <row r="2017" spans="2:33" ht="15" customHeight="1" x14ac:dyDescent="0.65"/>
    <row r="2018" spans="2:33" ht="15" customHeight="1" x14ac:dyDescent="0.65"/>
    <row r="2019" spans="2:33" ht="15" customHeight="1" x14ac:dyDescent="0.65"/>
    <row r="2020" spans="2:33" ht="15" customHeight="1" x14ac:dyDescent="0.65"/>
    <row r="2021" spans="2:33" ht="15" customHeight="1" x14ac:dyDescent="0.65"/>
    <row r="2022" spans="2:33" ht="15" customHeight="1" x14ac:dyDescent="0.65"/>
    <row r="2023" spans="2:33" ht="15" customHeight="1" x14ac:dyDescent="0.65"/>
    <row r="2024" spans="2:33" ht="15" customHeight="1" x14ac:dyDescent="0.65"/>
    <row r="2025" spans="2:33" ht="15" customHeight="1" x14ac:dyDescent="0.65"/>
    <row r="2026" spans="2:33" ht="15" customHeight="1" x14ac:dyDescent="0.65"/>
    <row r="2027" spans="2:33" ht="15" customHeight="1" x14ac:dyDescent="0.65"/>
    <row r="2028" spans="2:33" ht="15" customHeight="1" x14ac:dyDescent="0.65"/>
    <row r="2029" spans="2:33" ht="15" customHeight="1" x14ac:dyDescent="0.65"/>
    <row r="2030" spans="2:33" ht="15" customHeight="1" x14ac:dyDescent="0.65"/>
    <row r="2031" spans="2:33" ht="15" customHeight="1" x14ac:dyDescent="0.65">
      <c r="B2031" s="475"/>
      <c r="C2031" s="475"/>
      <c r="D2031" s="475"/>
      <c r="E2031" s="475"/>
      <c r="F2031" s="475"/>
      <c r="G2031" s="475"/>
      <c r="H2031" s="475"/>
      <c r="I2031" s="475"/>
      <c r="J2031" s="475"/>
      <c r="K2031" s="475"/>
      <c r="L2031" s="475"/>
      <c r="M2031" s="475"/>
      <c r="N2031" s="475"/>
      <c r="O2031" s="475"/>
      <c r="P2031" s="475"/>
      <c r="Q2031" s="475"/>
      <c r="R2031" s="475"/>
      <c r="S2031" s="475"/>
      <c r="T2031" s="475"/>
      <c r="U2031" s="475"/>
      <c r="V2031" s="475"/>
      <c r="W2031" s="475"/>
      <c r="X2031" s="475"/>
      <c r="Y2031" s="475"/>
      <c r="Z2031" s="475"/>
      <c r="AA2031" s="475"/>
      <c r="AB2031" s="475"/>
      <c r="AC2031" s="475"/>
      <c r="AD2031" s="475"/>
      <c r="AE2031" s="475"/>
      <c r="AF2031" s="475"/>
      <c r="AG2031" s="475"/>
    </row>
    <row r="2032" spans="2:33" ht="15" customHeight="1" x14ac:dyDescent="0.65"/>
    <row r="2033" ht="15" customHeight="1" x14ac:dyDescent="0.65"/>
    <row r="2034" ht="15" customHeight="1" x14ac:dyDescent="0.65"/>
    <row r="2035" ht="15" customHeight="1" x14ac:dyDescent="0.65"/>
    <row r="2036" ht="15" customHeight="1" x14ac:dyDescent="0.65"/>
    <row r="2037" ht="15" customHeight="1" x14ac:dyDescent="0.65"/>
    <row r="2038" ht="15" customHeight="1" x14ac:dyDescent="0.65"/>
    <row r="2039" ht="15" customHeight="1" x14ac:dyDescent="0.65"/>
    <row r="2040" ht="15" customHeight="1" x14ac:dyDescent="0.65"/>
    <row r="2041" ht="15" customHeight="1" x14ac:dyDescent="0.65"/>
    <row r="2042" ht="15" customHeight="1" x14ac:dyDescent="0.65"/>
    <row r="2043" ht="15" customHeight="1" x14ac:dyDescent="0.65"/>
    <row r="2044" ht="15" customHeight="1" x14ac:dyDescent="0.65"/>
    <row r="2045" ht="15" customHeight="1" x14ac:dyDescent="0.65"/>
    <row r="2046" ht="15" customHeight="1" x14ac:dyDescent="0.65"/>
    <row r="2047" ht="15" customHeight="1" x14ac:dyDescent="0.65"/>
    <row r="2048" ht="15" customHeight="1" x14ac:dyDescent="0.65"/>
    <row r="2049" ht="15" customHeight="1" x14ac:dyDescent="0.65"/>
    <row r="2050" ht="15" customHeight="1" x14ac:dyDescent="0.65"/>
    <row r="2051" ht="15" customHeight="1" x14ac:dyDescent="0.65"/>
    <row r="2052" ht="15" customHeight="1" x14ac:dyDescent="0.65"/>
    <row r="2053" ht="15" customHeight="1" x14ac:dyDescent="0.65"/>
    <row r="2054" ht="15" customHeight="1" x14ac:dyDescent="0.65"/>
    <row r="2055" ht="15" customHeight="1" x14ac:dyDescent="0.65"/>
    <row r="2056" ht="15" customHeight="1" x14ac:dyDescent="0.65"/>
    <row r="2057" ht="15" customHeight="1" x14ac:dyDescent="0.65"/>
    <row r="2058" ht="15" customHeight="1" x14ac:dyDescent="0.65"/>
    <row r="2059" ht="15" customHeight="1" x14ac:dyDescent="0.65"/>
    <row r="2060" ht="15" customHeight="1" x14ac:dyDescent="0.65"/>
    <row r="2061" ht="15" customHeight="1" x14ac:dyDescent="0.65"/>
    <row r="2062" ht="15" customHeight="1" x14ac:dyDescent="0.65"/>
    <row r="2063" ht="15" customHeight="1" x14ac:dyDescent="0.65"/>
    <row r="2064" ht="15" customHeight="1" x14ac:dyDescent="0.65"/>
    <row r="2065" ht="15" customHeight="1" x14ac:dyDescent="0.65"/>
    <row r="2066" ht="15" customHeight="1" x14ac:dyDescent="0.65"/>
    <row r="2067" ht="15" customHeight="1" x14ac:dyDescent="0.65"/>
    <row r="2068" ht="15" customHeight="1" x14ac:dyDescent="0.65"/>
    <row r="2069" ht="15" customHeight="1" x14ac:dyDescent="0.65"/>
    <row r="2070" ht="15" customHeight="1" x14ac:dyDescent="0.65"/>
    <row r="2071" ht="15" customHeight="1" x14ac:dyDescent="0.65"/>
    <row r="2072" ht="15" customHeight="1" x14ac:dyDescent="0.65"/>
    <row r="2073" ht="15" customHeight="1" x14ac:dyDescent="0.65"/>
    <row r="2074" ht="15" customHeight="1" x14ac:dyDescent="0.65"/>
    <row r="2075" ht="15" customHeight="1" x14ac:dyDescent="0.65"/>
    <row r="2076" ht="15" customHeight="1" x14ac:dyDescent="0.65"/>
    <row r="2077" ht="15" customHeight="1" x14ac:dyDescent="0.65"/>
    <row r="2078" ht="15" customHeight="1" x14ac:dyDescent="0.65"/>
    <row r="2079" ht="15" customHeight="1" x14ac:dyDescent="0.65"/>
    <row r="2080" ht="15" customHeight="1" x14ac:dyDescent="0.65"/>
    <row r="2081" ht="15" customHeight="1" x14ac:dyDescent="0.65"/>
    <row r="2082" ht="15" customHeight="1" x14ac:dyDescent="0.65"/>
    <row r="2083" ht="15" customHeight="1" x14ac:dyDescent="0.65"/>
    <row r="2084" ht="15" customHeight="1" x14ac:dyDescent="0.65"/>
    <row r="2085" ht="15" customHeight="1" x14ac:dyDescent="0.65"/>
    <row r="2086" ht="15" customHeight="1" x14ac:dyDescent="0.65"/>
    <row r="2087" ht="15" customHeight="1" x14ac:dyDescent="0.65"/>
    <row r="2088" ht="15" customHeight="1" x14ac:dyDescent="0.65"/>
    <row r="2089" ht="15" customHeight="1" x14ac:dyDescent="0.65"/>
    <row r="2090" ht="15" customHeight="1" x14ac:dyDescent="0.65"/>
    <row r="2091" ht="15" customHeight="1" x14ac:dyDescent="0.65"/>
    <row r="2092" ht="15" customHeight="1" x14ac:dyDescent="0.65"/>
    <row r="2093" ht="15" customHeight="1" x14ac:dyDescent="0.65"/>
    <row r="2094" ht="15" customHeight="1" x14ac:dyDescent="0.65"/>
    <row r="2095" ht="15" customHeight="1" x14ac:dyDescent="0.65"/>
    <row r="2096" ht="15" customHeight="1" x14ac:dyDescent="0.65"/>
    <row r="2097" ht="15" customHeight="1" x14ac:dyDescent="0.65"/>
    <row r="2098" ht="15" customHeight="1" x14ac:dyDescent="0.65"/>
    <row r="2099" ht="15" customHeight="1" x14ac:dyDescent="0.65"/>
    <row r="2100" ht="15" customHeight="1" x14ac:dyDescent="0.65"/>
    <row r="2101" ht="15" customHeight="1" x14ac:dyDescent="0.65"/>
    <row r="2102" ht="15" customHeight="1" x14ac:dyDescent="0.65"/>
    <row r="2103" ht="15" customHeight="1" x14ac:dyDescent="0.65"/>
    <row r="2104" ht="15" customHeight="1" x14ac:dyDescent="0.65"/>
    <row r="2105" ht="15" customHeight="1" x14ac:dyDescent="0.65"/>
    <row r="2106" ht="15" customHeight="1" x14ac:dyDescent="0.65"/>
    <row r="2107" ht="15" customHeight="1" x14ac:dyDescent="0.65"/>
    <row r="2108" ht="15" customHeight="1" x14ac:dyDescent="0.65"/>
    <row r="2109" ht="15" customHeight="1" x14ac:dyDescent="0.65"/>
    <row r="2110" ht="15" customHeight="1" x14ac:dyDescent="0.65"/>
    <row r="2111" ht="15" customHeight="1" x14ac:dyDescent="0.65"/>
    <row r="2112" ht="15" customHeight="1" x14ac:dyDescent="0.65"/>
    <row r="2113" ht="15" customHeight="1" x14ac:dyDescent="0.65"/>
    <row r="2114" ht="15" customHeight="1" x14ac:dyDescent="0.65"/>
    <row r="2115" ht="15" customHeight="1" x14ac:dyDescent="0.65"/>
    <row r="2116" ht="15" customHeight="1" x14ac:dyDescent="0.65"/>
    <row r="2117" ht="15" customHeight="1" x14ac:dyDescent="0.65"/>
    <row r="2118" ht="15" customHeight="1" x14ac:dyDescent="0.65"/>
    <row r="2119" ht="15" customHeight="1" x14ac:dyDescent="0.65"/>
    <row r="2120" ht="15" customHeight="1" x14ac:dyDescent="0.65"/>
    <row r="2121" ht="15" customHeight="1" x14ac:dyDescent="0.65"/>
    <row r="2122" ht="15" customHeight="1" x14ac:dyDescent="0.65"/>
    <row r="2123" ht="15" customHeight="1" x14ac:dyDescent="0.65"/>
    <row r="2124" ht="15" customHeight="1" x14ac:dyDescent="0.65"/>
    <row r="2125" ht="15" customHeight="1" x14ac:dyDescent="0.65"/>
    <row r="2126" ht="15" customHeight="1" x14ac:dyDescent="0.65"/>
    <row r="2127" ht="15" customHeight="1" x14ac:dyDescent="0.65"/>
    <row r="2128" ht="15" customHeight="1" x14ac:dyDescent="0.65"/>
    <row r="2129" ht="15" customHeight="1" x14ac:dyDescent="0.65"/>
    <row r="2130" ht="15" customHeight="1" x14ac:dyDescent="0.65"/>
    <row r="2131" ht="15" customHeight="1" x14ac:dyDescent="0.65"/>
    <row r="2132" ht="15" customHeight="1" x14ac:dyDescent="0.65"/>
    <row r="2133" ht="15" customHeight="1" x14ac:dyDescent="0.65"/>
    <row r="2134" ht="15" customHeight="1" x14ac:dyDescent="0.65"/>
    <row r="2135" ht="15" customHeight="1" x14ac:dyDescent="0.65"/>
    <row r="2136" ht="15" customHeight="1" x14ac:dyDescent="0.65"/>
    <row r="2137" ht="15" customHeight="1" x14ac:dyDescent="0.65"/>
    <row r="2138" ht="15" customHeight="1" x14ac:dyDescent="0.65"/>
    <row r="2139" ht="15" customHeight="1" x14ac:dyDescent="0.65"/>
    <row r="2140" ht="15" customHeight="1" x14ac:dyDescent="0.65"/>
    <row r="2141" ht="15" customHeight="1" x14ac:dyDescent="0.65"/>
    <row r="2142" ht="15" customHeight="1" x14ac:dyDescent="0.65"/>
    <row r="2143" ht="15" customHeight="1" x14ac:dyDescent="0.65"/>
    <row r="2144" ht="15" customHeight="1" x14ac:dyDescent="0.65"/>
    <row r="2145" spans="2:33" ht="15" customHeight="1" x14ac:dyDescent="0.65"/>
    <row r="2146" spans="2:33" ht="15" customHeight="1" x14ac:dyDescent="0.65"/>
    <row r="2147" spans="2:33" ht="15" customHeight="1" x14ac:dyDescent="0.65"/>
    <row r="2148" spans="2:33" ht="15" customHeight="1" x14ac:dyDescent="0.65"/>
    <row r="2149" spans="2:33" ht="15" customHeight="1" x14ac:dyDescent="0.65"/>
    <row r="2150" spans="2:33" ht="15" customHeight="1" x14ac:dyDescent="0.65"/>
    <row r="2151" spans="2:33" ht="15" customHeight="1" x14ac:dyDescent="0.65"/>
    <row r="2152" spans="2:33" ht="15" customHeight="1" x14ac:dyDescent="0.65"/>
    <row r="2153" spans="2:33" ht="15" customHeight="1" x14ac:dyDescent="0.65">
      <c r="B2153" s="475"/>
      <c r="C2153" s="475"/>
      <c r="D2153" s="475"/>
      <c r="E2153" s="475"/>
      <c r="F2153" s="475"/>
      <c r="G2153" s="475"/>
      <c r="H2153" s="475"/>
      <c r="I2153" s="475"/>
      <c r="J2153" s="475"/>
      <c r="K2153" s="475"/>
      <c r="L2153" s="475"/>
      <c r="M2153" s="475"/>
      <c r="N2153" s="475"/>
      <c r="O2153" s="475"/>
      <c r="P2153" s="475"/>
      <c r="Q2153" s="475"/>
      <c r="R2153" s="475"/>
      <c r="S2153" s="475"/>
      <c r="T2153" s="475"/>
      <c r="U2153" s="475"/>
      <c r="V2153" s="475"/>
      <c r="W2153" s="475"/>
      <c r="X2153" s="475"/>
      <c r="Y2153" s="475"/>
      <c r="Z2153" s="475"/>
      <c r="AA2153" s="475"/>
      <c r="AB2153" s="475"/>
      <c r="AC2153" s="475"/>
      <c r="AD2153" s="475"/>
      <c r="AE2153" s="475"/>
      <c r="AF2153" s="475"/>
      <c r="AG2153" s="475"/>
    </row>
    <row r="2154" spans="2:33" ht="15" customHeight="1" x14ac:dyDescent="0.65"/>
    <row r="2155" spans="2:33" ht="15" customHeight="1" x14ac:dyDescent="0.65"/>
    <row r="2156" spans="2:33" ht="15" customHeight="1" x14ac:dyDescent="0.65"/>
    <row r="2157" spans="2:33" ht="15" customHeight="1" x14ac:dyDescent="0.65"/>
    <row r="2158" spans="2:33" ht="15" customHeight="1" x14ac:dyDescent="0.65"/>
    <row r="2159" spans="2:33" ht="15" customHeight="1" x14ac:dyDescent="0.65"/>
    <row r="2160" spans="2:33" ht="15" customHeight="1" x14ac:dyDescent="0.65"/>
    <row r="2161" ht="15" customHeight="1" x14ac:dyDescent="0.65"/>
    <row r="2162" ht="15" customHeight="1" x14ac:dyDescent="0.65"/>
    <row r="2163" ht="15" customHeight="1" x14ac:dyDescent="0.65"/>
    <row r="2164" ht="15" customHeight="1" x14ac:dyDescent="0.65"/>
    <row r="2165" ht="15" customHeight="1" x14ac:dyDescent="0.65"/>
    <row r="2166" ht="15" customHeight="1" x14ac:dyDescent="0.65"/>
    <row r="2167" ht="15" customHeight="1" x14ac:dyDescent="0.65"/>
    <row r="2168" ht="15" customHeight="1" x14ac:dyDescent="0.65"/>
    <row r="2169" ht="15" customHeight="1" x14ac:dyDescent="0.65"/>
    <row r="2170" ht="15" customHeight="1" x14ac:dyDescent="0.65"/>
    <row r="2171" ht="15" customHeight="1" x14ac:dyDescent="0.65"/>
    <row r="2172" ht="15" customHeight="1" x14ac:dyDescent="0.65"/>
    <row r="2173" ht="15" customHeight="1" x14ac:dyDescent="0.65"/>
    <row r="2174" ht="15" customHeight="1" x14ac:dyDescent="0.65"/>
    <row r="2175" ht="15" customHeight="1" x14ac:dyDescent="0.65"/>
    <row r="2176" ht="15" customHeight="1" x14ac:dyDescent="0.65"/>
    <row r="2177" ht="15" customHeight="1" x14ac:dyDescent="0.65"/>
    <row r="2178" ht="15" customHeight="1" x14ac:dyDescent="0.65"/>
    <row r="2179" ht="15" customHeight="1" x14ac:dyDescent="0.65"/>
    <row r="2180" ht="15" customHeight="1" x14ac:dyDescent="0.65"/>
    <row r="2181" ht="15" customHeight="1" x14ac:dyDescent="0.65"/>
    <row r="2182" ht="15" customHeight="1" x14ac:dyDescent="0.65"/>
    <row r="2183" ht="15" customHeight="1" x14ac:dyDescent="0.65"/>
    <row r="2184" ht="15" customHeight="1" x14ac:dyDescent="0.65"/>
    <row r="2185" ht="15" customHeight="1" x14ac:dyDescent="0.65"/>
    <row r="2186" ht="15" customHeight="1" x14ac:dyDescent="0.65"/>
    <row r="2187" ht="15" customHeight="1" x14ac:dyDescent="0.65"/>
    <row r="2188" ht="15" customHeight="1" x14ac:dyDescent="0.65"/>
    <row r="2189" ht="15" customHeight="1" x14ac:dyDescent="0.65"/>
    <row r="2190" ht="15" customHeight="1" x14ac:dyDescent="0.65"/>
    <row r="2191" ht="15" customHeight="1" x14ac:dyDescent="0.65"/>
    <row r="2192" ht="15" customHeight="1" x14ac:dyDescent="0.65"/>
    <row r="2193" ht="15" customHeight="1" x14ac:dyDescent="0.65"/>
    <row r="2194" ht="15" customHeight="1" x14ac:dyDescent="0.65"/>
    <row r="2195" ht="15" customHeight="1" x14ac:dyDescent="0.65"/>
    <row r="2196" ht="15" customHeight="1" x14ac:dyDescent="0.65"/>
    <row r="2197" ht="15" customHeight="1" x14ac:dyDescent="0.65"/>
    <row r="2198" ht="15" customHeight="1" x14ac:dyDescent="0.65"/>
    <row r="2199" ht="15" customHeight="1" x14ac:dyDescent="0.65"/>
    <row r="2200" ht="15" customHeight="1" x14ac:dyDescent="0.65"/>
    <row r="2201" ht="15" customHeight="1" x14ac:dyDescent="0.65"/>
    <row r="2202" ht="15" customHeight="1" x14ac:dyDescent="0.65"/>
    <row r="2203" ht="15" customHeight="1" x14ac:dyDescent="0.65"/>
    <row r="2204" ht="15" customHeight="1" x14ac:dyDescent="0.65"/>
    <row r="2205" ht="15" customHeight="1" x14ac:dyDescent="0.65"/>
    <row r="2206" ht="15" customHeight="1" x14ac:dyDescent="0.65"/>
    <row r="2207" ht="15" customHeight="1" x14ac:dyDescent="0.65"/>
    <row r="2208" ht="15" customHeight="1" x14ac:dyDescent="0.65"/>
    <row r="2209" ht="15" customHeight="1" x14ac:dyDescent="0.65"/>
    <row r="2210" ht="15" customHeight="1" x14ac:dyDescent="0.65"/>
    <row r="2211" ht="15" customHeight="1" x14ac:dyDescent="0.65"/>
    <row r="2212" ht="15" customHeight="1" x14ac:dyDescent="0.65"/>
    <row r="2213" ht="15" customHeight="1" x14ac:dyDescent="0.65"/>
    <row r="2214" ht="15" customHeight="1" x14ac:dyDescent="0.65"/>
    <row r="2215" ht="15" customHeight="1" x14ac:dyDescent="0.65"/>
    <row r="2216" ht="15" customHeight="1" x14ac:dyDescent="0.65"/>
    <row r="2217" ht="15" customHeight="1" x14ac:dyDescent="0.65"/>
    <row r="2218" ht="15" customHeight="1" x14ac:dyDescent="0.65"/>
    <row r="2219" ht="15" customHeight="1" x14ac:dyDescent="0.65"/>
    <row r="2220" ht="15" customHeight="1" x14ac:dyDescent="0.65"/>
    <row r="2221" ht="15" customHeight="1" x14ac:dyDescent="0.65"/>
    <row r="2222" ht="15" customHeight="1" x14ac:dyDescent="0.65"/>
    <row r="2223" ht="15" customHeight="1" x14ac:dyDescent="0.65"/>
    <row r="2224" ht="15" customHeight="1" x14ac:dyDescent="0.65"/>
    <row r="2225" ht="15" customHeight="1" x14ac:dyDescent="0.65"/>
    <row r="2226" ht="15" customHeight="1" x14ac:dyDescent="0.65"/>
    <row r="2227" ht="15" customHeight="1" x14ac:dyDescent="0.65"/>
    <row r="2228" ht="15" customHeight="1" x14ac:dyDescent="0.65"/>
    <row r="2229" ht="15" customHeight="1" x14ac:dyDescent="0.65"/>
    <row r="2230" ht="15" customHeight="1" x14ac:dyDescent="0.65"/>
    <row r="2231" ht="15" customHeight="1" x14ac:dyDescent="0.65"/>
    <row r="2232" ht="15" customHeight="1" x14ac:dyDescent="0.65"/>
    <row r="2233" ht="15" customHeight="1" x14ac:dyDescent="0.65"/>
    <row r="2234" ht="15" customHeight="1" x14ac:dyDescent="0.65"/>
    <row r="2235" ht="15" customHeight="1" x14ac:dyDescent="0.65"/>
    <row r="2236" ht="15" customHeight="1" x14ac:dyDescent="0.65"/>
    <row r="2237" ht="15" customHeight="1" x14ac:dyDescent="0.65"/>
    <row r="2238" ht="15" customHeight="1" x14ac:dyDescent="0.65"/>
    <row r="2239" ht="15" customHeight="1" x14ac:dyDescent="0.65"/>
    <row r="2240" ht="15" customHeight="1" x14ac:dyDescent="0.65"/>
    <row r="2241" ht="15" customHeight="1" x14ac:dyDescent="0.65"/>
    <row r="2242" ht="15" customHeight="1" x14ac:dyDescent="0.65"/>
    <row r="2243" ht="15" customHeight="1" x14ac:dyDescent="0.65"/>
    <row r="2244" ht="15" customHeight="1" x14ac:dyDescent="0.65"/>
    <row r="2245" ht="15" customHeight="1" x14ac:dyDescent="0.65"/>
    <row r="2246" ht="15" customHeight="1" x14ac:dyDescent="0.65"/>
    <row r="2247" ht="15" customHeight="1" x14ac:dyDescent="0.65"/>
    <row r="2248" ht="15" customHeight="1" x14ac:dyDescent="0.65"/>
    <row r="2249" ht="15" customHeight="1" x14ac:dyDescent="0.65"/>
    <row r="2250" ht="15" customHeight="1" x14ac:dyDescent="0.65"/>
    <row r="2251" ht="15" customHeight="1" x14ac:dyDescent="0.65"/>
    <row r="2252" ht="15" customHeight="1" x14ac:dyDescent="0.65"/>
    <row r="2253" ht="15" customHeight="1" x14ac:dyDescent="0.65"/>
    <row r="2254" ht="15" customHeight="1" x14ac:dyDescent="0.65"/>
    <row r="2255" ht="15" customHeight="1" x14ac:dyDescent="0.65"/>
    <row r="2256" ht="15" customHeight="1" x14ac:dyDescent="0.65"/>
    <row r="2257" ht="15" customHeight="1" x14ac:dyDescent="0.65"/>
    <row r="2258" ht="15" customHeight="1" x14ac:dyDescent="0.65"/>
    <row r="2259" ht="15" customHeight="1" x14ac:dyDescent="0.65"/>
    <row r="2260" ht="15" customHeight="1" x14ac:dyDescent="0.65"/>
    <row r="2261" ht="15" customHeight="1" x14ac:dyDescent="0.65"/>
    <row r="2262" ht="15" customHeight="1" x14ac:dyDescent="0.65"/>
    <row r="2263" ht="15" customHeight="1" x14ac:dyDescent="0.65"/>
    <row r="2264" ht="15" customHeight="1" x14ac:dyDescent="0.65"/>
    <row r="2265" ht="15" customHeight="1" x14ac:dyDescent="0.65"/>
    <row r="2266" ht="15" customHeight="1" x14ac:dyDescent="0.65"/>
    <row r="2267" ht="15" customHeight="1" x14ac:dyDescent="0.65"/>
    <row r="2268" ht="15" customHeight="1" x14ac:dyDescent="0.65"/>
    <row r="2269" ht="15" customHeight="1" x14ac:dyDescent="0.65"/>
    <row r="2270" ht="15" customHeight="1" x14ac:dyDescent="0.65"/>
    <row r="2271" ht="15" customHeight="1" x14ac:dyDescent="0.65"/>
    <row r="2272" ht="15" customHeight="1" x14ac:dyDescent="0.65"/>
    <row r="2273" ht="15" customHeight="1" x14ac:dyDescent="0.65"/>
    <row r="2274" ht="15" customHeight="1" x14ac:dyDescent="0.65"/>
    <row r="2275" ht="15" customHeight="1" x14ac:dyDescent="0.65"/>
    <row r="2276" ht="15" customHeight="1" x14ac:dyDescent="0.65"/>
    <row r="2277" ht="15" customHeight="1" x14ac:dyDescent="0.65"/>
    <row r="2278" ht="15" customHeight="1" x14ac:dyDescent="0.65"/>
    <row r="2279" ht="15" customHeight="1" x14ac:dyDescent="0.65"/>
    <row r="2280" ht="15" customHeight="1" x14ac:dyDescent="0.65"/>
    <row r="2281" ht="15" customHeight="1" x14ac:dyDescent="0.65"/>
    <row r="2282" ht="15" customHeight="1" x14ac:dyDescent="0.65"/>
    <row r="2283" ht="15" customHeight="1" x14ac:dyDescent="0.65"/>
    <row r="2284" ht="15" customHeight="1" x14ac:dyDescent="0.65"/>
    <row r="2285" ht="15" customHeight="1" x14ac:dyDescent="0.65"/>
    <row r="2286" ht="15" customHeight="1" x14ac:dyDescent="0.65"/>
    <row r="2287" ht="15" customHeight="1" x14ac:dyDescent="0.65"/>
    <row r="2288" ht="15" customHeight="1" x14ac:dyDescent="0.65"/>
    <row r="2289" ht="15" customHeight="1" x14ac:dyDescent="0.65"/>
    <row r="2290" ht="15" customHeight="1" x14ac:dyDescent="0.65"/>
    <row r="2291" ht="15" customHeight="1" x14ac:dyDescent="0.65"/>
    <row r="2292" ht="15" customHeight="1" x14ac:dyDescent="0.65"/>
    <row r="2293" ht="15" customHeight="1" x14ac:dyDescent="0.65"/>
    <row r="2294" ht="15" customHeight="1" x14ac:dyDescent="0.65"/>
    <row r="2295" ht="15" customHeight="1" x14ac:dyDescent="0.65"/>
    <row r="2296" ht="15" customHeight="1" x14ac:dyDescent="0.65"/>
    <row r="2297" ht="15" customHeight="1" x14ac:dyDescent="0.65"/>
    <row r="2298" ht="15" customHeight="1" x14ac:dyDescent="0.65"/>
    <row r="2299" ht="15" customHeight="1" x14ac:dyDescent="0.65"/>
    <row r="2300" ht="15" customHeight="1" x14ac:dyDescent="0.65"/>
    <row r="2301" ht="15" customHeight="1" x14ac:dyDescent="0.65"/>
    <row r="2302" ht="15" customHeight="1" x14ac:dyDescent="0.65"/>
    <row r="2303" ht="15" customHeight="1" x14ac:dyDescent="0.65"/>
    <row r="2304" ht="15" customHeight="1" x14ac:dyDescent="0.65"/>
    <row r="2305" spans="2:33" ht="15" customHeight="1" x14ac:dyDescent="0.65"/>
    <row r="2306" spans="2:33" ht="15" customHeight="1" x14ac:dyDescent="0.65"/>
    <row r="2307" spans="2:33" ht="15" customHeight="1" x14ac:dyDescent="0.65"/>
    <row r="2308" spans="2:33" ht="15" customHeight="1" x14ac:dyDescent="0.65"/>
    <row r="2309" spans="2:33" ht="15" customHeight="1" x14ac:dyDescent="0.65"/>
    <row r="2310" spans="2:33" ht="15" customHeight="1" x14ac:dyDescent="0.65"/>
    <row r="2311" spans="2:33" ht="15" customHeight="1" x14ac:dyDescent="0.65"/>
    <row r="2312" spans="2:33" ht="15" customHeight="1" x14ac:dyDescent="0.65"/>
    <row r="2313" spans="2:33" ht="15" customHeight="1" x14ac:dyDescent="0.65"/>
    <row r="2314" spans="2:33" ht="15" customHeight="1" x14ac:dyDescent="0.65"/>
    <row r="2315" spans="2:33" ht="15" customHeight="1" x14ac:dyDescent="0.65"/>
    <row r="2316" spans="2:33" ht="15" customHeight="1" x14ac:dyDescent="0.65"/>
    <row r="2317" spans="2:33" ht="15" customHeight="1" x14ac:dyDescent="0.65">
      <c r="B2317" s="475"/>
      <c r="C2317" s="475"/>
      <c r="D2317" s="475"/>
      <c r="E2317" s="475"/>
      <c r="F2317" s="475"/>
      <c r="G2317" s="475"/>
      <c r="H2317" s="475"/>
      <c r="I2317" s="475"/>
      <c r="J2317" s="475"/>
      <c r="K2317" s="475"/>
      <c r="L2317" s="475"/>
      <c r="M2317" s="475"/>
      <c r="N2317" s="475"/>
      <c r="O2317" s="475"/>
      <c r="P2317" s="475"/>
      <c r="Q2317" s="475"/>
      <c r="R2317" s="475"/>
      <c r="S2317" s="475"/>
      <c r="T2317" s="475"/>
      <c r="U2317" s="475"/>
      <c r="V2317" s="475"/>
      <c r="W2317" s="475"/>
      <c r="X2317" s="475"/>
      <c r="Y2317" s="475"/>
      <c r="Z2317" s="475"/>
      <c r="AA2317" s="475"/>
      <c r="AB2317" s="475"/>
      <c r="AC2317" s="475"/>
      <c r="AD2317" s="475"/>
      <c r="AE2317" s="475"/>
      <c r="AF2317" s="475"/>
      <c r="AG2317" s="475"/>
    </row>
    <row r="2318" spans="2:33" ht="15" customHeight="1" x14ac:dyDescent="0.65"/>
    <row r="2319" spans="2:33" ht="15" customHeight="1" x14ac:dyDescent="0.65"/>
    <row r="2320" spans="2:33" ht="15" customHeight="1" x14ac:dyDescent="0.65"/>
    <row r="2321" ht="15" customHeight="1" x14ac:dyDescent="0.65"/>
    <row r="2322" ht="15" customHeight="1" x14ac:dyDescent="0.65"/>
    <row r="2323" ht="15" customHeight="1" x14ac:dyDescent="0.65"/>
    <row r="2324" ht="15" customHeight="1" x14ac:dyDescent="0.65"/>
    <row r="2325" ht="15" customHeight="1" x14ac:dyDescent="0.65"/>
    <row r="2326" ht="15" customHeight="1" x14ac:dyDescent="0.65"/>
    <row r="2327" ht="15" customHeight="1" x14ac:dyDescent="0.65"/>
    <row r="2328" ht="15" customHeight="1" x14ac:dyDescent="0.65"/>
    <row r="2329" ht="15" customHeight="1" x14ac:dyDescent="0.65"/>
    <row r="2330" ht="15" customHeight="1" x14ac:dyDescent="0.65"/>
    <row r="2331" ht="15" customHeight="1" x14ac:dyDescent="0.65"/>
    <row r="2332" ht="15" customHeight="1" x14ac:dyDescent="0.65"/>
    <row r="2333" ht="15" customHeight="1" x14ac:dyDescent="0.65"/>
    <row r="2334" ht="15" customHeight="1" x14ac:dyDescent="0.65"/>
    <row r="2335" ht="15" customHeight="1" x14ac:dyDescent="0.65"/>
    <row r="2336" ht="15" customHeight="1" x14ac:dyDescent="0.65"/>
    <row r="2337" ht="15" customHeight="1" x14ac:dyDescent="0.65"/>
    <row r="2338" ht="15" customHeight="1" x14ac:dyDescent="0.65"/>
    <row r="2339" ht="15" customHeight="1" x14ac:dyDescent="0.65"/>
    <row r="2340" ht="15" customHeight="1" x14ac:dyDescent="0.65"/>
    <row r="2341" ht="15" customHeight="1" x14ac:dyDescent="0.65"/>
    <row r="2342" ht="15" customHeight="1" x14ac:dyDescent="0.65"/>
    <row r="2343" ht="15" customHeight="1" x14ac:dyDescent="0.65"/>
    <row r="2344" ht="15" customHeight="1" x14ac:dyDescent="0.65"/>
    <row r="2345" ht="15" customHeight="1" x14ac:dyDescent="0.65"/>
    <row r="2346" ht="15" customHeight="1" x14ac:dyDescent="0.65"/>
    <row r="2347" ht="15" customHeight="1" x14ac:dyDescent="0.65"/>
    <row r="2348" ht="15" customHeight="1" x14ac:dyDescent="0.65"/>
    <row r="2349" ht="15" customHeight="1" x14ac:dyDescent="0.65"/>
    <row r="2350" ht="15" customHeight="1" x14ac:dyDescent="0.65"/>
    <row r="2351" ht="15" customHeight="1" x14ac:dyDescent="0.65"/>
    <row r="2352" ht="15" customHeight="1" x14ac:dyDescent="0.65"/>
    <row r="2353" ht="15" customHeight="1" x14ac:dyDescent="0.65"/>
    <row r="2354" ht="15" customHeight="1" x14ac:dyDescent="0.65"/>
    <row r="2355" ht="15" customHeight="1" x14ac:dyDescent="0.65"/>
    <row r="2356" ht="15" customHeight="1" x14ac:dyDescent="0.65"/>
    <row r="2357" ht="15" customHeight="1" x14ac:dyDescent="0.65"/>
    <row r="2358" ht="15" customHeight="1" x14ac:dyDescent="0.65"/>
    <row r="2359" ht="15" customHeight="1" x14ac:dyDescent="0.65"/>
    <row r="2360" ht="15" customHeight="1" x14ac:dyDescent="0.65"/>
    <row r="2361" ht="15" customHeight="1" x14ac:dyDescent="0.65"/>
    <row r="2362" ht="15" customHeight="1" x14ac:dyDescent="0.65"/>
    <row r="2363" ht="15" customHeight="1" x14ac:dyDescent="0.65"/>
    <row r="2364" ht="15" customHeight="1" x14ac:dyDescent="0.65"/>
    <row r="2365" ht="15" customHeight="1" x14ac:dyDescent="0.65"/>
    <row r="2366" ht="15" customHeight="1" x14ac:dyDescent="0.65"/>
    <row r="2367" ht="15" customHeight="1" x14ac:dyDescent="0.65"/>
    <row r="2368" ht="15" customHeight="1" x14ac:dyDescent="0.65"/>
    <row r="2369" ht="15" customHeight="1" x14ac:dyDescent="0.65"/>
    <row r="2370" ht="15" customHeight="1" x14ac:dyDescent="0.65"/>
    <row r="2371" ht="15" customHeight="1" x14ac:dyDescent="0.65"/>
    <row r="2372" ht="15" customHeight="1" x14ac:dyDescent="0.65"/>
    <row r="2373" ht="15" customHeight="1" x14ac:dyDescent="0.65"/>
    <row r="2374" ht="15" customHeight="1" x14ac:dyDescent="0.65"/>
    <row r="2375" ht="15" customHeight="1" x14ac:dyDescent="0.65"/>
    <row r="2376" ht="15" customHeight="1" x14ac:dyDescent="0.65"/>
    <row r="2377" ht="15" customHeight="1" x14ac:dyDescent="0.65"/>
    <row r="2378" ht="15" customHeight="1" x14ac:dyDescent="0.65"/>
    <row r="2379" ht="15" customHeight="1" x14ac:dyDescent="0.65"/>
    <row r="2380" ht="15" customHeight="1" x14ac:dyDescent="0.65"/>
    <row r="2381" ht="15" customHeight="1" x14ac:dyDescent="0.65"/>
    <row r="2382" ht="15" customHeight="1" x14ac:dyDescent="0.65"/>
    <row r="2383" ht="15" customHeight="1" x14ac:dyDescent="0.65"/>
    <row r="2384" ht="15" customHeight="1" x14ac:dyDescent="0.65"/>
    <row r="2385" ht="15" customHeight="1" x14ac:dyDescent="0.65"/>
    <row r="2386" ht="15" customHeight="1" x14ac:dyDescent="0.65"/>
    <row r="2387" ht="15" customHeight="1" x14ac:dyDescent="0.65"/>
    <row r="2388" ht="15" customHeight="1" x14ac:dyDescent="0.65"/>
    <row r="2389" ht="15" customHeight="1" x14ac:dyDescent="0.65"/>
    <row r="2390" ht="15" customHeight="1" x14ac:dyDescent="0.65"/>
    <row r="2391" ht="15" customHeight="1" x14ac:dyDescent="0.65"/>
    <row r="2392" ht="15" customHeight="1" x14ac:dyDescent="0.65"/>
    <row r="2393" ht="15" customHeight="1" x14ac:dyDescent="0.65"/>
    <row r="2394" ht="15" customHeight="1" x14ac:dyDescent="0.65"/>
    <row r="2395" ht="15" customHeight="1" x14ac:dyDescent="0.65"/>
    <row r="2396" ht="15" customHeight="1" x14ac:dyDescent="0.65"/>
    <row r="2397" ht="15" customHeight="1" x14ac:dyDescent="0.65"/>
    <row r="2398" ht="15" customHeight="1" x14ac:dyDescent="0.65"/>
    <row r="2399" ht="15" customHeight="1" x14ac:dyDescent="0.65"/>
    <row r="2400" ht="15" customHeight="1" x14ac:dyDescent="0.65"/>
    <row r="2401" ht="15" customHeight="1" x14ac:dyDescent="0.65"/>
    <row r="2402" ht="15" customHeight="1" x14ac:dyDescent="0.65"/>
    <row r="2403" ht="15" customHeight="1" x14ac:dyDescent="0.65"/>
    <row r="2404" ht="15" customHeight="1" x14ac:dyDescent="0.65"/>
    <row r="2405" ht="15" customHeight="1" x14ac:dyDescent="0.65"/>
    <row r="2406" ht="15" customHeight="1" x14ac:dyDescent="0.65"/>
    <row r="2407" ht="15" customHeight="1" x14ac:dyDescent="0.65"/>
    <row r="2408" ht="15" customHeight="1" x14ac:dyDescent="0.65"/>
    <row r="2409" ht="15" customHeight="1" x14ac:dyDescent="0.65"/>
    <row r="2410" ht="15" customHeight="1" x14ac:dyDescent="0.65"/>
    <row r="2411" ht="15" customHeight="1" x14ac:dyDescent="0.65"/>
    <row r="2412" ht="15" customHeight="1" x14ac:dyDescent="0.65"/>
    <row r="2413" ht="15" customHeight="1" x14ac:dyDescent="0.65"/>
    <row r="2414" ht="15" customHeight="1" x14ac:dyDescent="0.65"/>
    <row r="2415" ht="15" customHeight="1" x14ac:dyDescent="0.65"/>
    <row r="2416" ht="15" customHeight="1" x14ac:dyDescent="0.65"/>
    <row r="2417" spans="2:33" ht="15" customHeight="1" x14ac:dyDescent="0.65"/>
    <row r="2418" spans="2:33" ht="15" customHeight="1" x14ac:dyDescent="0.65"/>
    <row r="2419" spans="2:33" ht="15" customHeight="1" x14ac:dyDescent="0.65">
      <c r="B2419" s="475"/>
      <c r="C2419" s="475"/>
      <c r="D2419" s="475"/>
      <c r="E2419" s="475"/>
      <c r="F2419" s="475"/>
      <c r="G2419" s="475"/>
      <c r="H2419" s="475"/>
      <c r="I2419" s="475"/>
      <c r="J2419" s="475"/>
      <c r="K2419" s="475"/>
      <c r="L2419" s="475"/>
      <c r="M2419" s="475"/>
      <c r="N2419" s="475"/>
      <c r="O2419" s="475"/>
      <c r="P2419" s="475"/>
      <c r="Q2419" s="475"/>
      <c r="R2419" s="475"/>
      <c r="S2419" s="475"/>
      <c r="T2419" s="475"/>
      <c r="U2419" s="475"/>
      <c r="V2419" s="475"/>
      <c r="W2419" s="475"/>
      <c r="X2419" s="475"/>
      <c r="Y2419" s="475"/>
      <c r="Z2419" s="475"/>
      <c r="AA2419" s="475"/>
      <c r="AB2419" s="475"/>
      <c r="AC2419" s="475"/>
      <c r="AD2419" s="475"/>
      <c r="AE2419" s="475"/>
      <c r="AF2419" s="475"/>
      <c r="AG2419" s="475"/>
    </row>
    <row r="2420" spans="2:33" ht="15" customHeight="1" x14ac:dyDescent="0.65"/>
    <row r="2421" spans="2:33" ht="15" customHeight="1" x14ac:dyDescent="0.65"/>
    <row r="2422" spans="2:33" ht="15" customHeight="1" x14ac:dyDescent="0.65"/>
    <row r="2423" spans="2:33" ht="15" customHeight="1" x14ac:dyDescent="0.65"/>
    <row r="2424" spans="2:33" ht="15" customHeight="1" x14ac:dyDescent="0.65"/>
    <row r="2425" spans="2:33" ht="15" customHeight="1" x14ac:dyDescent="0.65"/>
    <row r="2426" spans="2:33" ht="15" customHeight="1" x14ac:dyDescent="0.65"/>
    <row r="2427" spans="2:33" ht="15" customHeight="1" x14ac:dyDescent="0.65"/>
    <row r="2428" spans="2:33" ht="15" customHeight="1" x14ac:dyDescent="0.65"/>
    <row r="2429" spans="2:33" ht="15" customHeight="1" x14ac:dyDescent="0.65"/>
    <row r="2430" spans="2:33" ht="15" customHeight="1" x14ac:dyDescent="0.65"/>
    <row r="2431" spans="2:33" ht="15" customHeight="1" x14ac:dyDescent="0.65"/>
    <row r="2432" spans="2:33" ht="15" customHeight="1" x14ac:dyDescent="0.65"/>
    <row r="2433" ht="15" customHeight="1" x14ac:dyDescent="0.65"/>
    <row r="2434" ht="15" customHeight="1" x14ac:dyDescent="0.65"/>
    <row r="2435" ht="15" customHeight="1" x14ac:dyDescent="0.65"/>
    <row r="2436" ht="15" customHeight="1" x14ac:dyDescent="0.65"/>
    <row r="2437" ht="15" customHeight="1" x14ac:dyDescent="0.65"/>
    <row r="2438" ht="15" customHeight="1" x14ac:dyDescent="0.65"/>
    <row r="2439" ht="15" customHeight="1" x14ac:dyDescent="0.65"/>
    <row r="2440" ht="15" customHeight="1" x14ac:dyDescent="0.65"/>
    <row r="2441" ht="15" customHeight="1" x14ac:dyDescent="0.65"/>
    <row r="2442" ht="15" customHeight="1" x14ac:dyDescent="0.65"/>
    <row r="2443" ht="15" customHeight="1" x14ac:dyDescent="0.65"/>
    <row r="2444" ht="15" customHeight="1" x14ac:dyDescent="0.65"/>
    <row r="2445" ht="15" customHeight="1" x14ac:dyDescent="0.65"/>
    <row r="2446" ht="15" customHeight="1" x14ac:dyDescent="0.65"/>
    <row r="2447" ht="15" customHeight="1" x14ac:dyDescent="0.65"/>
    <row r="2448" ht="15" customHeight="1" x14ac:dyDescent="0.65"/>
    <row r="2449" ht="15" customHeight="1" x14ac:dyDescent="0.65"/>
    <row r="2450" ht="15" customHeight="1" x14ac:dyDescent="0.65"/>
    <row r="2451" ht="15" customHeight="1" x14ac:dyDescent="0.65"/>
    <row r="2452" ht="15" customHeight="1" x14ac:dyDescent="0.65"/>
    <row r="2453" ht="15" customHeight="1" x14ac:dyDescent="0.65"/>
    <row r="2454" ht="15" customHeight="1" x14ac:dyDescent="0.65"/>
    <row r="2455" ht="15" customHeight="1" x14ac:dyDescent="0.65"/>
    <row r="2456" ht="15" customHeight="1" x14ac:dyDescent="0.65"/>
    <row r="2457" ht="15" customHeight="1" x14ac:dyDescent="0.65"/>
    <row r="2458" ht="15" customHeight="1" x14ac:dyDescent="0.65"/>
    <row r="2459" ht="15" customHeight="1" x14ac:dyDescent="0.65"/>
    <row r="2460" ht="15" customHeight="1" x14ac:dyDescent="0.65"/>
    <row r="2461" ht="15" customHeight="1" x14ac:dyDescent="0.65"/>
    <row r="2462" ht="15" customHeight="1" x14ac:dyDescent="0.65"/>
    <row r="2463" ht="15" customHeight="1" x14ac:dyDescent="0.65"/>
    <row r="2464" ht="15" customHeight="1" x14ac:dyDescent="0.65"/>
    <row r="2465" ht="15" customHeight="1" x14ac:dyDescent="0.65"/>
    <row r="2466" ht="15" customHeight="1" x14ac:dyDescent="0.65"/>
    <row r="2467" ht="15" customHeight="1" x14ac:dyDescent="0.65"/>
    <row r="2468" ht="15" customHeight="1" x14ac:dyDescent="0.65"/>
    <row r="2469" ht="15" customHeight="1" x14ac:dyDescent="0.65"/>
    <row r="2470" ht="15" customHeight="1" x14ac:dyDescent="0.65"/>
    <row r="2471" ht="15" customHeight="1" x14ac:dyDescent="0.65"/>
    <row r="2472" ht="15" customHeight="1" x14ac:dyDescent="0.65"/>
    <row r="2473" ht="15" customHeight="1" x14ac:dyDescent="0.65"/>
    <row r="2474" ht="15" customHeight="1" x14ac:dyDescent="0.65"/>
    <row r="2475" ht="15" customHeight="1" x14ac:dyDescent="0.65"/>
    <row r="2476" ht="15" customHeight="1" x14ac:dyDescent="0.65"/>
    <row r="2477" ht="15" customHeight="1" x14ac:dyDescent="0.65"/>
    <row r="2478" ht="15" customHeight="1" x14ac:dyDescent="0.65"/>
    <row r="2479" ht="15" customHeight="1" x14ac:dyDescent="0.65"/>
    <row r="2480" ht="15" customHeight="1" x14ac:dyDescent="0.65"/>
    <row r="2481" ht="15" customHeight="1" x14ac:dyDescent="0.65"/>
    <row r="2482" ht="15" customHeight="1" x14ac:dyDescent="0.65"/>
    <row r="2483" ht="15" customHeight="1" x14ac:dyDescent="0.65"/>
    <row r="2484" ht="15" customHeight="1" x14ac:dyDescent="0.65"/>
    <row r="2485" ht="15" customHeight="1" x14ac:dyDescent="0.65"/>
    <row r="2486" ht="15" customHeight="1" x14ac:dyDescent="0.65"/>
    <row r="2487" ht="15" customHeight="1" x14ac:dyDescent="0.65"/>
    <row r="2488" ht="15" customHeight="1" x14ac:dyDescent="0.65"/>
    <row r="2489" ht="15" customHeight="1" x14ac:dyDescent="0.65"/>
    <row r="2490" ht="15" customHeight="1" x14ac:dyDescent="0.65"/>
    <row r="2491" ht="15" customHeight="1" x14ac:dyDescent="0.65"/>
    <row r="2492" ht="15" customHeight="1" x14ac:dyDescent="0.65"/>
    <row r="2493" ht="15" customHeight="1" x14ac:dyDescent="0.65"/>
    <row r="2494" ht="15" customHeight="1" x14ac:dyDescent="0.65"/>
    <row r="2495" ht="15" customHeight="1" x14ac:dyDescent="0.65"/>
    <row r="2496" ht="15" customHeight="1" x14ac:dyDescent="0.65"/>
    <row r="2497" spans="2:33" ht="15" customHeight="1" x14ac:dyDescent="0.65"/>
    <row r="2498" spans="2:33" ht="15" customHeight="1" x14ac:dyDescent="0.65"/>
    <row r="2499" spans="2:33" ht="15" customHeight="1" x14ac:dyDescent="0.65"/>
    <row r="2500" spans="2:33" ht="15" customHeight="1" x14ac:dyDescent="0.65"/>
    <row r="2501" spans="2:33" ht="15" customHeight="1" x14ac:dyDescent="0.65"/>
    <row r="2502" spans="2:33" ht="15" customHeight="1" x14ac:dyDescent="0.65"/>
    <row r="2503" spans="2:33" ht="15" customHeight="1" x14ac:dyDescent="0.65"/>
    <row r="2504" spans="2:33" ht="15" customHeight="1" x14ac:dyDescent="0.65"/>
    <row r="2505" spans="2:33" ht="15" customHeight="1" x14ac:dyDescent="0.65"/>
    <row r="2506" spans="2:33" ht="15" customHeight="1" x14ac:dyDescent="0.65"/>
    <row r="2507" spans="2:33" ht="15" customHeight="1" x14ac:dyDescent="0.65"/>
    <row r="2508" spans="2:33" ht="15" customHeight="1" x14ac:dyDescent="0.65"/>
    <row r="2509" spans="2:33" ht="15" customHeight="1" x14ac:dyDescent="0.65">
      <c r="B2509" s="475"/>
      <c r="C2509" s="475"/>
      <c r="D2509" s="475"/>
      <c r="E2509" s="475"/>
      <c r="F2509" s="475"/>
      <c r="G2509" s="475"/>
      <c r="H2509" s="475"/>
      <c r="I2509" s="475"/>
      <c r="J2509" s="475"/>
      <c r="K2509" s="475"/>
      <c r="L2509" s="475"/>
      <c r="M2509" s="475"/>
      <c r="N2509" s="475"/>
      <c r="O2509" s="475"/>
      <c r="P2509" s="475"/>
      <c r="Q2509" s="475"/>
      <c r="R2509" s="475"/>
      <c r="S2509" s="475"/>
      <c r="T2509" s="475"/>
      <c r="U2509" s="475"/>
      <c r="V2509" s="475"/>
      <c r="W2509" s="475"/>
      <c r="X2509" s="475"/>
      <c r="Y2509" s="475"/>
      <c r="Z2509" s="475"/>
      <c r="AA2509" s="475"/>
      <c r="AB2509" s="475"/>
      <c r="AC2509" s="475"/>
      <c r="AD2509" s="475"/>
      <c r="AE2509" s="475"/>
      <c r="AF2509" s="475"/>
      <c r="AG2509" s="475"/>
    </row>
    <row r="2510" spans="2:33" ht="15" customHeight="1" x14ac:dyDescent="0.65"/>
    <row r="2511" spans="2:33" ht="15" customHeight="1" x14ac:dyDescent="0.65"/>
    <row r="2512" spans="2:33" ht="15" customHeight="1" x14ac:dyDescent="0.65"/>
    <row r="2513" ht="15" customHeight="1" x14ac:dyDescent="0.65"/>
    <row r="2514" ht="15" customHeight="1" x14ac:dyDescent="0.65"/>
    <row r="2515" ht="15" customHeight="1" x14ac:dyDescent="0.65"/>
    <row r="2516" ht="15" customHeight="1" x14ac:dyDescent="0.65"/>
    <row r="2517" ht="15" customHeight="1" x14ac:dyDescent="0.65"/>
    <row r="2518" ht="15" customHeight="1" x14ac:dyDescent="0.65"/>
    <row r="2519" ht="15" customHeight="1" x14ac:dyDescent="0.65"/>
    <row r="2520" ht="15" customHeight="1" x14ac:dyDescent="0.65"/>
    <row r="2521" ht="15" customHeight="1" x14ac:dyDescent="0.65"/>
    <row r="2522" ht="15" customHeight="1" x14ac:dyDescent="0.65"/>
    <row r="2523" ht="15" customHeight="1" x14ac:dyDescent="0.65"/>
    <row r="2524" ht="15" customHeight="1" x14ac:dyDescent="0.65"/>
    <row r="2525" ht="15" customHeight="1" x14ac:dyDescent="0.65"/>
    <row r="2526" ht="15" customHeight="1" x14ac:dyDescent="0.65"/>
    <row r="2527" ht="15" customHeight="1" x14ac:dyDescent="0.65"/>
    <row r="2528" ht="15" customHeight="1" x14ac:dyDescent="0.65"/>
    <row r="2529" ht="15" customHeight="1" x14ac:dyDescent="0.65"/>
    <row r="2530" ht="15" customHeight="1" x14ac:dyDescent="0.65"/>
    <row r="2531" ht="15" customHeight="1" x14ac:dyDescent="0.65"/>
    <row r="2532" ht="15" customHeight="1" x14ac:dyDescent="0.65"/>
    <row r="2533" ht="15" customHeight="1" x14ac:dyDescent="0.65"/>
    <row r="2534" ht="15" customHeight="1" x14ac:dyDescent="0.65"/>
    <row r="2535" ht="15" customHeight="1" x14ac:dyDescent="0.65"/>
    <row r="2536" ht="15" customHeight="1" x14ac:dyDescent="0.65"/>
    <row r="2537" ht="15" customHeight="1" x14ac:dyDescent="0.65"/>
    <row r="2538" ht="15" customHeight="1" x14ac:dyDescent="0.65"/>
    <row r="2539" ht="15" customHeight="1" x14ac:dyDescent="0.65"/>
    <row r="2540" ht="15" customHeight="1" x14ac:dyDescent="0.65"/>
    <row r="2541" ht="15" customHeight="1" x14ac:dyDescent="0.65"/>
    <row r="2542" ht="15" customHeight="1" x14ac:dyDescent="0.65"/>
    <row r="2543" ht="15" customHeight="1" x14ac:dyDescent="0.65"/>
    <row r="2544" ht="15" customHeight="1" x14ac:dyDescent="0.65"/>
    <row r="2545" ht="15" customHeight="1" x14ac:dyDescent="0.65"/>
    <row r="2546" ht="15" customHeight="1" x14ac:dyDescent="0.65"/>
    <row r="2547" ht="15" customHeight="1" x14ac:dyDescent="0.65"/>
    <row r="2548" ht="15" customHeight="1" x14ac:dyDescent="0.65"/>
    <row r="2549" ht="15" customHeight="1" x14ac:dyDescent="0.65"/>
    <row r="2550" ht="15" customHeight="1" x14ac:dyDescent="0.65"/>
    <row r="2551" ht="15" customHeight="1" x14ac:dyDescent="0.65"/>
    <row r="2552" ht="15" customHeight="1" x14ac:dyDescent="0.65"/>
    <row r="2553" ht="15" customHeight="1" x14ac:dyDescent="0.65"/>
    <row r="2554" ht="15" customHeight="1" x14ac:dyDescent="0.65"/>
    <row r="2555" ht="15" customHeight="1" x14ac:dyDescent="0.65"/>
    <row r="2556" ht="15" customHeight="1" x14ac:dyDescent="0.65"/>
    <row r="2557" ht="15" customHeight="1" x14ac:dyDescent="0.65"/>
    <row r="2558" ht="15" customHeight="1" x14ac:dyDescent="0.65"/>
    <row r="2559" ht="15" customHeight="1" x14ac:dyDescent="0.65"/>
    <row r="2560" ht="15" customHeight="1" x14ac:dyDescent="0.65"/>
    <row r="2561" ht="15" customHeight="1" x14ac:dyDescent="0.65"/>
    <row r="2562" ht="15" customHeight="1" x14ac:dyDescent="0.65"/>
    <row r="2563" ht="15" customHeight="1" x14ac:dyDescent="0.65"/>
    <row r="2564" ht="15" customHeight="1" x14ac:dyDescent="0.65"/>
    <row r="2565" ht="15" customHeight="1" x14ac:dyDescent="0.65"/>
    <row r="2566" ht="15" customHeight="1" x14ac:dyDescent="0.65"/>
    <row r="2567" ht="15" customHeight="1" x14ac:dyDescent="0.65"/>
    <row r="2568" ht="15" customHeight="1" x14ac:dyDescent="0.65"/>
    <row r="2569" ht="15" customHeight="1" x14ac:dyDescent="0.65"/>
    <row r="2570" ht="15" customHeight="1" x14ac:dyDescent="0.65"/>
    <row r="2571" ht="15" customHeight="1" x14ac:dyDescent="0.65"/>
    <row r="2572" ht="15" customHeight="1" x14ac:dyDescent="0.65"/>
    <row r="2573" ht="15" customHeight="1" x14ac:dyDescent="0.65"/>
    <row r="2574" ht="15" customHeight="1" x14ac:dyDescent="0.65"/>
    <row r="2575" ht="15" customHeight="1" x14ac:dyDescent="0.65"/>
    <row r="2576" ht="15" customHeight="1" x14ac:dyDescent="0.65"/>
    <row r="2577" ht="15" customHeight="1" x14ac:dyDescent="0.65"/>
    <row r="2578" ht="15" customHeight="1" x14ac:dyDescent="0.65"/>
    <row r="2579" ht="15" customHeight="1" x14ac:dyDescent="0.65"/>
    <row r="2580" ht="15" customHeight="1" x14ac:dyDescent="0.65"/>
    <row r="2581" ht="15" customHeight="1" x14ac:dyDescent="0.65"/>
    <row r="2582" ht="15" customHeight="1" x14ac:dyDescent="0.65"/>
    <row r="2583" ht="15" customHeight="1" x14ac:dyDescent="0.65"/>
    <row r="2584" ht="15" customHeight="1" x14ac:dyDescent="0.65"/>
    <row r="2585" ht="15" customHeight="1" x14ac:dyDescent="0.65"/>
    <row r="2586" ht="15" customHeight="1" x14ac:dyDescent="0.65"/>
    <row r="2587" ht="15" customHeight="1" x14ac:dyDescent="0.65"/>
    <row r="2588" ht="15" customHeight="1" x14ac:dyDescent="0.65"/>
    <row r="2589" ht="15" customHeight="1" x14ac:dyDescent="0.65"/>
    <row r="2590" ht="15" customHeight="1" x14ac:dyDescent="0.65"/>
    <row r="2591" ht="15" customHeight="1" x14ac:dyDescent="0.65"/>
    <row r="2592" ht="15" customHeight="1" x14ac:dyDescent="0.65"/>
    <row r="2593" spans="2:33" ht="15" customHeight="1" x14ac:dyDescent="0.65"/>
    <row r="2594" spans="2:33" ht="15" customHeight="1" x14ac:dyDescent="0.65"/>
    <row r="2595" spans="2:33" ht="15" customHeight="1" x14ac:dyDescent="0.65"/>
    <row r="2596" spans="2:33" ht="15" customHeight="1" x14ac:dyDescent="0.65"/>
    <row r="2597" spans="2:33" ht="15" customHeight="1" x14ac:dyDescent="0.65"/>
    <row r="2598" spans="2:33" ht="15" customHeight="1" x14ac:dyDescent="0.65">
      <c r="B2598" s="475"/>
      <c r="C2598" s="475"/>
      <c r="D2598" s="475"/>
      <c r="E2598" s="475"/>
      <c r="F2598" s="475"/>
      <c r="G2598" s="475"/>
      <c r="H2598" s="475"/>
      <c r="I2598" s="475"/>
      <c r="J2598" s="475"/>
      <c r="K2598" s="475"/>
      <c r="L2598" s="475"/>
      <c r="M2598" s="475"/>
      <c r="N2598" s="475"/>
      <c r="O2598" s="475"/>
      <c r="P2598" s="475"/>
      <c r="Q2598" s="475"/>
      <c r="R2598" s="475"/>
      <c r="S2598" s="475"/>
      <c r="T2598" s="475"/>
      <c r="U2598" s="475"/>
      <c r="V2598" s="475"/>
      <c r="W2598" s="475"/>
      <c r="X2598" s="475"/>
      <c r="Y2598" s="475"/>
      <c r="Z2598" s="475"/>
      <c r="AA2598" s="475"/>
      <c r="AB2598" s="475"/>
      <c r="AC2598" s="475"/>
      <c r="AD2598" s="475"/>
      <c r="AE2598" s="475"/>
      <c r="AF2598" s="475"/>
      <c r="AG2598" s="475"/>
    </row>
    <row r="2599" spans="2:33" ht="15" customHeight="1" x14ac:dyDescent="0.65"/>
    <row r="2600" spans="2:33" ht="15" customHeight="1" x14ac:dyDescent="0.65"/>
    <row r="2601" spans="2:33" ht="15" customHeight="1" x14ac:dyDescent="0.65"/>
    <row r="2602" spans="2:33" ht="15" customHeight="1" x14ac:dyDescent="0.65"/>
    <row r="2603" spans="2:33" ht="15" customHeight="1" x14ac:dyDescent="0.65"/>
    <row r="2604" spans="2:33" ht="15" customHeight="1" x14ac:dyDescent="0.65"/>
    <row r="2605" spans="2:33" ht="15" customHeight="1" x14ac:dyDescent="0.65"/>
    <row r="2606" spans="2:33" ht="15" customHeight="1" x14ac:dyDescent="0.65"/>
    <row r="2607" spans="2:33" ht="15" customHeight="1" x14ac:dyDescent="0.65"/>
    <row r="2608" spans="2:33" ht="15" customHeight="1" x14ac:dyDescent="0.65"/>
    <row r="2609" ht="15" customHeight="1" x14ac:dyDescent="0.65"/>
    <row r="2610" ht="15" customHeight="1" x14ac:dyDescent="0.65"/>
    <row r="2611" ht="15" customHeight="1" x14ac:dyDescent="0.65"/>
    <row r="2612" ht="15" customHeight="1" x14ac:dyDescent="0.65"/>
    <row r="2613" ht="15" customHeight="1" x14ac:dyDescent="0.65"/>
    <row r="2614" ht="15" customHeight="1" x14ac:dyDescent="0.65"/>
    <row r="2615" ht="15" customHeight="1" x14ac:dyDescent="0.65"/>
    <row r="2616" ht="15" customHeight="1" x14ac:dyDescent="0.65"/>
    <row r="2617" ht="15" customHeight="1" x14ac:dyDescent="0.65"/>
    <row r="2618" ht="15" customHeight="1" x14ac:dyDescent="0.65"/>
    <row r="2619" ht="15" customHeight="1" x14ac:dyDescent="0.65"/>
    <row r="2620" ht="15" customHeight="1" x14ac:dyDescent="0.65"/>
    <row r="2621" ht="15" customHeight="1" x14ac:dyDescent="0.65"/>
    <row r="2622" ht="15" customHeight="1" x14ac:dyDescent="0.65"/>
    <row r="2623" ht="15" customHeight="1" x14ac:dyDescent="0.65"/>
    <row r="2624" ht="15" customHeight="1" x14ac:dyDescent="0.65"/>
    <row r="2625" ht="15" customHeight="1" x14ac:dyDescent="0.65"/>
    <row r="2626" ht="15" customHeight="1" x14ac:dyDescent="0.65"/>
    <row r="2627" ht="15" customHeight="1" x14ac:dyDescent="0.65"/>
    <row r="2628" ht="15" customHeight="1" x14ac:dyDescent="0.65"/>
    <row r="2629" ht="15" customHeight="1" x14ac:dyDescent="0.65"/>
    <row r="2630" ht="15" customHeight="1" x14ac:dyDescent="0.65"/>
    <row r="2631" ht="15" customHeight="1" x14ac:dyDescent="0.65"/>
    <row r="2632" ht="15" customHeight="1" x14ac:dyDescent="0.65"/>
    <row r="2633" ht="15" customHeight="1" x14ac:dyDescent="0.65"/>
    <row r="2634" ht="15" customHeight="1" x14ac:dyDescent="0.65"/>
    <row r="2635" ht="15" customHeight="1" x14ac:dyDescent="0.65"/>
    <row r="2636" ht="15" customHeight="1" x14ac:dyDescent="0.65"/>
    <row r="2637" ht="15" customHeight="1" x14ac:dyDescent="0.65"/>
    <row r="2638" ht="15" customHeight="1" x14ac:dyDescent="0.65"/>
    <row r="2639" ht="15" customHeight="1" x14ac:dyDescent="0.65"/>
    <row r="2640" ht="15" customHeight="1" x14ac:dyDescent="0.65"/>
    <row r="2641" ht="15" customHeight="1" x14ac:dyDescent="0.65"/>
    <row r="2642" ht="15" customHeight="1" x14ac:dyDescent="0.65"/>
    <row r="2643" ht="15" customHeight="1" x14ac:dyDescent="0.65"/>
    <row r="2644" ht="15" customHeight="1" x14ac:dyDescent="0.65"/>
    <row r="2645" ht="15" customHeight="1" x14ac:dyDescent="0.65"/>
    <row r="2646" ht="15" customHeight="1" x14ac:dyDescent="0.65"/>
    <row r="2647" ht="15" customHeight="1" x14ac:dyDescent="0.65"/>
    <row r="2648" ht="15" customHeight="1" x14ac:dyDescent="0.65"/>
    <row r="2649" ht="15" customHeight="1" x14ac:dyDescent="0.65"/>
    <row r="2650" ht="15" customHeight="1" x14ac:dyDescent="0.65"/>
    <row r="2651" ht="15" customHeight="1" x14ac:dyDescent="0.65"/>
    <row r="2652" ht="15" customHeight="1" x14ac:dyDescent="0.65"/>
    <row r="2653" ht="15" customHeight="1" x14ac:dyDescent="0.65"/>
    <row r="2654" ht="15" customHeight="1" x14ac:dyDescent="0.65"/>
    <row r="2655" ht="15" customHeight="1" x14ac:dyDescent="0.65"/>
    <row r="2656" ht="15" customHeight="1" x14ac:dyDescent="0.65"/>
    <row r="2657" ht="15" customHeight="1" x14ac:dyDescent="0.65"/>
    <row r="2658" ht="15" customHeight="1" x14ac:dyDescent="0.65"/>
    <row r="2659" ht="15" customHeight="1" x14ac:dyDescent="0.65"/>
    <row r="2660" ht="15" customHeight="1" x14ac:dyDescent="0.65"/>
    <row r="2661" ht="15" customHeight="1" x14ac:dyDescent="0.65"/>
    <row r="2662" ht="15" customHeight="1" x14ac:dyDescent="0.65"/>
    <row r="2663" ht="15" customHeight="1" x14ac:dyDescent="0.65"/>
    <row r="2664" ht="15" customHeight="1" x14ac:dyDescent="0.65"/>
    <row r="2665" ht="15" customHeight="1" x14ac:dyDescent="0.65"/>
    <row r="2666" ht="15" customHeight="1" x14ac:dyDescent="0.65"/>
    <row r="2667" ht="15" customHeight="1" x14ac:dyDescent="0.65"/>
    <row r="2668" ht="15" customHeight="1" x14ac:dyDescent="0.65"/>
    <row r="2669" ht="15" customHeight="1" x14ac:dyDescent="0.65"/>
    <row r="2670" ht="15" customHeight="1" x14ac:dyDescent="0.65"/>
    <row r="2671" ht="15" customHeight="1" x14ac:dyDescent="0.65"/>
    <row r="2672" ht="15" customHeight="1" x14ac:dyDescent="0.65"/>
    <row r="2673" ht="15" customHeight="1" x14ac:dyDescent="0.65"/>
    <row r="2674" ht="15" customHeight="1" x14ac:dyDescent="0.65"/>
    <row r="2675" ht="15" customHeight="1" x14ac:dyDescent="0.65"/>
    <row r="2676" ht="15" customHeight="1" x14ac:dyDescent="0.65"/>
    <row r="2677" ht="15" customHeight="1" x14ac:dyDescent="0.65"/>
    <row r="2678" ht="15" customHeight="1" x14ac:dyDescent="0.65"/>
    <row r="2679" ht="15" customHeight="1" x14ac:dyDescent="0.65"/>
    <row r="2680" ht="15" customHeight="1" x14ac:dyDescent="0.65"/>
    <row r="2681" ht="15" customHeight="1" x14ac:dyDescent="0.65"/>
    <row r="2682" ht="15" customHeight="1" x14ac:dyDescent="0.65"/>
    <row r="2683" ht="15" customHeight="1" x14ac:dyDescent="0.65"/>
    <row r="2684" ht="15" customHeight="1" x14ac:dyDescent="0.65"/>
    <row r="2685" ht="15" customHeight="1" x14ac:dyDescent="0.65"/>
    <row r="2686" ht="15" customHeight="1" x14ac:dyDescent="0.65"/>
    <row r="2687" ht="15" customHeight="1" x14ac:dyDescent="0.65"/>
    <row r="2688" ht="15" customHeight="1" x14ac:dyDescent="0.65"/>
    <row r="2689" ht="15" customHeight="1" x14ac:dyDescent="0.65"/>
    <row r="2690" ht="15" customHeight="1" x14ac:dyDescent="0.65"/>
    <row r="2691" ht="15" customHeight="1" x14ac:dyDescent="0.65"/>
    <row r="2692" ht="15" customHeight="1" x14ac:dyDescent="0.65"/>
    <row r="2693" ht="15" customHeight="1" x14ac:dyDescent="0.65"/>
    <row r="2694" ht="15" customHeight="1" x14ac:dyDescent="0.65"/>
    <row r="2695" ht="15" customHeight="1" x14ac:dyDescent="0.65"/>
    <row r="2696" ht="15" customHeight="1" x14ac:dyDescent="0.65"/>
    <row r="2697" ht="15" customHeight="1" x14ac:dyDescent="0.65"/>
    <row r="2698" ht="15" customHeight="1" x14ac:dyDescent="0.65"/>
    <row r="2699" ht="15" customHeight="1" x14ac:dyDescent="0.65"/>
    <row r="2700" ht="15" customHeight="1" x14ac:dyDescent="0.65"/>
    <row r="2701" ht="15" customHeight="1" x14ac:dyDescent="0.65"/>
    <row r="2702" ht="15" customHeight="1" x14ac:dyDescent="0.65"/>
    <row r="2703" ht="15" customHeight="1" x14ac:dyDescent="0.65"/>
    <row r="2704" ht="15" customHeight="1" x14ac:dyDescent="0.65"/>
    <row r="2705" spans="2:33" ht="15" customHeight="1" x14ac:dyDescent="0.65"/>
    <row r="2706" spans="2:33" ht="15" customHeight="1" x14ac:dyDescent="0.65"/>
    <row r="2707" spans="2:33" ht="15" customHeight="1" x14ac:dyDescent="0.65"/>
    <row r="2708" spans="2:33" ht="15" customHeight="1" x14ac:dyDescent="0.65"/>
    <row r="2709" spans="2:33" ht="15" customHeight="1" x14ac:dyDescent="0.65"/>
    <row r="2710" spans="2:33" ht="15" customHeight="1" x14ac:dyDescent="0.65"/>
    <row r="2711" spans="2:33" ht="15" customHeight="1" x14ac:dyDescent="0.65"/>
    <row r="2712" spans="2:33" ht="15" customHeight="1" x14ac:dyDescent="0.65"/>
    <row r="2713" spans="2:33" ht="15" customHeight="1" x14ac:dyDescent="0.65"/>
    <row r="2714" spans="2:33" ht="15" customHeight="1" x14ac:dyDescent="0.65"/>
    <row r="2715" spans="2:33" ht="15" customHeight="1" x14ac:dyDescent="0.65"/>
    <row r="2716" spans="2:33" ht="15" customHeight="1" x14ac:dyDescent="0.65"/>
    <row r="2717" spans="2:33" ht="15" customHeight="1" x14ac:dyDescent="0.65"/>
    <row r="2718" spans="2:33" ht="15" customHeight="1" x14ac:dyDescent="0.65"/>
    <row r="2719" spans="2:33" ht="15" customHeight="1" x14ac:dyDescent="0.65">
      <c r="B2719" s="475"/>
      <c r="C2719" s="475"/>
      <c r="D2719" s="475"/>
      <c r="E2719" s="475"/>
      <c r="F2719" s="475"/>
      <c r="G2719" s="475"/>
      <c r="H2719" s="475"/>
      <c r="I2719" s="475"/>
      <c r="J2719" s="475"/>
      <c r="K2719" s="475"/>
      <c r="L2719" s="475"/>
      <c r="M2719" s="475"/>
      <c r="N2719" s="475"/>
      <c r="O2719" s="475"/>
      <c r="P2719" s="475"/>
      <c r="Q2719" s="475"/>
      <c r="R2719" s="475"/>
      <c r="S2719" s="475"/>
      <c r="T2719" s="475"/>
      <c r="U2719" s="475"/>
      <c r="V2719" s="475"/>
      <c r="W2719" s="475"/>
      <c r="X2719" s="475"/>
      <c r="Y2719" s="475"/>
      <c r="Z2719" s="475"/>
      <c r="AA2719" s="475"/>
      <c r="AB2719" s="475"/>
      <c r="AC2719" s="475"/>
      <c r="AD2719" s="475"/>
      <c r="AE2719" s="475"/>
      <c r="AF2719" s="475"/>
      <c r="AG2719" s="475"/>
    </row>
    <row r="2720" spans="2:33" ht="15" customHeight="1" x14ac:dyDescent="0.65"/>
    <row r="2721" ht="15" customHeight="1" x14ac:dyDescent="0.65"/>
    <row r="2722" ht="15" customHeight="1" x14ac:dyDescent="0.65"/>
    <row r="2723" ht="15" customHeight="1" x14ac:dyDescent="0.65"/>
    <row r="2724" ht="15" customHeight="1" x14ac:dyDescent="0.65"/>
    <row r="2725" ht="15" customHeight="1" x14ac:dyDescent="0.65"/>
    <row r="2726" ht="15" customHeight="1" x14ac:dyDescent="0.65"/>
    <row r="2727" ht="15" customHeight="1" x14ac:dyDescent="0.65"/>
    <row r="2728" ht="15" customHeight="1" x14ac:dyDescent="0.65"/>
    <row r="2729" ht="15" customHeight="1" x14ac:dyDescent="0.65"/>
    <row r="2730" ht="15" customHeight="1" x14ac:dyDescent="0.65"/>
    <row r="2731" ht="15" customHeight="1" x14ac:dyDescent="0.65"/>
    <row r="2732" ht="15" customHeight="1" x14ac:dyDescent="0.65"/>
    <row r="2733" ht="15" customHeight="1" x14ac:dyDescent="0.65"/>
    <row r="2734" ht="15" customHeight="1" x14ac:dyDescent="0.65"/>
    <row r="2735" ht="15" customHeight="1" x14ac:dyDescent="0.65"/>
    <row r="2736" ht="15" customHeight="1" x14ac:dyDescent="0.65"/>
    <row r="2737" ht="15" customHeight="1" x14ac:dyDescent="0.65"/>
    <row r="2738" ht="15" customHeight="1" x14ac:dyDescent="0.65"/>
    <row r="2739" ht="15" customHeight="1" x14ac:dyDescent="0.65"/>
    <row r="2740" ht="15" customHeight="1" x14ac:dyDescent="0.65"/>
    <row r="2741" ht="15" customHeight="1" x14ac:dyDescent="0.65"/>
    <row r="2742" ht="15" customHeight="1" x14ac:dyDescent="0.65"/>
    <row r="2743" ht="15" customHeight="1" x14ac:dyDescent="0.65"/>
    <row r="2744" ht="15" customHeight="1" x14ac:dyDescent="0.65"/>
    <row r="2745" ht="15" customHeight="1" x14ac:dyDescent="0.65"/>
    <row r="2746" ht="15" customHeight="1" x14ac:dyDescent="0.65"/>
    <row r="2747" ht="15" customHeight="1" x14ac:dyDescent="0.65"/>
    <row r="2748" ht="15" customHeight="1" x14ac:dyDescent="0.65"/>
    <row r="2749" ht="15" customHeight="1" x14ac:dyDescent="0.65"/>
    <row r="2750" ht="15" customHeight="1" x14ac:dyDescent="0.65"/>
    <row r="2751" ht="15" customHeight="1" x14ac:dyDescent="0.65"/>
    <row r="2752" ht="15" customHeight="1" x14ac:dyDescent="0.65"/>
    <row r="2753" ht="15" customHeight="1" x14ac:dyDescent="0.65"/>
    <row r="2754" ht="15" customHeight="1" x14ac:dyDescent="0.65"/>
    <row r="2755" ht="15" customHeight="1" x14ac:dyDescent="0.65"/>
    <row r="2756" ht="15" customHeight="1" x14ac:dyDescent="0.65"/>
    <row r="2757" ht="15" customHeight="1" x14ac:dyDescent="0.65"/>
    <row r="2758" ht="15" customHeight="1" x14ac:dyDescent="0.65"/>
    <row r="2759" ht="15" customHeight="1" x14ac:dyDescent="0.65"/>
    <row r="2760" ht="15" customHeight="1" x14ac:dyDescent="0.65"/>
    <row r="2761" ht="15" customHeight="1" x14ac:dyDescent="0.65"/>
    <row r="2762" ht="15" customHeight="1" x14ac:dyDescent="0.65"/>
    <row r="2763" ht="15" customHeight="1" x14ac:dyDescent="0.65"/>
    <row r="2764" ht="15" customHeight="1" x14ac:dyDescent="0.65"/>
    <row r="2765" ht="15" customHeight="1" x14ac:dyDescent="0.65"/>
    <row r="2766" ht="15" customHeight="1" x14ac:dyDescent="0.65"/>
    <row r="2767" ht="15" customHeight="1" x14ac:dyDescent="0.65"/>
    <row r="2768" ht="15" customHeight="1" x14ac:dyDescent="0.65"/>
    <row r="2769" ht="15" customHeight="1" x14ac:dyDescent="0.65"/>
    <row r="2770" ht="15" customHeight="1" x14ac:dyDescent="0.65"/>
    <row r="2771" ht="15" customHeight="1" x14ac:dyDescent="0.65"/>
    <row r="2772" ht="15" customHeight="1" x14ac:dyDescent="0.65"/>
    <row r="2773" ht="15" customHeight="1" x14ac:dyDescent="0.65"/>
    <row r="2774" ht="15" customHeight="1" x14ac:dyDescent="0.65"/>
    <row r="2775" ht="15" customHeight="1" x14ac:dyDescent="0.65"/>
    <row r="2776" ht="15" customHeight="1" x14ac:dyDescent="0.65"/>
    <row r="2777" ht="15" customHeight="1" x14ac:dyDescent="0.65"/>
    <row r="2778" ht="15" customHeight="1" x14ac:dyDescent="0.65"/>
    <row r="2779" ht="15" customHeight="1" x14ac:dyDescent="0.65"/>
    <row r="2780" ht="15" customHeight="1" x14ac:dyDescent="0.65"/>
    <row r="2781" ht="15" customHeight="1" x14ac:dyDescent="0.65"/>
    <row r="2782" ht="15" customHeight="1" x14ac:dyDescent="0.65"/>
    <row r="2783" ht="15" customHeight="1" x14ac:dyDescent="0.65"/>
    <row r="2784" ht="15" customHeight="1" x14ac:dyDescent="0.65"/>
    <row r="2785" ht="15" customHeight="1" x14ac:dyDescent="0.65"/>
    <row r="2786" ht="15" customHeight="1" x14ac:dyDescent="0.65"/>
    <row r="2787" ht="15" customHeight="1" x14ac:dyDescent="0.65"/>
    <row r="2788" ht="15" customHeight="1" x14ac:dyDescent="0.65"/>
    <row r="2789" ht="15" customHeight="1" x14ac:dyDescent="0.65"/>
    <row r="2790" ht="15" customHeight="1" x14ac:dyDescent="0.65"/>
    <row r="2791" ht="15" customHeight="1" x14ac:dyDescent="0.65"/>
    <row r="2792" ht="15" customHeight="1" x14ac:dyDescent="0.65"/>
    <row r="2793" ht="15" customHeight="1" x14ac:dyDescent="0.65"/>
    <row r="2794" ht="15" customHeight="1" x14ac:dyDescent="0.65"/>
    <row r="2795" ht="15" customHeight="1" x14ac:dyDescent="0.65"/>
    <row r="2796" ht="15" customHeight="1" x14ac:dyDescent="0.65"/>
    <row r="2797" ht="15" customHeight="1" x14ac:dyDescent="0.65"/>
    <row r="2798" ht="15" customHeight="1" x14ac:dyDescent="0.65"/>
    <row r="2799" ht="15" customHeight="1" x14ac:dyDescent="0.65"/>
    <row r="2800" ht="15" customHeight="1" x14ac:dyDescent="0.65"/>
    <row r="2801" ht="15" customHeight="1" x14ac:dyDescent="0.65"/>
    <row r="2802" ht="15" customHeight="1" x14ac:dyDescent="0.65"/>
    <row r="2803" ht="15" customHeight="1" x14ac:dyDescent="0.65"/>
    <row r="2804" ht="15" customHeight="1" x14ac:dyDescent="0.65"/>
    <row r="2805" ht="15" customHeight="1" x14ac:dyDescent="0.65"/>
    <row r="2806" ht="15" customHeight="1" x14ac:dyDescent="0.65"/>
    <row r="2807" ht="15" customHeight="1" x14ac:dyDescent="0.65"/>
    <row r="2808" ht="15" customHeight="1" x14ac:dyDescent="0.65"/>
    <row r="2809" ht="15" customHeight="1" x14ac:dyDescent="0.65"/>
    <row r="2810" ht="15" customHeight="1" x14ac:dyDescent="0.65"/>
    <row r="2811" ht="15" customHeight="1" x14ac:dyDescent="0.65"/>
    <row r="2812" ht="15" customHeight="1" x14ac:dyDescent="0.65"/>
    <row r="2813" ht="15" customHeight="1" x14ac:dyDescent="0.65"/>
    <row r="2814" ht="15" customHeight="1" x14ac:dyDescent="0.65"/>
    <row r="2815" ht="15" customHeight="1" x14ac:dyDescent="0.65"/>
    <row r="2816" ht="15" customHeight="1" x14ac:dyDescent="0.65"/>
    <row r="2817" ht="15" customHeight="1" x14ac:dyDescent="0.65"/>
    <row r="2818" ht="15" customHeight="1" x14ac:dyDescent="0.65"/>
    <row r="2819" ht="15" customHeight="1" x14ac:dyDescent="0.65"/>
    <row r="2820" ht="15" customHeight="1" x14ac:dyDescent="0.65"/>
    <row r="2821" ht="15" customHeight="1" x14ac:dyDescent="0.65"/>
    <row r="2822" ht="15" customHeight="1" x14ac:dyDescent="0.65"/>
    <row r="2823" ht="15" customHeight="1" x14ac:dyDescent="0.65"/>
    <row r="2824" ht="15" customHeight="1" x14ac:dyDescent="0.65"/>
    <row r="2825" ht="15" customHeight="1" x14ac:dyDescent="0.65"/>
    <row r="2826" ht="15" customHeight="1" x14ac:dyDescent="0.65"/>
    <row r="2827" ht="15" customHeight="1" x14ac:dyDescent="0.65"/>
    <row r="2828" ht="15" customHeight="1" x14ac:dyDescent="0.65"/>
    <row r="2829" ht="15" customHeight="1" x14ac:dyDescent="0.65"/>
    <row r="2830" ht="15" customHeight="1" x14ac:dyDescent="0.65"/>
    <row r="2831" ht="15" customHeight="1" x14ac:dyDescent="0.65"/>
    <row r="2832" ht="15" customHeight="1" x14ac:dyDescent="0.65"/>
    <row r="2833" spans="2:33" ht="15" customHeight="1" x14ac:dyDescent="0.65"/>
    <row r="2834" spans="2:33" ht="15" customHeight="1" x14ac:dyDescent="0.65"/>
    <row r="2835" spans="2:33" ht="15" customHeight="1" x14ac:dyDescent="0.65"/>
    <row r="2836" spans="2:33" ht="15" customHeight="1" x14ac:dyDescent="0.65"/>
    <row r="2837" spans="2:33" ht="15" customHeight="1" x14ac:dyDescent="0.65">
      <c r="B2837" s="475"/>
      <c r="C2837" s="475"/>
      <c r="D2837" s="475"/>
      <c r="E2837" s="475"/>
      <c r="F2837" s="475"/>
      <c r="G2837" s="475"/>
      <c r="H2837" s="475"/>
      <c r="I2837" s="475"/>
      <c r="J2837" s="475"/>
      <c r="K2837" s="475"/>
      <c r="L2837" s="475"/>
      <c r="M2837" s="475"/>
      <c r="N2837" s="475"/>
      <c r="O2837" s="475"/>
      <c r="P2837" s="475"/>
      <c r="Q2837" s="475"/>
      <c r="R2837" s="475"/>
      <c r="S2837" s="475"/>
      <c r="T2837" s="475"/>
      <c r="U2837" s="475"/>
      <c r="V2837" s="475"/>
      <c r="W2837" s="475"/>
      <c r="X2837" s="475"/>
      <c r="Y2837" s="475"/>
      <c r="Z2837" s="475"/>
      <c r="AA2837" s="475"/>
      <c r="AB2837" s="475"/>
      <c r="AC2837" s="475"/>
      <c r="AD2837" s="475"/>
      <c r="AE2837" s="475"/>
      <c r="AF2837" s="475"/>
      <c r="AG2837" s="475"/>
    </row>
  </sheetData>
  <mergeCells count="20">
    <mergeCell ref="B112:AG112"/>
    <mergeCell ref="B308:AG308"/>
    <mergeCell ref="B511:AG511"/>
    <mergeCell ref="B712:AG712"/>
    <mergeCell ref="B887:AG887"/>
    <mergeCell ref="B1100:AG1100"/>
    <mergeCell ref="B1227:AG1227"/>
    <mergeCell ref="B1390:AG1390"/>
    <mergeCell ref="B1502:AG1502"/>
    <mergeCell ref="B1604:AG1604"/>
    <mergeCell ref="B1698:AG1698"/>
    <mergeCell ref="B1945:AG1945"/>
    <mergeCell ref="B2031:AG2031"/>
    <mergeCell ref="B2153:AG2153"/>
    <mergeCell ref="B2317:AG2317"/>
    <mergeCell ref="B2419:AG2419"/>
    <mergeCell ref="B2509:AG2509"/>
    <mergeCell ref="B2598:AG2598"/>
    <mergeCell ref="B2719:AG2719"/>
    <mergeCell ref="B2837:AG28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265625" defaultRowHeight="15" customHeight="1" x14ac:dyDescent="0.65"/>
  <cols>
    <col min="1" max="1" width="19.81640625" style="37" bestFit="1" customWidth="1"/>
    <col min="2" max="2" width="46.7265625" style="37" customWidth="1"/>
    <col min="3" max="16384" width="8.7265625" style="37"/>
  </cols>
  <sheetData>
    <row r="1" spans="1:33" ht="15" customHeight="1" thickBot="1" x14ac:dyDescent="0.8">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65"/>
    <row r="3" spans="1:33" ht="15" customHeight="1" x14ac:dyDescent="0.7">
      <c r="C3" s="73" t="s">
        <v>494</v>
      </c>
      <c r="D3" s="73" t="s">
        <v>640</v>
      </c>
      <c r="E3" s="55"/>
      <c r="F3" s="55"/>
      <c r="G3" s="55"/>
    </row>
    <row r="4" spans="1:33" ht="15" customHeight="1" x14ac:dyDescent="0.7">
      <c r="C4" s="73" t="s">
        <v>495</v>
      </c>
      <c r="D4" s="73" t="s">
        <v>641</v>
      </c>
      <c r="E4" s="55"/>
      <c r="F4" s="55"/>
      <c r="G4" s="73" t="s">
        <v>620</v>
      </c>
    </row>
    <row r="5" spans="1:33" ht="15" customHeight="1" x14ac:dyDescent="0.7">
      <c r="C5" s="73" t="s">
        <v>496</v>
      </c>
      <c r="D5" s="73" t="s">
        <v>642</v>
      </c>
      <c r="E5" s="55"/>
      <c r="F5" s="55"/>
      <c r="G5" s="55"/>
    </row>
    <row r="6" spans="1:33" ht="15" customHeight="1" x14ac:dyDescent="0.7">
      <c r="C6" s="73" t="s">
        <v>497</v>
      </c>
      <c r="D6" s="55"/>
      <c r="E6" s="73" t="s">
        <v>643</v>
      </c>
      <c r="F6" s="55"/>
      <c r="G6" s="55"/>
    </row>
    <row r="7" spans="1:33" ht="12.25" x14ac:dyDescent="0.65"/>
    <row r="8" spans="1:33" ht="12.25" x14ac:dyDescent="0.65"/>
    <row r="9" spans="1:33" ht="12.25" x14ac:dyDescent="0.65">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8">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65">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65">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8">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6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65">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65">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65">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65">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65">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65">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65">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65">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65">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65">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65">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65">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65">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65">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65">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65">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25" x14ac:dyDescent="0.65">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25" x14ac:dyDescent="0.65">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25" x14ac:dyDescent="0.65">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25" x14ac:dyDescent="0.65">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25" x14ac:dyDescent="0.65">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25" x14ac:dyDescent="0.65">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25" x14ac:dyDescent="0.65">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25" x14ac:dyDescent="0.65">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25" x14ac:dyDescent="0.65">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25" x14ac:dyDescent="0.65">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25" x14ac:dyDescent="0.65">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25" x14ac:dyDescent="0.65">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25" x14ac:dyDescent="0.65">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25" x14ac:dyDescent="0.65">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25" x14ac:dyDescent="0.65">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25" x14ac:dyDescent="0.65">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25" x14ac:dyDescent="0.65">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25" x14ac:dyDescent="0.65">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25" x14ac:dyDescent="0.65">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65">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65">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65">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65">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65">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65">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65">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65">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65">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65">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65">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65">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65">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65">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65">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65">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25" x14ac:dyDescent="0.65">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65">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65">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65">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65">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6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65">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25" x14ac:dyDescent="0.65">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65">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65">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65">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65">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65">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25" x14ac:dyDescent="0.65">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65">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25" x14ac:dyDescent="0.65">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65">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65">
      <c r="B84" s="477" t="s">
        <v>587</v>
      </c>
      <c r="C84" s="478"/>
      <c r="D84" s="478"/>
      <c r="E84" s="478"/>
      <c r="F84" s="478"/>
      <c r="G84" s="478"/>
      <c r="H84" s="478"/>
      <c r="I84" s="478"/>
      <c r="J84" s="478"/>
      <c r="K84" s="478"/>
      <c r="L84" s="478"/>
      <c r="M84" s="478"/>
      <c r="N84" s="478"/>
      <c r="O84" s="478"/>
      <c r="P84" s="478"/>
      <c r="Q84" s="478"/>
      <c r="R84" s="478"/>
      <c r="S84" s="478"/>
      <c r="T84" s="478"/>
      <c r="U84" s="478"/>
      <c r="V84" s="478"/>
      <c r="W84" s="478"/>
      <c r="X84" s="478"/>
      <c r="Y84" s="478"/>
      <c r="Z84" s="478"/>
      <c r="AA84" s="478"/>
      <c r="AB84" s="478"/>
      <c r="AC84" s="478"/>
      <c r="AD84" s="478"/>
      <c r="AE84" s="478"/>
      <c r="AF84" s="478"/>
      <c r="AG84" s="478"/>
      <c r="AH84" s="58"/>
    </row>
    <row r="85" spans="1:34" ht="15" customHeight="1" x14ac:dyDescent="0.65">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65">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65">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65">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65">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65">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65">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25" x14ac:dyDescent="0.65">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65">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65">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65">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65">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65">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65">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65">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65">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25" x14ac:dyDescent="0.65">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25" x14ac:dyDescent="0.65">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65">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65">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65">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65">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65">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65">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65">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65">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65">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65">
      <c r="B112" s="476" t="s">
        <v>650</v>
      </c>
      <c r="C112" s="476"/>
      <c r="D112" s="476"/>
      <c r="E112" s="476"/>
      <c r="F112" s="476"/>
      <c r="G112" s="476"/>
      <c r="H112" s="476"/>
      <c r="I112" s="476"/>
      <c r="J112" s="476"/>
      <c r="K112" s="476"/>
      <c r="L112" s="476"/>
      <c r="M112" s="476"/>
      <c r="N112" s="476"/>
      <c r="O112" s="476"/>
      <c r="P112" s="476"/>
      <c r="Q112" s="476"/>
      <c r="R112" s="476"/>
      <c r="S112" s="476"/>
      <c r="T112" s="476"/>
      <c r="U112" s="476"/>
      <c r="V112" s="476"/>
      <c r="W112" s="476"/>
      <c r="X112" s="476"/>
      <c r="Y112" s="476"/>
      <c r="Z112" s="476"/>
      <c r="AA112" s="476"/>
      <c r="AB112" s="476"/>
      <c r="AC112" s="476"/>
      <c r="AD112" s="476"/>
      <c r="AE112" s="476"/>
      <c r="AF112" s="476"/>
      <c r="AG112" s="38"/>
    </row>
    <row r="113" spans="2:33" ht="15" customHeight="1" x14ac:dyDescent="0.65">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65">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65">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65">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65">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65">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65">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65">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65">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65">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65">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65">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65">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65">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65">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65">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65">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65">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65">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65">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65">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65">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65">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65">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65">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65">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65">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65">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25" x14ac:dyDescent="0.65">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25" x14ac:dyDescent="0.65">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25" x14ac:dyDescent="0.65">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25" x14ac:dyDescent="0.65">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25" x14ac:dyDescent="0.65">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25" x14ac:dyDescent="0.65">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25" x14ac:dyDescent="0.65">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25" x14ac:dyDescent="0.65">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25" x14ac:dyDescent="0.65">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65">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65">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65">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65">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65">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65">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65">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65">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65">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65">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65">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65">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65">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65">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65">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25" x14ac:dyDescent="0.65">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65">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65">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65">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65">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65">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65">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65">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65">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65">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65">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65">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65">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65">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65">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25" x14ac:dyDescent="0.65">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65">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65">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65">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65">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65">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65">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65">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65">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65">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65">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65">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65">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65">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65">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65">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65">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65">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65">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65">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65">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65">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65">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65">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65">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25" x14ac:dyDescent="0.65">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25" x14ac:dyDescent="0.65">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65">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65">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65">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65">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65">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65">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65">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65">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65">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65">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65">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65">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65">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65">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65">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65">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25" x14ac:dyDescent="0.65">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65">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65">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25" x14ac:dyDescent="0.65">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65">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65">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65">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65">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65">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65">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65">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65">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65">
      <c r="B308" s="475"/>
      <c r="C308" s="475"/>
      <c r="D308" s="475"/>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c r="AA308" s="475"/>
      <c r="AB308" s="475"/>
      <c r="AC308" s="475"/>
      <c r="AD308" s="475"/>
      <c r="AE308" s="475"/>
      <c r="AF308" s="475"/>
    </row>
    <row r="511" spans="2:32" ht="15" customHeight="1" x14ac:dyDescent="0.65">
      <c r="B511" s="475"/>
      <c r="C511" s="475"/>
      <c r="D511" s="475"/>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c r="AA511" s="475"/>
      <c r="AB511" s="475"/>
      <c r="AC511" s="475"/>
      <c r="AD511" s="475"/>
      <c r="AE511" s="475"/>
      <c r="AF511" s="475"/>
    </row>
    <row r="712" spans="2:32" ht="15" customHeight="1" x14ac:dyDescent="0.65">
      <c r="B712" s="475"/>
      <c r="C712" s="475"/>
      <c r="D712" s="475"/>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c r="AA712" s="475"/>
      <c r="AB712" s="475"/>
      <c r="AC712" s="475"/>
      <c r="AD712" s="475"/>
      <c r="AE712" s="475"/>
      <c r="AF712" s="475"/>
    </row>
    <row r="887" spans="2:32" ht="15" customHeight="1" x14ac:dyDescent="0.65">
      <c r="B887" s="475"/>
      <c r="C887" s="475"/>
      <c r="D887" s="475"/>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c r="AA887" s="475"/>
      <c r="AB887" s="475"/>
      <c r="AC887" s="475"/>
      <c r="AD887" s="475"/>
      <c r="AE887" s="475"/>
      <c r="AF887" s="475"/>
    </row>
    <row r="1101" spans="2:32" ht="15" customHeight="1" x14ac:dyDescent="0.65">
      <c r="B1101" s="475"/>
      <c r="C1101" s="475"/>
      <c r="D1101" s="475"/>
      <c r="E1101" s="475"/>
      <c r="F1101" s="475"/>
      <c r="G1101" s="475"/>
      <c r="H1101" s="475"/>
      <c r="I1101" s="475"/>
      <c r="J1101" s="475"/>
      <c r="K1101" s="475"/>
      <c r="L1101" s="475"/>
      <c r="M1101" s="475"/>
      <c r="N1101" s="475"/>
      <c r="O1101" s="475"/>
      <c r="P1101" s="475"/>
      <c r="Q1101" s="475"/>
      <c r="R1101" s="475"/>
      <c r="S1101" s="475"/>
      <c r="T1101" s="475"/>
      <c r="U1101" s="475"/>
      <c r="V1101" s="475"/>
      <c r="W1101" s="475"/>
      <c r="X1101" s="475"/>
      <c r="Y1101" s="475"/>
      <c r="Z1101" s="475"/>
      <c r="AA1101" s="475"/>
      <c r="AB1101" s="475"/>
      <c r="AC1101" s="475"/>
      <c r="AD1101" s="475"/>
      <c r="AE1101" s="475"/>
      <c r="AF1101" s="475"/>
    </row>
    <row r="1229" spans="2:32" ht="15" customHeight="1" x14ac:dyDescent="0.65">
      <c r="B1229" s="475"/>
      <c r="C1229" s="475"/>
      <c r="D1229" s="475"/>
      <c r="E1229" s="475"/>
      <c r="F1229" s="475"/>
      <c r="G1229" s="475"/>
      <c r="H1229" s="475"/>
      <c r="I1229" s="475"/>
      <c r="J1229" s="475"/>
      <c r="K1229" s="475"/>
      <c r="L1229" s="475"/>
      <c r="M1229" s="475"/>
      <c r="N1229" s="475"/>
      <c r="O1229" s="475"/>
      <c r="P1229" s="475"/>
      <c r="Q1229" s="475"/>
      <c r="R1229" s="475"/>
      <c r="S1229" s="475"/>
      <c r="T1229" s="475"/>
      <c r="U1229" s="475"/>
      <c r="V1229" s="475"/>
      <c r="W1229" s="475"/>
      <c r="X1229" s="475"/>
      <c r="Y1229" s="475"/>
      <c r="Z1229" s="475"/>
      <c r="AA1229" s="475"/>
      <c r="AB1229" s="475"/>
      <c r="AC1229" s="475"/>
      <c r="AD1229" s="475"/>
      <c r="AE1229" s="475"/>
      <c r="AF1229" s="475"/>
    </row>
    <row r="1390" spans="2:32" ht="15" customHeight="1" x14ac:dyDescent="0.65">
      <c r="B1390" s="475"/>
      <c r="C1390" s="475"/>
      <c r="D1390" s="475"/>
      <c r="E1390" s="475"/>
      <c r="F1390" s="475"/>
      <c r="G1390" s="475"/>
      <c r="H1390" s="475"/>
      <c r="I1390" s="475"/>
      <c r="J1390" s="475"/>
      <c r="K1390" s="475"/>
      <c r="L1390" s="475"/>
      <c r="M1390" s="475"/>
      <c r="N1390" s="475"/>
      <c r="O1390" s="475"/>
      <c r="P1390" s="475"/>
      <c r="Q1390" s="475"/>
      <c r="R1390" s="475"/>
      <c r="S1390" s="475"/>
      <c r="T1390" s="475"/>
      <c r="U1390" s="475"/>
      <c r="V1390" s="475"/>
      <c r="W1390" s="475"/>
      <c r="X1390" s="475"/>
      <c r="Y1390" s="475"/>
      <c r="Z1390" s="475"/>
      <c r="AA1390" s="475"/>
      <c r="AB1390" s="475"/>
      <c r="AC1390" s="475"/>
      <c r="AD1390" s="475"/>
      <c r="AE1390" s="475"/>
      <c r="AF1390" s="475"/>
    </row>
    <row r="1502" spans="2:32" ht="15" customHeight="1" x14ac:dyDescent="0.65">
      <c r="B1502" s="475"/>
      <c r="C1502" s="475"/>
      <c r="D1502" s="475"/>
      <c r="E1502" s="475"/>
      <c r="F1502" s="475"/>
      <c r="G1502" s="475"/>
      <c r="H1502" s="475"/>
      <c r="I1502" s="475"/>
      <c r="J1502" s="475"/>
      <c r="K1502" s="475"/>
      <c r="L1502" s="475"/>
      <c r="M1502" s="475"/>
      <c r="N1502" s="475"/>
      <c r="O1502" s="475"/>
      <c r="P1502" s="475"/>
      <c r="Q1502" s="475"/>
      <c r="R1502" s="475"/>
      <c r="S1502" s="475"/>
      <c r="T1502" s="475"/>
      <c r="U1502" s="475"/>
      <c r="V1502" s="475"/>
      <c r="W1502" s="475"/>
      <c r="X1502" s="475"/>
      <c r="Y1502" s="475"/>
      <c r="Z1502" s="475"/>
      <c r="AA1502" s="475"/>
      <c r="AB1502" s="475"/>
      <c r="AC1502" s="475"/>
      <c r="AD1502" s="475"/>
      <c r="AE1502" s="475"/>
      <c r="AF1502" s="475"/>
    </row>
    <row r="1604" spans="2:32" ht="15" customHeight="1" x14ac:dyDescent="0.65">
      <c r="B1604" s="475"/>
      <c r="C1604" s="475"/>
      <c r="D1604" s="475"/>
      <c r="E1604" s="475"/>
      <c r="F1604" s="475"/>
      <c r="G1604" s="475"/>
      <c r="H1604" s="475"/>
      <c r="I1604" s="475"/>
      <c r="J1604" s="475"/>
      <c r="K1604" s="475"/>
      <c r="L1604" s="475"/>
      <c r="M1604" s="475"/>
      <c r="N1604" s="475"/>
      <c r="O1604" s="475"/>
      <c r="P1604" s="475"/>
      <c r="Q1604" s="475"/>
      <c r="R1604" s="475"/>
      <c r="S1604" s="475"/>
      <c r="T1604" s="475"/>
      <c r="U1604" s="475"/>
      <c r="V1604" s="475"/>
      <c r="W1604" s="475"/>
      <c r="X1604" s="475"/>
      <c r="Y1604" s="475"/>
      <c r="Z1604" s="475"/>
      <c r="AA1604" s="475"/>
      <c r="AB1604" s="475"/>
      <c r="AC1604" s="475"/>
      <c r="AD1604" s="475"/>
      <c r="AE1604" s="475"/>
      <c r="AF1604" s="475"/>
    </row>
    <row r="1699" spans="2:32" ht="15" customHeight="1" x14ac:dyDescent="0.65">
      <c r="B1699" s="475"/>
      <c r="C1699" s="475"/>
      <c r="D1699" s="475"/>
      <c r="E1699" s="475"/>
      <c r="F1699" s="475"/>
      <c r="G1699" s="475"/>
      <c r="H1699" s="475"/>
      <c r="I1699" s="475"/>
      <c r="J1699" s="475"/>
      <c r="K1699" s="475"/>
      <c r="L1699" s="475"/>
      <c r="M1699" s="475"/>
      <c r="N1699" s="475"/>
      <c r="O1699" s="475"/>
      <c r="P1699" s="475"/>
      <c r="Q1699" s="475"/>
      <c r="R1699" s="475"/>
      <c r="S1699" s="475"/>
      <c r="T1699" s="475"/>
      <c r="U1699" s="475"/>
      <c r="V1699" s="475"/>
      <c r="W1699" s="475"/>
      <c r="X1699" s="475"/>
      <c r="Y1699" s="475"/>
      <c r="Z1699" s="475"/>
      <c r="AA1699" s="475"/>
      <c r="AB1699" s="475"/>
      <c r="AC1699" s="475"/>
      <c r="AD1699" s="475"/>
      <c r="AE1699" s="475"/>
      <c r="AF1699" s="475"/>
    </row>
    <row r="1945" spans="2:32" ht="15" customHeight="1" x14ac:dyDescent="0.65">
      <c r="B1945" s="475"/>
      <c r="C1945" s="475"/>
      <c r="D1945" s="475"/>
      <c r="E1945" s="475"/>
      <c r="F1945" s="475"/>
      <c r="G1945" s="475"/>
      <c r="H1945" s="475"/>
      <c r="I1945" s="475"/>
      <c r="J1945" s="475"/>
      <c r="K1945" s="475"/>
      <c r="L1945" s="475"/>
      <c r="M1945" s="475"/>
      <c r="N1945" s="475"/>
      <c r="O1945" s="475"/>
      <c r="P1945" s="475"/>
      <c r="Q1945" s="475"/>
      <c r="R1945" s="475"/>
      <c r="S1945" s="475"/>
      <c r="T1945" s="475"/>
      <c r="U1945" s="475"/>
      <c r="V1945" s="475"/>
      <c r="W1945" s="475"/>
      <c r="X1945" s="475"/>
      <c r="Y1945" s="475"/>
      <c r="Z1945" s="475"/>
      <c r="AA1945" s="475"/>
      <c r="AB1945" s="475"/>
      <c r="AC1945" s="475"/>
      <c r="AD1945" s="475"/>
      <c r="AE1945" s="475"/>
      <c r="AF1945" s="475"/>
    </row>
    <row r="2031" spans="2:32" ht="15" customHeight="1" x14ac:dyDescent="0.65">
      <c r="B2031" s="475"/>
      <c r="C2031" s="475"/>
      <c r="D2031" s="475"/>
      <c r="E2031" s="475"/>
      <c r="F2031" s="475"/>
      <c r="G2031" s="475"/>
      <c r="H2031" s="475"/>
      <c r="I2031" s="475"/>
      <c r="J2031" s="475"/>
      <c r="K2031" s="475"/>
      <c r="L2031" s="475"/>
      <c r="M2031" s="475"/>
      <c r="N2031" s="475"/>
      <c r="O2031" s="475"/>
      <c r="P2031" s="475"/>
      <c r="Q2031" s="475"/>
      <c r="R2031" s="475"/>
      <c r="S2031" s="475"/>
      <c r="T2031" s="475"/>
      <c r="U2031" s="475"/>
      <c r="V2031" s="475"/>
      <c r="W2031" s="475"/>
      <c r="X2031" s="475"/>
      <c r="Y2031" s="475"/>
      <c r="Z2031" s="475"/>
      <c r="AA2031" s="475"/>
      <c r="AB2031" s="475"/>
      <c r="AC2031" s="475"/>
      <c r="AD2031" s="475"/>
      <c r="AE2031" s="475"/>
      <c r="AF2031" s="475"/>
    </row>
    <row r="2153" spans="2:32" ht="15" customHeight="1" x14ac:dyDescent="0.65">
      <c r="B2153" s="475"/>
      <c r="C2153" s="475"/>
      <c r="D2153" s="475"/>
      <c r="E2153" s="475"/>
      <c r="F2153" s="475"/>
      <c r="G2153" s="475"/>
      <c r="H2153" s="475"/>
      <c r="I2153" s="475"/>
      <c r="J2153" s="475"/>
      <c r="K2153" s="475"/>
      <c r="L2153" s="475"/>
      <c r="M2153" s="475"/>
      <c r="N2153" s="475"/>
      <c r="O2153" s="475"/>
      <c r="P2153" s="475"/>
      <c r="Q2153" s="475"/>
      <c r="R2153" s="475"/>
      <c r="S2153" s="475"/>
      <c r="T2153" s="475"/>
      <c r="U2153" s="475"/>
      <c r="V2153" s="475"/>
      <c r="W2153" s="475"/>
      <c r="X2153" s="475"/>
      <c r="Y2153" s="475"/>
      <c r="Z2153" s="475"/>
      <c r="AA2153" s="475"/>
      <c r="AB2153" s="475"/>
      <c r="AC2153" s="475"/>
      <c r="AD2153" s="475"/>
      <c r="AE2153" s="475"/>
      <c r="AF2153" s="475"/>
    </row>
    <row r="2317" spans="2:32" ht="15" customHeight="1" x14ac:dyDescent="0.65">
      <c r="B2317" s="475"/>
      <c r="C2317" s="475"/>
      <c r="D2317" s="475"/>
      <c r="E2317" s="475"/>
      <c r="F2317" s="475"/>
      <c r="G2317" s="475"/>
      <c r="H2317" s="475"/>
      <c r="I2317" s="475"/>
      <c r="J2317" s="475"/>
      <c r="K2317" s="475"/>
      <c r="L2317" s="475"/>
      <c r="M2317" s="475"/>
      <c r="N2317" s="475"/>
      <c r="O2317" s="475"/>
      <c r="P2317" s="475"/>
      <c r="Q2317" s="475"/>
      <c r="R2317" s="475"/>
      <c r="S2317" s="475"/>
      <c r="T2317" s="475"/>
      <c r="U2317" s="475"/>
      <c r="V2317" s="475"/>
      <c r="W2317" s="475"/>
      <c r="X2317" s="475"/>
      <c r="Y2317" s="475"/>
      <c r="Z2317" s="475"/>
      <c r="AA2317" s="475"/>
      <c r="AB2317" s="475"/>
      <c r="AC2317" s="475"/>
      <c r="AD2317" s="475"/>
      <c r="AE2317" s="475"/>
      <c r="AF2317" s="475"/>
    </row>
    <row r="2419" spans="2:32" ht="15" customHeight="1" x14ac:dyDescent="0.65">
      <c r="B2419" s="475"/>
      <c r="C2419" s="475"/>
      <c r="D2419" s="475"/>
      <c r="E2419" s="475"/>
      <c r="F2419" s="475"/>
      <c r="G2419" s="475"/>
      <c r="H2419" s="475"/>
      <c r="I2419" s="475"/>
      <c r="J2419" s="475"/>
      <c r="K2419" s="475"/>
      <c r="L2419" s="475"/>
      <c r="M2419" s="475"/>
      <c r="N2419" s="475"/>
      <c r="O2419" s="475"/>
      <c r="P2419" s="475"/>
      <c r="Q2419" s="475"/>
      <c r="R2419" s="475"/>
      <c r="S2419" s="475"/>
      <c r="T2419" s="475"/>
      <c r="U2419" s="475"/>
      <c r="V2419" s="475"/>
      <c r="W2419" s="475"/>
      <c r="X2419" s="475"/>
      <c r="Y2419" s="475"/>
      <c r="Z2419" s="475"/>
      <c r="AA2419" s="475"/>
      <c r="AB2419" s="475"/>
      <c r="AC2419" s="475"/>
      <c r="AD2419" s="475"/>
      <c r="AE2419" s="475"/>
      <c r="AF2419" s="475"/>
    </row>
    <row r="2509" spans="2:32" ht="15" customHeight="1" x14ac:dyDescent="0.65">
      <c r="B2509" s="475"/>
      <c r="C2509" s="475"/>
      <c r="D2509" s="475"/>
      <c r="E2509" s="475"/>
      <c r="F2509" s="475"/>
      <c r="G2509" s="475"/>
      <c r="H2509" s="475"/>
      <c r="I2509" s="475"/>
      <c r="J2509" s="475"/>
      <c r="K2509" s="475"/>
      <c r="L2509" s="475"/>
      <c r="M2509" s="475"/>
      <c r="N2509" s="475"/>
      <c r="O2509" s="475"/>
      <c r="P2509" s="475"/>
      <c r="Q2509" s="475"/>
      <c r="R2509" s="475"/>
      <c r="S2509" s="475"/>
      <c r="T2509" s="475"/>
      <c r="U2509" s="475"/>
      <c r="V2509" s="475"/>
      <c r="W2509" s="475"/>
      <c r="X2509" s="475"/>
      <c r="Y2509" s="475"/>
      <c r="Z2509" s="475"/>
      <c r="AA2509" s="475"/>
      <c r="AB2509" s="475"/>
      <c r="AC2509" s="475"/>
      <c r="AD2509" s="475"/>
      <c r="AE2509" s="475"/>
      <c r="AF2509" s="475"/>
    </row>
    <row r="2598" spans="2:32" ht="15" customHeight="1" x14ac:dyDescent="0.65">
      <c r="B2598" s="475"/>
      <c r="C2598" s="475"/>
      <c r="D2598" s="475"/>
      <c r="E2598" s="475"/>
      <c r="F2598" s="475"/>
      <c r="G2598" s="475"/>
      <c r="H2598" s="475"/>
      <c r="I2598" s="475"/>
      <c r="J2598" s="475"/>
      <c r="K2598" s="475"/>
      <c r="L2598" s="475"/>
      <c r="M2598" s="475"/>
      <c r="N2598" s="475"/>
      <c r="O2598" s="475"/>
      <c r="P2598" s="475"/>
      <c r="Q2598" s="475"/>
      <c r="R2598" s="475"/>
      <c r="S2598" s="475"/>
      <c r="T2598" s="475"/>
      <c r="U2598" s="475"/>
      <c r="V2598" s="475"/>
      <c r="W2598" s="475"/>
      <c r="X2598" s="475"/>
      <c r="Y2598" s="475"/>
      <c r="Z2598" s="475"/>
      <c r="AA2598" s="475"/>
      <c r="AB2598" s="475"/>
      <c r="AC2598" s="475"/>
      <c r="AD2598" s="475"/>
      <c r="AE2598" s="475"/>
      <c r="AF2598" s="475"/>
    </row>
    <row r="2719" spans="2:32" ht="15" customHeight="1" x14ac:dyDescent="0.65">
      <c r="B2719" s="475"/>
      <c r="C2719" s="475"/>
      <c r="D2719" s="475"/>
      <c r="E2719" s="475"/>
      <c r="F2719" s="475"/>
      <c r="G2719" s="475"/>
      <c r="H2719" s="475"/>
      <c r="I2719" s="475"/>
      <c r="J2719" s="475"/>
      <c r="K2719" s="475"/>
      <c r="L2719" s="475"/>
      <c r="M2719" s="475"/>
      <c r="N2719" s="475"/>
      <c r="O2719" s="475"/>
      <c r="P2719" s="475"/>
      <c r="Q2719" s="475"/>
      <c r="R2719" s="475"/>
      <c r="S2719" s="475"/>
      <c r="T2719" s="475"/>
      <c r="U2719" s="475"/>
      <c r="V2719" s="475"/>
      <c r="W2719" s="475"/>
      <c r="X2719" s="475"/>
      <c r="Y2719" s="475"/>
      <c r="Z2719" s="475"/>
      <c r="AA2719" s="475"/>
      <c r="AB2719" s="475"/>
      <c r="AC2719" s="475"/>
      <c r="AD2719" s="475"/>
      <c r="AE2719" s="475"/>
      <c r="AF2719" s="475"/>
    </row>
    <row r="2837" spans="2:32" ht="15" customHeight="1" x14ac:dyDescent="0.65">
      <c r="B2837" s="475"/>
      <c r="C2837" s="475"/>
      <c r="D2837" s="475"/>
      <c r="E2837" s="475"/>
      <c r="F2837" s="475"/>
      <c r="G2837" s="475"/>
      <c r="H2837" s="475"/>
      <c r="I2837" s="475"/>
      <c r="J2837" s="475"/>
      <c r="K2837" s="475"/>
      <c r="L2837" s="475"/>
      <c r="M2837" s="475"/>
      <c r="N2837" s="475"/>
      <c r="O2837" s="475"/>
      <c r="P2837" s="475"/>
      <c r="Q2837" s="475"/>
      <c r="R2837" s="475"/>
      <c r="S2837" s="475"/>
      <c r="T2837" s="475"/>
      <c r="U2837" s="475"/>
      <c r="V2837" s="475"/>
      <c r="W2837" s="475"/>
      <c r="X2837" s="475"/>
      <c r="Y2837" s="475"/>
      <c r="Z2837" s="475"/>
      <c r="AA2837" s="475"/>
      <c r="AB2837" s="475"/>
      <c r="AC2837" s="475"/>
      <c r="AD2837" s="475"/>
      <c r="AE2837" s="475"/>
      <c r="AF2837" s="475"/>
    </row>
  </sheetData>
  <mergeCells count="21">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 ref="B1604:AF1604"/>
    <mergeCell ref="B1699:AF1699"/>
    <mergeCell ref="B1229:AF1229"/>
    <mergeCell ref="B1390:AF1390"/>
    <mergeCell ref="B1502:AF1502"/>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zoomScale="80" zoomScaleNormal="80" workbookViewId="0">
      <selection activeCell="T46" sqref="A45:T46"/>
    </sheetView>
  </sheetViews>
  <sheetFormatPr defaultColWidth="8.7265625" defaultRowHeight="14.75" x14ac:dyDescent="0.75"/>
  <cols>
    <col min="1" max="1" width="60.7265625" bestFit="1" customWidth="1"/>
    <col min="2" max="2" width="41.54296875" customWidth="1"/>
    <col min="3" max="3" width="11.7265625" bestFit="1" customWidth="1"/>
    <col min="4" max="4" width="13" bestFit="1" customWidth="1"/>
    <col min="5" max="5" width="12.1796875" bestFit="1" customWidth="1"/>
    <col min="6" max="26" width="9.54296875" bestFit="1" customWidth="1"/>
    <col min="27" max="27" width="12.1796875" bestFit="1" customWidth="1"/>
    <col min="28" max="36" width="9.54296875" bestFit="1" customWidth="1"/>
  </cols>
  <sheetData>
    <row r="1" spans="1:36" x14ac:dyDescent="0.7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7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7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7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7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75">
      <c r="C6" s="479" t="s">
        <v>597</v>
      </c>
      <c r="D6" s="479"/>
      <c r="E6" s="479"/>
      <c r="F6" s="479"/>
      <c r="G6" s="479"/>
      <c r="H6" s="479"/>
    </row>
    <row r="7" spans="1:36" x14ac:dyDescent="0.7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7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7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7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7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75">
      <c r="I13" s="480" t="s">
        <v>598</v>
      </c>
      <c r="J13" s="480"/>
      <c r="K13" s="480"/>
    </row>
    <row r="14" spans="1:36" x14ac:dyDescent="0.7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7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7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7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7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75">
      <c r="C20" s="35"/>
      <c r="D20" s="479" t="s">
        <v>597</v>
      </c>
      <c r="E20" s="479"/>
      <c r="F20" s="479"/>
      <c r="G20" s="479"/>
      <c r="H20" s="479"/>
      <c r="I20" s="479"/>
    </row>
    <row r="21" spans="1:35" x14ac:dyDescent="0.7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7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7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7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7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7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7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7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7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7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7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7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7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7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7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7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7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7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7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7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7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7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75">
      <c r="A48" s="15" t="s">
        <v>247</v>
      </c>
    </row>
    <row r="49" spans="1:35" x14ac:dyDescent="0.7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7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7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7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7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7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7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7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7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75">
      <c r="A60" s="15" t="s">
        <v>31</v>
      </c>
    </row>
    <row r="61" spans="1:35" x14ac:dyDescent="0.7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7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7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7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75">
      <c r="A66" s="15" t="s">
        <v>38</v>
      </c>
    </row>
    <row r="67" spans="1:36" x14ac:dyDescent="0.7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7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7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7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7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7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7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7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7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7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7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75">
      <c r="A80" s="15" t="s">
        <v>30</v>
      </c>
    </row>
    <row r="81" spans="1:36" x14ac:dyDescent="0.7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7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7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7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7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7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75">
      <c r="A88" s="15" t="s">
        <v>31</v>
      </c>
    </row>
    <row r="89" spans="1:36" x14ac:dyDescent="0.7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7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7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7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7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7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75">
      <c r="A96" s="15" t="s">
        <v>38</v>
      </c>
    </row>
    <row r="97" spans="1:36" x14ac:dyDescent="0.7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7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7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7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7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7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75">
      <c r="A104" s="15" t="s">
        <v>250</v>
      </c>
    </row>
    <row r="105" spans="1:36" x14ac:dyDescent="0.75">
      <c r="A105" t="s">
        <v>272</v>
      </c>
      <c r="B105" t="s">
        <v>278</v>
      </c>
      <c r="E105">
        <f>'Subsidies Paid'!H20</f>
        <v>10000000</v>
      </c>
    </row>
    <row r="106" spans="1:36" x14ac:dyDescent="0.7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75">
      <c r="A107" t="s">
        <v>281</v>
      </c>
      <c r="B107" t="s">
        <v>280</v>
      </c>
      <c r="E107">
        <f t="shared" ref="E107" si="153">5.751*10^6</f>
        <v>5751000</v>
      </c>
      <c r="AA107" s="5"/>
      <c r="AB107" s="5"/>
      <c r="AC107" s="5"/>
      <c r="AD107" s="5"/>
      <c r="AE107" s="5"/>
      <c r="AF107" s="5"/>
      <c r="AG107" s="5"/>
      <c r="AH107" s="5"/>
      <c r="AI107" s="5"/>
      <c r="AJ107" s="5"/>
    </row>
    <row r="108" spans="1:36" x14ac:dyDescent="0.7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7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7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7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4.75" x14ac:dyDescent="0.75"/>
  <cols>
    <col min="1" max="1" width="27.1796875" customWidth="1"/>
    <col min="2" max="2" width="12.54296875" bestFit="1" customWidth="1"/>
  </cols>
  <sheetData>
    <row r="1" spans="1:2" x14ac:dyDescent="0.75">
      <c r="A1" t="s">
        <v>591</v>
      </c>
      <c r="B1">
        <v>10</v>
      </c>
    </row>
    <row r="2" spans="1:2" ht="29.5" x14ac:dyDescent="0.75">
      <c r="A2" s="36" t="s">
        <v>592</v>
      </c>
      <c r="B2">
        <v>30</v>
      </c>
    </row>
    <row r="3" spans="1:2" ht="29.5" x14ac:dyDescent="0.75">
      <c r="A3" s="36" t="s">
        <v>593</v>
      </c>
      <c r="B3">
        <v>0.39100000000000001</v>
      </c>
    </row>
    <row r="4" spans="1:2" ht="29.5" x14ac:dyDescent="0.75">
      <c r="A4" s="36" t="s">
        <v>594</v>
      </c>
      <c r="B4">
        <v>0.48799999999999999</v>
      </c>
    </row>
    <row r="5" spans="1:2" x14ac:dyDescent="0.75">
      <c r="A5" s="36" t="s">
        <v>595</v>
      </c>
      <c r="B5">
        <v>0.03</v>
      </c>
    </row>
    <row r="6" spans="1:2" x14ac:dyDescent="0.7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4.75" x14ac:dyDescent="0.75"/>
  <sheetData>
    <row r="29" spans="1:1" x14ac:dyDescent="0.75">
      <c r="A29" t="s">
        <v>525</v>
      </c>
    </row>
    <row r="30" spans="1:1" x14ac:dyDescent="0.7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topLeftCell="A10" workbookViewId="0">
      <selection activeCell="D22" sqref="D22:M22"/>
    </sheetView>
  </sheetViews>
  <sheetFormatPr defaultColWidth="9.1796875" defaultRowHeight="14.75" x14ac:dyDescent="0.75"/>
  <cols>
    <col min="1" max="1" width="26.54296875" customWidth="1"/>
    <col min="2" max="2" width="11.81640625" bestFit="1" customWidth="1"/>
  </cols>
  <sheetData>
    <row r="1" spans="1:33" x14ac:dyDescent="0.7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7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7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7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7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7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7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7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7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7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7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7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7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7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7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7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7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7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7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7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7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75">
      <c r="A22" s="126" t="s">
        <v>833</v>
      </c>
      <c r="B22">
        <v>0</v>
      </c>
      <c r="C22">
        <v>0</v>
      </c>
      <c r="D22" s="5">
        <f>'Inflation Reduction Act'!D246</f>
        <v>1.0678204653364778E-5</v>
      </c>
      <c r="E22" s="5">
        <f>'Inflation Reduction Act'!E246</f>
        <v>1.1421773277864689E-5</v>
      </c>
      <c r="F22" s="5">
        <f>'Inflation Reduction Act'!F246</f>
        <v>1.2160099350370479E-5</v>
      </c>
      <c r="G22" s="5">
        <f>'Inflation Reduction Act'!G246</f>
        <v>1.2896677905544892E-5</v>
      </c>
      <c r="H22" s="5">
        <f>'Inflation Reduction Act'!H246</f>
        <v>1.3634130219384993E-5</v>
      </c>
      <c r="I22" s="5">
        <f>'Inflation Reduction Act'!I246</f>
        <v>1.436284494656822E-5</v>
      </c>
      <c r="J22" s="5">
        <f>'Inflation Reduction Act'!J246</f>
        <v>1.5092433432417136E-5</v>
      </c>
      <c r="K22" s="5">
        <f>'Inflation Reduction Act'!K246</f>
        <v>1.5815031848940552E-5</v>
      </c>
      <c r="L22" s="5">
        <f>'Inflation Reduction Act'!L246</f>
        <v>1.5789692847635622E-5</v>
      </c>
      <c r="M22" s="5">
        <f>'Inflation Reduction Act'!M246</f>
        <v>1.5776586467650311E-5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X7" sqref="X7"/>
    </sheetView>
  </sheetViews>
  <sheetFormatPr defaultColWidth="9.1796875" defaultRowHeight="14.75" x14ac:dyDescent="0.75"/>
  <cols>
    <col min="1" max="1" width="32.453125" customWidth="1"/>
  </cols>
  <sheetData>
    <row r="1" spans="1:33" x14ac:dyDescent="0.7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7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7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7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75">
      <c r="A5" t="s">
        <v>40</v>
      </c>
      <c r="B5" s="19">
        <f>Calculations!D39</f>
        <v>0</v>
      </c>
      <c r="C5" s="19">
        <f>Calculations!E39</f>
        <v>1.5544356062906066</v>
      </c>
      <c r="D5" s="19">
        <f>Calculations!F39</f>
        <v>1.5311670156123991</v>
      </c>
      <c r="E5" s="19">
        <f>'Inflation Reduction Act'!C139</f>
        <v>10.401812561487784</v>
      </c>
      <c r="F5" s="19">
        <f>'Inflation Reduction Act'!D139</f>
        <v>10.401812561487784</v>
      </c>
      <c r="G5" s="19">
        <f>'Inflation Reduction Act'!E139</f>
        <v>10.401812561487784</v>
      </c>
      <c r="H5" s="19">
        <f>'Inflation Reduction Act'!F139</f>
        <v>10.401812561487784</v>
      </c>
      <c r="I5" s="19">
        <f>'Inflation Reduction Act'!G139</f>
        <v>10.401812561487784</v>
      </c>
      <c r="J5" s="19">
        <f>'Inflation Reduction Act'!H139</f>
        <v>10.401812561487784</v>
      </c>
      <c r="K5" s="19">
        <f>'Inflation Reduction Act'!I139</f>
        <v>10.401812561487784</v>
      </c>
      <c r="L5" s="19">
        <f>'Inflation Reduction Act'!J139</f>
        <v>10.401812561487784</v>
      </c>
      <c r="M5" s="19">
        <f>'Inflation Reduction Act'!K139</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7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7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Act'!B118</f>
        <v>18.464045540966026</v>
      </c>
      <c r="E7" s="4">
        <f>'Inflation Reduction Act'!C118</f>
        <v>18.464045540966026</v>
      </c>
      <c r="F7" s="4">
        <f>'Inflation Reduction Act'!D118</f>
        <v>18.464045540966026</v>
      </c>
      <c r="G7" s="4">
        <f>'Inflation Reduction Act'!E118</f>
        <v>18.582305296242133</v>
      </c>
      <c r="H7" s="4">
        <f>'Inflation Reduction Act'!F118</f>
        <v>18.605525919351447</v>
      </c>
      <c r="I7" s="4">
        <f>'Inflation Reduction Act'!G118</f>
        <v>18.629431854407127</v>
      </c>
      <c r="J7" s="4">
        <f>'Inflation Reduction Act'!H118</f>
        <v>18.654053742983038</v>
      </c>
      <c r="K7" s="4">
        <f>'Inflation Reduction Act'!I118</f>
        <v>18.679424071173838</v>
      </c>
      <c r="L7" s="4">
        <f>'Inflation Reduction Act'!J118</f>
        <v>18.705577309693794</v>
      </c>
      <c r="M7" s="4">
        <f>'Inflation Reduction Act'!K118</f>
        <v>18.732550066852841</v>
      </c>
      <c r="N7" s="4">
        <f>'Inflation Reduction Act'!L118</f>
        <v>18.742682061996398</v>
      </c>
      <c r="O7" s="4">
        <f>'Inflation Reduction Act'!M118</f>
        <v>18.752969971104079</v>
      </c>
      <c r="P7" s="4">
        <f>'Inflation Reduction Act'!N118</f>
        <v>18.763417409027497</v>
      </c>
      <c r="Q7" s="4">
        <f>'Inflation Reduction Act'!O118</f>
        <v>18.774028102844987</v>
      </c>
      <c r="R7" s="4">
        <f>'Inflation Reduction Act'!P118</f>
        <v>18.784805896234786</v>
      </c>
      <c r="S7" s="4">
        <f>'Inflation Reduction Act'!Q118</f>
        <v>18.795754754053778</v>
      </c>
      <c r="T7" s="4">
        <f>'Inflation Reduction Act'!R118</f>
        <v>18.806878767132094</v>
      </c>
      <c r="U7" s="4">
        <f>'Inflation Reduction Act'!S118</f>
        <v>18.818182157297421</v>
      </c>
      <c r="V7" s="4">
        <f>'Inflation Reduction Act'!T118</f>
        <v>18.829669282639045</v>
      </c>
      <c r="W7" s="4">
        <f>'Inflation Reduction Act'!U118</f>
        <v>14.131008482270838</v>
      </c>
      <c r="X7" s="4">
        <f>'Inflation Reduction Act'!V118</f>
        <v>9.4266064429536076</v>
      </c>
      <c r="Y7" s="4">
        <f>'Inflation Reduction Act'!W118</f>
        <v>0</v>
      </c>
      <c r="Z7" s="4">
        <f>'Inflation Reduction Act'!X118</f>
        <v>0</v>
      </c>
      <c r="AA7" s="4">
        <f>'Inflation Reduction Act'!Y118</f>
        <v>0</v>
      </c>
      <c r="AB7" s="4">
        <f>'Inflation Reduction Act'!Z118</f>
        <v>0</v>
      </c>
      <c r="AC7" s="4">
        <f>'Inflation Reduction Act'!AA118</f>
        <v>0</v>
      </c>
      <c r="AD7" s="4">
        <f>'Inflation Reduction Act'!AB118</f>
        <v>0</v>
      </c>
      <c r="AE7" s="4">
        <f>'Inflation Reduction Act'!AC118</f>
        <v>0</v>
      </c>
    </row>
    <row r="8" spans="1:33" x14ac:dyDescent="0.75">
      <c r="A8" t="s">
        <v>810</v>
      </c>
      <c r="B8" s="4">
        <v>0</v>
      </c>
      <c r="C8" s="4">
        <v>0</v>
      </c>
      <c r="D8" s="4">
        <f>'Inflation Reduction Act'!B122</f>
        <v>15.219521248819278</v>
      </c>
      <c r="E8" s="4">
        <f>'Inflation Reduction Act'!C122</f>
        <v>15.251352079383627</v>
      </c>
      <c r="F8" s="4">
        <f>'Inflation Reduction Act'!D122</f>
        <v>15.266288722136904</v>
      </c>
      <c r="G8" s="4">
        <f>'Inflation Reduction Act'!E122</f>
        <v>15.369438528077259</v>
      </c>
      <c r="H8" s="4">
        <f>'Inflation Reduction Act'!F122</f>
        <v>15.473670675519186</v>
      </c>
      <c r="I8" s="4">
        <f>'Inflation Reduction Act'!G122</f>
        <v>15.488311874969083</v>
      </c>
      <c r="J8" s="4">
        <f>'Inflation Reduction Act'!H122</f>
        <v>15.504651325475697</v>
      </c>
      <c r="K8" s="4">
        <f>'Inflation Reduction Act'!I122</f>
        <v>15.522615933369755</v>
      </c>
      <c r="L8" s="4">
        <f>'Inflation Reduction Act'!J122</f>
        <v>15.543944287211726</v>
      </c>
      <c r="M8" s="4">
        <f>'Inflation Reduction Act'!K122</f>
        <v>15.566678209973249</v>
      </c>
      <c r="N8" s="4">
        <f>'Inflation Reduction Act'!L122</f>
        <v>15.590961224622461</v>
      </c>
      <c r="O8" s="4">
        <f>'Inflation Reduction Act'!M122</f>
        <v>15.616957054862262</v>
      </c>
      <c r="P8" s="4">
        <f>'Inflation Reduction Act'!N122</f>
        <v>15.644853303480344</v>
      </c>
      <c r="Q8" s="4">
        <f>'Inflation Reduction Act'!O122</f>
        <v>15.654173374757416</v>
      </c>
      <c r="R8" s="4">
        <f>'Inflation Reduction Act'!P122</f>
        <v>15.663711904843868</v>
      </c>
      <c r="S8" s="4">
        <f>'Inflation Reduction Act'!Q122</f>
        <v>15.67347665348783</v>
      </c>
      <c r="T8" s="4">
        <f>'Inflation Reduction Act'!R122</f>
        <v>15.68347575173436</v>
      </c>
      <c r="U8" s="4">
        <f>'Inflation Reduction Act'!S122</f>
        <v>15.693717724364788</v>
      </c>
      <c r="V8" s="4">
        <f>'Inflation Reduction Act'!T122</f>
        <v>15.70421151397707</v>
      </c>
      <c r="W8" s="4">
        <f>'Inflation Reduction Act'!U122</f>
        <v>11.786224880141855</v>
      </c>
      <c r="X8" s="4">
        <f>'Inflation Reduction Act'!V122</f>
        <v>7.8629962803900826</v>
      </c>
      <c r="Y8" s="4">
        <f>'Inflation Reduction Act'!W122</f>
        <v>0</v>
      </c>
      <c r="Z8" s="4">
        <f>'Inflation Reduction Act'!X122</f>
        <v>0</v>
      </c>
      <c r="AA8" s="4">
        <f>'Inflation Reduction Act'!Y122</f>
        <v>0</v>
      </c>
      <c r="AB8" s="4">
        <f>'Inflation Reduction Act'!Z122</f>
        <v>0</v>
      </c>
      <c r="AC8" s="4">
        <f>'Inflation Reduction Act'!AA122</f>
        <v>0</v>
      </c>
      <c r="AD8" s="4">
        <f>'Inflation Reduction Act'!AB122</f>
        <v>0</v>
      </c>
      <c r="AE8" s="4">
        <f>'Inflation Reduction Act'!AC122</f>
        <v>0</v>
      </c>
    </row>
    <row r="9" spans="1:33" x14ac:dyDescent="0.7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7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7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7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7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7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7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7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7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75">
      <c r="A18" t="s">
        <v>503</v>
      </c>
      <c r="B18">
        <v>0</v>
      </c>
      <c r="C18">
        <v>0</v>
      </c>
      <c r="D18" s="4">
        <f>'Inflation Reduction Act'!B135</f>
        <v>16.379651838339772</v>
      </c>
      <c r="E18" s="4">
        <f>'Inflation Reduction Act'!C135</f>
        <v>16.379651838339772</v>
      </c>
      <c r="F18" s="4">
        <f>'Inflation Reduction Act'!D135</f>
        <v>16.379651838339772</v>
      </c>
      <c r="G18" s="4">
        <f>'Inflation Reduction Act'!E135</f>
        <v>16.379651838339772</v>
      </c>
      <c r="H18" s="4">
        <f>'Inflation Reduction Act'!F135</f>
        <v>16.379651838339772</v>
      </c>
      <c r="I18" s="4">
        <f>'Inflation Reduction Act'!G135</f>
        <v>16.379651838339772</v>
      </c>
      <c r="J18" s="4">
        <f>'Inflation Reduction Act'!H135</f>
        <v>16.379651838339772</v>
      </c>
      <c r="K18" s="4">
        <f>'Inflation Reduction Act'!I135</f>
        <v>16.379651838339772</v>
      </c>
      <c r="L18" s="4">
        <f>'Inflation Reduction Act'!J135</f>
        <v>16.379651838339772</v>
      </c>
      <c r="M18" s="4">
        <f>'Inflation Reduction Act'!K135</f>
        <v>16.379651838339772</v>
      </c>
      <c r="N18" s="4">
        <f>'Inflation Reduction Act'!L135</f>
        <v>16.379651838339772</v>
      </c>
      <c r="O18" s="4">
        <f>'Inflation Reduction Act'!M135</f>
        <v>16.379651838339772</v>
      </c>
      <c r="P18" s="4">
        <f>'Inflation Reduction Act'!N135</f>
        <v>16.379651838339772</v>
      </c>
      <c r="Q18" s="4">
        <f>'Inflation Reduction Act'!O135</f>
        <v>16.379651838339772</v>
      </c>
      <c r="R18" s="4">
        <f>'Inflation Reduction Act'!P135</f>
        <v>16.379651838339772</v>
      </c>
      <c r="S18" s="4">
        <f>'Inflation Reduction Act'!Q135</f>
        <v>16.379651838339772</v>
      </c>
      <c r="T18" s="4">
        <f>'Inflation Reduction Act'!R135</f>
        <v>17.707731717124076</v>
      </c>
      <c r="U18" s="4">
        <f>'Inflation Reduction Act'!S135</f>
        <v>17.707731717124076</v>
      </c>
      <c r="V18" s="4">
        <f>'Inflation Reduction Act'!T135</f>
        <v>17.707731717124076</v>
      </c>
      <c r="W18" s="4">
        <f>'Inflation Reduction Act'!U135</f>
        <v>13.280798787843057</v>
      </c>
      <c r="X18" s="4">
        <f>'Inflation Reduction Act'!V135</f>
        <v>8.8538658585620382</v>
      </c>
      <c r="Y18" s="4">
        <f>'Inflation Reduction Act'!W135</f>
        <v>0</v>
      </c>
      <c r="Z18" s="4">
        <f>'Inflation Reduction Act'!X135</f>
        <v>0</v>
      </c>
      <c r="AA18" s="4">
        <f>'Inflation Reduction Act'!Y135</f>
        <v>0</v>
      </c>
      <c r="AB18" s="4">
        <f>'Inflation Reduction Act'!Z135</f>
        <v>0</v>
      </c>
      <c r="AC18" s="4">
        <f>'Inflation Reduction Act'!AA135</f>
        <v>0</v>
      </c>
      <c r="AD18" s="4">
        <f>'Inflation Reduction Act'!AB135</f>
        <v>0</v>
      </c>
      <c r="AE18" s="4">
        <f>'Inflation Reduction Act'!AC135</f>
        <v>0</v>
      </c>
    </row>
    <row r="19" spans="1:31" x14ac:dyDescent="0.7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7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7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7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7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7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7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workbookViewId="0">
      <selection activeCell="F8" sqref="F8"/>
    </sheetView>
  </sheetViews>
  <sheetFormatPr defaultRowHeight="14.75" x14ac:dyDescent="0.75"/>
  <cols>
    <col min="1" max="1" width="32.7265625" customWidth="1"/>
  </cols>
  <sheetData>
    <row r="1" spans="1:33" x14ac:dyDescent="0.7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7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7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7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7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7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7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7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75">
      <c r="A9" t="s">
        <v>811</v>
      </c>
      <c r="B9" s="19">
        <f>Calculations!D19</f>
        <v>0.20099999999999998</v>
      </c>
      <c r="C9" s="19">
        <f>Calculations!E19</f>
        <v>0.17419999999999999</v>
      </c>
      <c r="D9" s="19">
        <f>'Inflation Reduction Act'!B159</f>
        <v>0.41625000000000001</v>
      </c>
      <c r="E9" s="19">
        <f>'Inflation Reduction Act'!C159</f>
        <v>0.41625000000000001</v>
      </c>
      <c r="F9" s="19">
        <f>'Inflation Reduction Act'!D159</f>
        <v>0.41625000000000001</v>
      </c>
      <c r="G9" s="19">
        <f>'Inflation Reduction Act'!E159</f>
        <v>0.41625000000000001</v>
      </c>
      <c r="H9" s="19">
        <f>'Inflation Reduction Act'!F159</f>
        <v>0.41625000000000001</v>
      </c>
      <c r="I9" s="19">
        <f>'Inflation Reduction Act'!G159</f>
        <v>0.41625000000000001</v>
      </c>
      <c r="J9" s="19">
        <f>'Inflation Reduction Act'!H159</f>
        <v>0.41625000000000001</v>
      </c>
      <c r="K9" s="19">
        <f>'Inflation Reduction Act'!I159</f>
        <v>0.41625000000000001</v>
      </c>
      <c r="L9" s="19">
        <f>'Inflation Reduction Act'!J159</f>
        <v>0.41625000000000001</v>
      </c>
      <c r="M9" s="19">
        <f>'Inflation Reduction Act'!K159</f>
        <v>0.41625000000000001</v>
      </c>
      <c r="N9" s="19">
        <f>'Inflation Reduction Act'!L159</f>
        <v>0.41625000000000001</v>
      </c>
      <c r="O9" s="19">
        <f>'Inflation Reduction Act'!M159</f>
        <v>0.41625000000000001</v>
      </c>
      <c r="P9" s="19">
        <f>'Inflation Reduction Act'!N159</f>
        <v>0.41625000000000001</v>
      </c>
      <c r="Q9" s="19">
        <f>'Inflation Reduction Act'!O159</f>
        <v>0.41625000000000001</v>
      </c>
      <c r="R9" s="19">
        <f>'Inflation Reduction Act'!P159</f>
        <v>0.41625000000000001</v>
      </c>
      <c r="S9" s="19">
        <f>'Inflation Reduction Act'!Q159</f>
        <v>0.41625000000000001</v>
      </c>
      <c r="T9" s="19">
        <f>'Inflation Reduction Act'!R159</f>
        <v>0.41625000000000001</v>
      </c>
      <c r="U9" s="19">
        <f>'Inflation Reduction Act'!S159</f>
        <v>0.41625000000000001</v>
      </c>
      <c r="V9" s="19">
        <f>'Inflation Reduction Act'!T159</f>
        <v>0.41625000000000001</v>
      </c>
      <c r="W9" s="19">
        <f>'Inflation Reduction Act'!U159</f>
        <v>0.31218750000000001</v>
      </c>
      <c r="X9" s="19">
        <f>'Inflation Reduction Act'!V159</f>
        <v>0.208125</v>
      </c>
      <c r="Y9" s="19">
        <f>'Inflation Reduction Act'!W159</f>
        <v>0</v>
      </c>
      <c r="Z9" s="19">
        <f>'Inflation Reduction Act'!X159</f>
        <v>0</v>
      </c>
      <c r="AA9" s="19">
        <f>'Inflation Reduction Act'!Y159</f>
        <v>0</v>
      </c>
      <c r="AB9" s="19">
        <f>'Inflation Reduction Act'!Z159</f>
        <v>0</v>
      </c>
      <c r="AC9" s="19">
        <f>'Inflation Reduction Act'!AA159</f>
        <v>0</v>
      </c>
      <c r="AD9" s="19">
        <f>'Inflation Reduction Act'!AB159</f>
        <v>0</v>
      </c>
      <c r="AE9" s="19">
        <f>'Inflation Reduction Act'!AC159</f>
        <v>0</v>
      </c>
      <c r="AF9" s="20"/>
      <c r="AG9" s="20"/>
    </row>
    <row r="10" spans="1:33" x14ac:dyDescent="0.7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75">
      <c r="A11" t="s">
        <v>301</v>
      </c>
      <c r="B11" s="19">
        <f>Calculations!D26</f>
        <v>6.699999999999999E-2</v>
      </c>
      <c r="C11" s="19">
        <f>Calculations!E26</f>
        <v>6.699999999999999E-2</v>
      </c>
      <c r="D11" s="19">
        <f>'Inflation Reduction Act'!B162</f>
        <v>0.41625000000000001</v>
      </c>
      <c r="E11" s="19">
        <f>'Inflation Reduction Act'!C162</f>
        <v>0.41625000000000001</v>
      </c>
      <c r="F11" s="19">
        <f>'Inflation Reduction Act'!D162</f>
        <v>0.41625000000000001</v>
      </c>
      <c r="G11" s="19">
        <f>'Inflation Reduction Act'!E162</f>
        <v>0.41625000000000001</v>
      </c>
      <c r="H11" s="19">
        <f>'Inflation Reduction Act'!F162</f>
        <v>0.41625000000000001</v>
      </c>
      <c r="I11" s="19">
        <f>'Inflation Reduction Act'!G162</f>
        <v>0.41625000000000001</v>
      </c>
      <c r="J11" s="19">
        <f>'Inflation Reduction Act'!H162</f>
        <v>0.41625000000000001</v>
      </c>
      <c r="K11" s="19">
        <f>'Inflation Reduction Act'!I162</f>
        <v>0.41625000000000001</v>
      </c>
      <c r="L11" s="19">
        <f>'Inflation Reduction Act'!J162</f>
        <v>0.41625000000000001</v>
      </c>
      <c r="M11" s="19">
        <f>'Inflation Reduction Act'!K162</f>
        <v>0.41625000000000001</v>
      </c>
      <c r="N11" s="19">
        <f>'Inflation Reduction Act'!L162</f>
        <v>0.41625000000000001</v>
      </c>
      <c r="O11" s="19">
        <f>'Inflation Reduction Act'!M162</f>
        <v>0.41625000000000001</v>
      </c>
      <c r="P11" s="19">
        <f>'Inflation Reduction Act'!N162</f>
        <v>0.41625000000000001</v>
      </c>
      <c r="Q11" s="19">
        <f>'Inflation Reduction Act'!O162</f>
        <v>0.41625000000000001</v>
      </c>
      <c r="R11" s="19">
        <f>'Inflation Reduction Act'!P162</f>
        <v>0.41625000000000001</v>
      </c>
      <c r="S11" s="19">
        <f>'Inflation Reduction Act'!Q162</f>
        <v>0.41625000000000001</v>
      </c>
      <c r="T11" s="19">
        <f>'Inflation Reduction Act'!R162</f>
        <v>0.41625000000000001</v>
      </c>
      <c r="U11" s="19">
        <f>'Inflation Reduction Act'!S162</f>
        <v>0.41625000000000001</v>
      </c>
      <c r="V11" s="19">
        <f>'Inflation Reduction Act'!T162</f>
        <v>0.41625000000000001</v>
      </c>
      <c r="W11" s="19">
        <f>'Inflation Reduction Act'!U162</f>
        <v>0.31218750000000001</v>
      </c>
      <c r="X11" s="19">
        <f>'Inflation Reduction Act'!V162</f>
        <v>0.208125</v>
      </c>
      <c r="Y11" s="19">
        <f>'Inflation Reduction Act'!W162</f>
        <v>0</v>
      </c>
      <c r="Z11" s="19">
        <f>'Inflation Reduction Act'!X162</f>
        <v>0</v>
      </c>
      <c r="AA11" s="19">
        <f>'Inflation Reduction Act'!Y162</f>
        <v>0</v>
      </c>
      <c r="AB11" s="19">
        <f>'Inflation Reduction Act'!Z162</f>
        <v>0</v>
      </c>
      <c r="AC11" s="19">
        <f>'Inflation Reduction Act'!AA162</f>
        <v>0</v>
      </c>
      <c r="AD11" s="19">
        <f>'Inflation Reduction Act'!AB162</f>
        <v>0</v>
      </c>
      <c r="AE11" s="19">
        <f>'Inflation Reduction Act'!AC162</f>
        <v>0</v>
      </c>
      <c r="AF11" s="20"/>
      <c r="AG11" s="20"/>
    </row>
    <row r="12" spans="1:33" x14ac:dyDescent="0.7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7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7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75">
      <c r="A15" t="s">
        <v>509</v>
      </c>
      <c r="B15" s="19">
        <f>Calculations!D12</f>
        <v>0.20099999999999998</v>
      </c>
      <c r="C15" s="19">
        <f>Calculations!E12</f>
        <v>0.20099999999999998</v>
      </c>
      <c r="D15" s="19">
        <f>'Inflation Reduction Act'!B165</f>
        <v>0.41625000000000001</v>
      </c>
      <c r="E15" s="19">
        <f>'Inflation Reduction Act'!C165</f>
        <v>0.41625000000000001</v>
      </c>
      <c r="F15" s="19">
        <f>'Inflation Reduction Act'!D165</f>
        <v>0.41625000000000001</v>
      </c>
      <c r="G15" s="19">
        <f>'Inflation Reduction Act'!E165</f>
        <v>0.41625000000000001</v>
      </c>
      <c r="H15" s="19">
        <f>'Inflation Reduction Act'!F165</f>
        <v>0.41625000000000001</v>
      </c>
      <c r="I15" s="19">
        <f>'Inflation Reduction Act'!G165</f>
        <v>0.41625000000000001</v>
      </c>
      <c r="J15" s="19">
        <f>'Inflation Reduction Act'!H165</f>
        <v>0.41625000000000001</v>
      </c>
      <c r="K15" s="19">
        <f>'Inflation Reduction Act'!I165</f>
        <v>0.41625000000000001</v>
      </c>
      <c r="L15" s="19">
        <f>'Inflation Reduction Act'!J165</f>
        <v>0.41625000000000001</v>
      </c>
      <c r="M15" s="19">
        <f>'Inflation Reduction Act'!K165</f>
        <v>0.41625000000000001</v>
      </c>
      <c r="N15" s="19">
        <f>'Inflation Reduction Act'!L165</f>
        <v>0.41625000000000001</v>
      </c>
      <c r="O15" s="19">
        <f>'Inflation Reduction Act'!M165</f>
        <v>0.41625000000000001</v>
      </c>
      <c r="P15" s="19">
        <f>'Inflation Reduction Act'!N165</f>
        <v>0.41625000000000001</v>
      </c>
      <c r="Q15" s="19">
        <f>'Inflation Reduction Act'!O165</f>
        <v>0.41625000000000001</v>
      </c>
      <c r="R15" s="19">
        <f>'Inflation Reduction Act'!P165</f>
        <v>0.41625000000000001</v>
      </c>
      <c r="S15" s="19">
        <f>'Inflation Reduction Act'!Q165</f>
        <v>0.41625000000000001</v>
      </c>
      <c r="T15" s="19">
        <f>'Inflation Reduction Act'!R165</f>
        <v>0.41625000000000001</v>
      </c>
      <c r="U15" s="19">
        <f>'Inflation Reduction Act'!S165</f>
        <v>0.41625000000000001</v>
      </c>
      <c r="V15" s="19">
        <f>'Inflation Reduction Act'!T165</f>
        <v>0.41625000000000001</v>
      </c>
      <c r="W15" s="19">
        <f>'Inflation Reduction Act'!U165</f>
        <v>0.31218750000000001</v>
      </c>
      <c r="X15" s="19">
        <f>'Inflation Reduction Act'!V165</f>
        <v>0.208125</v>
      </c>
      <c r="Y15" s="19">
        <f>'Inflation Reduction Act'!W165</f>
        <v>0</v>
      </c>
      <c r="Z15" s="19">
        <f>'Inflation Reduction Act'!X165</f>
        <v>0</v>
      </c>
      <c r="AA15" s="19">
        <f>'Inflation Reduction Act'!Y165</f>
        <v>0</v>
      </c>
      <c r="AB15" s="19">
        <f>'Inflation Reduction Act'!Z165</f>
        <v>0</v>
      </c>
      <c r="AC15" s="19">
        <f>'Inflation Reduction Act'!AA165</f>
        <v>0</v>
      </c>
      <c r="AD15" s="19">
        <f>'Inflation Reduction Act'!AB165</f>
        <v>0</v>
      </c>
      <c r="AE15" s="19">
        <f>'Inflation Reduction Act'!AC165</f>
        <v>0</v>
      </c>
      <c r="AF15" s="20"/>
      <c r="AG15" s="20"/>
    </row>
    <row r="16" spans="1:33" x14ac:dyDescent="0.7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7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7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7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7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7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7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7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7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7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796875" defaultRowHeight="14.75" x14ac:dyDescent="0.75"/>
  <cols>
    <col min="1" max="1" width="32.453125" customWidth="1"/>
    <col min="2" max="2" width="87.7265625" customWidth="1"/>
    <col min="13" max="13" width="11.54296875" customWidth="1"/>
  </cols>
  <sheetData>
    <row r="1" spans="1:14" x14ac:dyDescent="0.75">
      <c r="A1" t="s">
        <v>5</v>
      </c>
    </row>
    <row r="2" spans="1:14" x14ac:dyDescent="0.75">
      <c r="A2" s="1" t="s">
        <v>166</v>
      </c>
    </row>
    <row r="3" spans="1:14" x14ac:dyDescent="0.75">
      <c r="A3" t="s">
        <v>7</v>
      </c>
    </row>
    <row r="4" spans="1:14" x14ac:dyDescent="0.75">
      <c r="A4" t="s">
        <v>13</v>
      </c>
    </row>
    <row r="5" spans="1:14" x14ac:dyDescent="0.75">
      <c r="A5" t="s">
        <v>14</v>
      </c>
    </row>
    <row r="7" spans="1:14" x14ac:dyDescent="0.75">
      <c r="B7" s="1"/>
      <c r="C7" s="1" t="s">
        <v>8</v>
      </c>
      <c r="D7" s="1"/>
      <c r="E7" s="1"/>
      <c r="F7" s="1"/>
      <c r="G7" s="1"/>
      <c r="H7" s="1" t="s">
        <v>9</v>
      </c>
      <c r="I7" s="1"/>
      <c r="J7" s="1"/>
      <c r="K7" s="1"/>
      <c r="L7" s="1"/>
      <c r="M7" s="1" t="s">
        <v>11</v>
      </c>
    </row>
    <row r="8" spans="1:14" x14ac:dyDescent="0.75">
      <c r="A8" s="1" t="s">
        <v>34</v>
      </c>
      <c r="B8" s="1" t="s">
        <v>6</v>
      </c>
      <c r="C8" s="1">
        <v>2014</v>
      </c>
      <c r="D8" s="1">
        <v>2015</v>
      </c>
      <c r="E8" s="1">
        <v>2016</v>
      </c>
      <c r="F8" s="1">
        <v>2017</v>
      </c>
      <c r="G8" s="1">
        <v>2018</v>
      </c>
      <c r="H8" s="1">
        <v>2014</v>
      </c>
      <c r="I8" s="1">
        <v>2015</v>
      </c>
      <c r="J8" s="1">
        <v>2016</v>
      </c>
      <c r="K8" s="1">
        <v>2017</v>
      </c>
      <c r="L8" s="1">
        <v>2018</v>
      </c>
      <c r="M8" s="3" t="s">
        <v>12</v>
      </c>
    </row>
    <row r="9" spans="1:14" x14ac:dyDescent="0.7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75">
      <c r="A10" s="7" t="s">
        <v>22</v>
      </c>
      <c r="B10" s="7" t="s">
        <v>15</v>
      </c>
      <c r="C10" s="23">
        <v>0.4</v>
      </c>
      <c r="D10" s="23">
        <v>0.4</v>
      </c>
      <c r="E10" s="23">
        <v>0.4</v>
      </c>
      <c r="F10" s="23">
        <v>0.4</v>
      </c>
      <c r="G10" s="23">
        <v>0.3</v>
      </c>
      <c r="H10" s="23">
        <v>0.1</v>
      </c>
      <c r="I10" s="23">
        <v>0.1</v>
      </c>
      <c r="J10" s="23">
        <v>0.1</v>
      </c>
      <c r="K10" s="23">
        <v>0.1</v>
      </c>
      <c r="L10" s="23">
        <v>0.1</v>
      </c>
      <c r="M10" s="23">
        <v>2.9</v>
      </c>
    </row>
    <row r="11" spans="1:14" x14ac:dyDescent="0.7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7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7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75">
      <c r="A14" s="7" t="s">
        <v>25</v>
      </c>
      <c r="B14" s="7" t="s">
        <v>19</v>
      </c>
      <c r="C14" s="23">
        <v>0.3</v>
      </c>
      <c r="D14" s="23">
        <v>0.4</v>
      </c>
      <c r="E14" s="23">
        <v>0.4</v>
      </c>
      <c r="F14" s="23">
        <v>0.4</v>
      </c>
      <c r="G14" s="23">
        <v>0.4</v>
      </c>
      <c r="H14" s="24"/>
      <c r="I14" s="24"/>
      <c r="J14" s="24"/>
      <c r="K14" s="24"/>
      <c r="L14" s="24"/>
      <c r="M14" s="23">
        <v>1.9</v>
      </c>
    </row>
    <row r="15" spans="1:14" x14ac:dyDescent="0.75">
      <c r="A15" s="7" t="s">
        <v>26</v>
      </c>
      <c r="B15" s="7" t="s">
        <v>20</v>
      </c>
      <c r="C15" s="23">
        <v>0.2</v>
      </c>
      <c r="D15" s="23">
        <v>0.2</v>
      </c>
      <c r="E15" s="23">
        <v>0.2</v>
      </c>
      <c r="F15" s="23">
        <v>0.2</v>
      </c>
      <c r="G15" s="23">
        <v>0.2</v>
      </c>
      <c r="H15" s="23"/>
      <c r="I15" s="23"/>
      <c r="J15" s="23"/>
      <c r="K15" s="23"/>
      <c r="L15" s="23"/>
      <c r="M15" s="23">
        <v>1</v>
      </c>
    </row>
    <row r="16" spans="1:14" x14ac:dyDescent="0.7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7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29.5" x14ac:dyDescent="0.75">
      <c r="A18" s="7" t="s">
        <v>42</v>
      </c>
      <c r="B18" s="7" t="s">
        <v>29</v>
      </c>
      <c r="C18" s="23">
        <v>0.9</v>
      </c>
      <c r="D18" s="23">
        <v>0.9</v>
      </c>
      <c r="E18" s="23">
        <v>0.9</v>
      </c>
      <c r="F18" s="23">
        <v>1</v>
      </c>
      <c r="G18" s="23">
        <v>1</v>
      </c>
      <c r="H18" s="23">
        <v>0.2</v>
      </c>
      <c r="I18" s="23">
        <v>0.2</v>
      </c>
      <c r="J18" s="23">
        <v>0.3</v>
      </c>
      <c r="K18" s="23">
        <v>0.3</v>
      </c>
      <c r="L18" s="23">
        <v>0.3</v>
      </c>
      <c r="M18" s="23">
        <v>6</v>
      </c>
    </row>
    <row r="19" spans="1:14" x14ac:dyDescent="0.75">
      <c r="A19" s="7" t="s">
        <v>26</v>
      </c>
      <c r="B19" s="7" t="s">
        <v>265</v>
      </c>
      <c r="C19" s="23">
        <v>0.1</v>
      </c>
      <c r="D19" s="23">
        <v>0.1</v>
      </c>
      <c r="E19" s="23">
        <v>0.1</v>
      </c>
      <c r="F19" s="23">
        <v>0.1</v>
      </c>
      <c r="G19" s="23">
        <v>0.1</v>
      </c>
      <c r="H19" s="23">
        <v>0</v>
      </c>
      <c r="I19" s="23">
        <v>0</v>
      </c>
      <c r="J19" s="23">
        <v>0</v>
      </c>
      <c r="K19" s="23">
        <v>0</v>
      </c>
      <c r="L19" s="23">
        <v>0</v>
      </c>
      <c r="M19" s="23">
        <v>0.5</v>
      </c>
      <c r="N19" t="s">
        <v>266</v>
      </c>
    </row>
    <row r="20" spans="1:14" ht="29.5" x14ac:dyDescent="0.7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29.5" x14ac:dyDescent="0.7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75">
      <c r="A22" s="7" t="s">
        <v>26</v>
      </c>
      <c r="B22" s="8" t="s">
        <v>32</v>
      </c>
      <c r="C22" s="23">
        <v>0.4</v>
      </c>
      <c r="D22" s="23">
        <v>0.4</v>
      </c>
      <c r="E22" s="23">
        <v>0.4</v>
      </c>
      <c r="F22" s="23">
        <v>0.3</v>
      </c>
      <c r="G22" s="23">
        <v>0.3</v>
      </c>
      <c r="H22" s="23"/>
      <c r="I22" s="23"/>
      <c r="J22" s="23"/>
      <c r="K22" s="23"/>
      <c r="L22" s="23"/>
      <c r="M22" s="23">
        <v>1.8</v>
      </c>
    </row>
    <row r="23" spans="1:14" x14ac:dyDescent="0.75">
      <c r="A23" s="6" t="s">
        <v>33</v>
      </c>
      <c r="B23" s="6" t="s">
        <v>35</v>
      </c>
      <c r="C23" s="22">
        <v>0.3</v>
      </c>
      <c r="D23" s="22">
        <v>0.3</v>
      </c>
      <c r="E23" s="22">
        <v>0.3</v>
      </c>
      <c r="F23" s="22">
        <v>0.3</v>
      </c>
      <c r="G23" s="22">
        <v>0.2</v>
      </c>
      <c r="H23" s="25"/>
      <c r="I23" s="25"/>
      <c r="J23" s="25"/>
      <c r="K23" s="25"/>
      <c r="L23" s="25"/>
      <c r="M23" s="22">
        <v>1.4</v>
      </c>
      <c r="N23" t="s">
        <v>241</v>
      </c>
    </row>
    <row r="24" spans="1:14" x14ac:dyDescent="0.75">
      <c r="A24" s="6" t="s">
        <v>37</v>
      </c>
      <c r="B24" s="6" t="s">
        <v>36</v>
      </c>
      <c r="C24" s="22">
        <v>0.2</v>
      </c>
      <c r="D24" s="22">
        <v>0.2</v>
      </c>
      <c r="E24" s="22">
        <v>0.2</v>
      </c>
      <c r="F24" s="22">
        <v>0.1</v>
      </c>
      <c r="G24" s="22">
        <v>0.1</v>
      </c>
      <c r="H24" s="22"/>
      <c r="I24" s="22"/>
      <c r="J24" s="22"/>
      <c r="K24" s="22"/>
      <c r="L24" s="22"/>
      <c r="M24" s="22">
        <v>0.8</v>
      </c>
      <c r="N24" t="s">
        <v>245</v>
      </c>
    </row>
    <row r="25" spans="1:14" ht="29.5" x14ac:dyDescent="0.75">
      <c r="A25" s="7" t="s">
        <v>42</v>
      </c>
      <c r="B25" s="7" t="s">
        <v>38</v>
      </c>
      <c r="C25" s="23"/>
      <c r="D25" s="23"/>
      <c r="E25" s="23"/>
      <c r="F25" s="23"/>
      <c r="G25" s="23"/>
      <c r="H25" s="23">
        <v>1.1000000000000001</v>
      </c>
      <c r="I25" s="23">
        <v>1.1000000000000001</v>
      </c>
      <c r="J25" s="23">
        <v>1.2</v>
      </c>
      <c r="K25" s="23">
        <v>1.2</v>
      </c>
      <c r="L25" s="23">
        <v>1.2</v>
      </c>
      <c r="M25" s="23">
        <v>5.8</v>
      </c>
    </row>
    <row r="26" spans="1:14" x14ac:dyDescent="0.75">
      <c r="A26" s="7" t="s">
        <v>40</v>
      </c>
      <c r="B26" s="7" t="s">
        <v>39</v>
      </c>
      <c r="C26" s="23">
        <v>0.2</v>
      </c>
      <c r="D26" s="23">
        <v>0.2</v>
      </c>
      <c r="E26" s="23">
        <v>0.2</v>
      </c>
      <c r="F26" s="23">
        <v>0.3</v>
      </c>
      <c r="G26" s="23">
        <v>0.3</v>
      </c>
      <c r="H26" s="23"/>
      <c r="I26" s="23"/>
      <c r="J26" s="23"/>
      <c r="K26" s="23"/>
      <c r="L26" s="23"/>
      <c r="M26" s="23">
        <v>1.2</v>
      </c>
    </row>
    <row r="27" spans="1:14" ht="29.5" x14ac:dyDescent="0.75">
      <c r="A27" s="6" t="s">
        <v>42</v>
      </c>
      <c r="B27" s="6" t="s">
        <v>41</v>
      </c>
      <c r="C27" s="22"/>
      <c r="D27" s="22"/>
      <c r="E27" s="22"/>
      <c r="F27" s="22"/>
      <c r="G27" s="22"/>
      <c r="H27" s="22">
        <v>0.1</v>
      </c>
      <c r="I27" s="22">
        <v>0.1</v>
      </c>
      <c r="J27" s="22">
        <v>0.1</v>
      </c>
      <c r="K27" s="22">
        <v>0.1</v>
      </c>
      <c r="L27" s="22">
        <v>0.1</v>
      </c>
      <c r="M27" s="22">
        <v>0.5</v>
      </c>
      <c r="N27" t="s">
        <v>246</v>
      </c>
    </row>
    <row r="29" spans="1:14" x14ac:dyDescent="0.75">
      <c r="A29" s="26" t="s">
        <v>113</v>
      </c>
    </row>
    <row r="30" spans="1:14" x14ac:dyDescent="0.75">
      <c r="A30" t="s">
        <v>114</v>
      </c>
    </row>
    <row r="31" spans="1:14" x14ac:dyDescent="0.7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2024-03-20T23:29:40Z</dcterms:modified>
</cp:coreProperties>
</file>