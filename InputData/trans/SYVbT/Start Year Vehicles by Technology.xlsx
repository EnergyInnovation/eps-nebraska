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SYVbT\"/>
    </mc:Choice>
  </mc:AlternateContent>
  <xr:revisionPtr revIDLastSave="0" documentId="8_{5858152D-EA2B-402C-9931-DDB19850AD32}" xr6:coauthVersionLast="47" xr6:coauthVersionMax="47" xr10:uidLastSave="{00000000-0000-0000-0000-000000000000}"/>
  <bookViews>
    <workbookView xWindow="390" yWindow="60" windowWidth="20115" windowHeight="14055" firstSheet="25" activeTab="26" xr2:uid="{3FAC17CA-2954-4594-95FF-B3732356A452}"/>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AVL" sheetId="43" r:id="rId13"/>
    <sheet name="SSYVbT-passenger-LDV" sheetId="2" r:id="rId14"/>
    <sheet name="SSYVbT-passenger-HDV" sheetId="29" r:id="rId15"/>
    <sheet name="SSYVbT-passenger-aircraft" sheetId="30" r:id="rId16"/>
    <sheet name="SSYVbT-passenger-rail" sheetId="31" r:id="rId17"/>
    <sheet name="SSYVbT-passenger-ships" sheetId="32" r:id="rId18"/>
    <sheet name="SSYVbT-passenger-motorbikes" sheetId="33" r:id="rId19"/>
    <sheet name="SSYVbT-freight-LDV" sheetId="4" r:id="rId20"/>
    <sheet name="SSYVbT-freight-HDV" sheetId="34" r:id="rId21"/>
    <sheet name="SSYVbT-freight-aircraft" sheetId="35" r:id="rId22"/>
    <sheet name="SSYVbT-freight-rail" sheetId="36" r:id="rId23"/>
    <sheet name="SSYVbT-freight-ships" sheetId="37" r:id="rId24"/>
    <sheet name="SSYVbT-freight-motorbikes" sheetId="38" r:id="rId25"/>
    <sheet name="SYVbT-freight" sheetId="39" r:id="rId26"/>
    <sheet name="SYVbT-passenger" sheetId="40" r:id="rId27"/>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36" l="1"/>
  <c r="N3" i="36"/>
  <c r="O3" i="36"/>
  <c r="P3" i="36"/>
  <c r="Q3" i="36"/>
  <c r="R3" i="36"/>
  <c r="S3" i="36"/>
  <c r="M4" i="36"/>
  <c r="N4" i="36"/>
  <c r="O4" i="36"/>
  <c r="P4" i="36"/>
  <c r="Q4" i="36"/>
  <c r="R4" i="36"/>
  <c r="S4" i="36"/>
  <c r="M5" i="36"/>
  <c r="N5" i="36"/>
  <c r="O5" i="36"/>
  <c r="P5" i="36"/>
  <c r="Q5" i="36"/>
  <c r="R5" i="36"/>
  <c r="S5" i="36"/>
  <c r="M6" i="36"/>
  <c r="N6" i="36"/>
  <c r="O6" i="36"/>
  <c r="P6" i="36"/>
  <c r="Q6" i="36"/>
  <c r="R6" i="36"/>
  <c r="S6" i="36"/>
  <c r="M7" i="36"/>
  <c r="N7" i="36"/>
  <c r="O7" i="36"/>
  <c r="P7" i="36"/>
  <c r="Q7" i="36"/>
  <c r="R7" i="36"/>
  <c r="S7" i="36"/>
  <c r="M8" i="36"/>
  <c r="N8" i="36"/>
  <c r="O8" i="36"/>
  <c r="P8" i="36"/>
  <c r="Q8" i="36"/>
  <c r="R8" i="36"/>
  <c r="S8" i="36"/>
  <c r="M9" i="36"/>
  <c r="N9" i="36"/>
  <c r="O9" i="36"/>
  <c r="P9" i="36"/>
  <c r="Q9" i="36"/>
  <c r="R9" i="36"/>
  <c r="S9" i="36"/>
  <c r="M10" i="36"/>
  <c r="N10" i="36"/>
  <c r="O10" i="36"/>
  <c r="P10" i="36"/>
  <c r="Q10" i="36"/>
  <c r="R10" i="36"/>
  <c r="S10" i="36"/>
  <c r="M11" i="36"/>
  <c r="N11" i="36"/>
  <c r="O11" i="36"/>
  <c r="P11" i="36"/>
  <c r="Q11" i="36"/>
  <c r="R11" i="36"/>
  <c r="S11" i="36"/>
  <c r="M12" i="36"/>
  <c r="N12" i="36"/>
  <c r="O12" i="36"/>
  <c r="P12" i="36"/>
  <c r="Q12" i="36"/>
  <c r="R12" i="36"/>
  <c r="S12" i="36"/>
  <c r="M13" i="36"/>
  <c r="N13" i="36"/>
  <c r="O13" i="36"/>
  <c r="P13" i="36"/>
  <c r="Q13" i="36"/>
  <c r="R13" i="36"/>
  <c r="S13" i="36"/>
  <c r="M14" i="36"/>
  <c r="N14" i="36"/>
  <c r="O14" i="36"/>
  <c r="P14" i="36"/>
  <c r="Q14" i="36"/>
  <c r="R14" i="36"/>
  <c r="S14" i="36"/>
  <c r="M15" i="36"/>
  <c r="N15" i="36"/>
  <c r="O15" i="36"/>
  <c r="P15" i="36"/>
  <c r="Q15" i="36"/>
  <c r="R15" i="36"/>
  <c r="S15" i="36"/>
  <c r="M16" i="36"/>
  <c r="N16" i="36"/>
  <c r="O16" i="36"/>
  <c r="P16" i="36"/>
  <c r="Q16" i="36"/>
  <c r="R16" i="36"/>
  <c r="S16" i="36"/>
  <c r="M17" i="36"/>
  <c r="N17" i="36"/>
  <c r="O17" i="36"/>
  <c r="P17" i="36"/>
  <c r="Q17" i="36"/>
  <c r="R17" i="36"/>
  <c r="S17" i="36"/>
  <c r="M18" i="36"/>
  <c r="N18" i="36"/>
  <c r="O18" i="36"/>
  <c r="P18" i="36"/>
  <c r="Q18" i="36"/>
  <c r="R18" i="36"/>
  <c r="S18" i="36"/>
  <c r="M19" i="36"/>
  <c r="N19" i="36"/>
  <c r="O19" i="36"/>
  <c r="P19" i="36"/>
  <c r="Q19" i="36"/>
  <c r="R19" i="36"/>
  <c r="S19" i="36"/>
  <c r="M20" i="36"/>
  <c r="N20" i="36"/>
  <c r="O20" i="36"/>
  <c r="P20" i="36"/>
  <c r="Q20" i="36"/>
  <c r="R20" i="36"/>
  <c r="S20" i="36"/>
  <c r="M21" i="36"/>
  <c r="N21" i="36"/>
  <c r="O21" i="36"/>
  <c r="P21" i="36"/>
  <c r="Q21" i="36"/>
  <c r="R21" i="36"/>
  <c r="S21" i="36"/>
  <c r="M22" i="36"/>
  <c r="N22" i="36"/>
  <c r="O22" i="36"/>
  <c r="P22" i="36"/>
  <c r="Q22" i="36"/>
  <c r="R22" i="36"/>
  <c r="S22" i="36"/>
  <c r="M23" i="36"/>
  <c r="N23" i="36"/>
  <c r="O23" i="36"/>
  <c r="P23" i="36"/>
  <c r="Q23" i="36"/>
  <c r="R23" i="36"/>
  <c r="S23" i="36"/>
  <c r="M24" i="36"/>
  <c r="N24" i="36"/>
  <c r="O24" i="36"/>
  <c r="P24" i="36"/>
  <c r="Q24" i="36"/>
  <c r="R24" i="36"/>
  <c r="S24" i="36"/>
  <c r="M25" i="36"/>
  <c r="N25" i="36"/>
  <c r="O25" i="36"/>
  <c r="P25" i="36"/>
  <c r="Q25" i="36"/>
  <c r="R25" i="36"/>
  <c r="S25" i="36"/>
  <c r="M26" i="36"/>
  <c r="N26" i="36"/>
  <c r="O26" i="36"/>
  <c r="P26" i="36"/>
  <c r="Q26" i="36"/>
  <c r="R26" i="36"/>
  <c r="S26" i="36"/>
  <c r="M27" i="36"/>
  <c r="N27" i="36"/>
  <c r="O27" i="36"/>
  <c r="P27" i="36"/>
  <c r="Q27" i="36"/>
  <c r="R27" i="36"/>
  <c r="S27" i="36"/>
  <c r="M28" i="36"/>
  <c r="N28" i="36"/>
  <c r="O28" i="36"/>
  <c r="P28" i="36"/>
  <c r="Q28" i="36"/>
  <c r="R28" i="36"/>
  <c r="S28" i="36"/>
  <c r="M29" i="36"/>
  <c r="N29" i="36"/>
  <c r="O29" i="36"/>
  <c r="P29" i="36"/>
  <c r="Q29" i="36"/>
  <c r="R29" i="36"/>
  <c r="S29" i="36"/>
  <c r="M30" i="36"/>
  <c r="N30" i="36"/>
  <c r="O30" i="36"/>
  <c r="P30" i="36"/>
  <c r="Q30" i="36"/>
  <c r="R30" i="36"/>
  <c r="S30" i="36"/>
  <c r="M31" i="36"/>
  <c r="N31" i="36"/>
  <c r="O31" i="36"/>
  <c r="P31" i="36"/>
  <c r="Q31" i="36"/>
  <c r="R31" i="36"/>
  <c r="S31" i="36"/>
  <c r="M32" i="36"/>
  <c r="N32" i="36"/>
  <c r="O32" i="36"/>
  <c r="P32" i="36"/>
  <c r="Q32" i="36"/>
  <c r="R32" i="36"/>
  <c r="S32" i="36"/>
  <c r="M33" i="36"/>
  <c r="N33" i="36"/>
  <c r="O33" i="36"/>
  <c r="P33" i="36"/>
  <c r="Q33" i="36"/>
  <c r="R33" i="36"/>
  <c r="S33" i="36"/>
  <c r="M34" i="36"/>
  <c r="N34" i="36"/>
  <c r="O34" i="36"/>
  <c r="P34" i="36"/>
  <c r="Q34" i="36"/>
  <c r="R34" i="36"/>
  <c r="S34" i="36"/>
  <c r="M35" i="36"/>
  <c r="N35" i="36"/>
  <c r="O35" i="36"/>
  <c r="P35" i="36"/>
  <c r="Q35" i="36"/>
  <c r="R35" i="36"/>
  <c r="S35" i="36"/>
  <c r="M36" i="36"/>
  <c r="N36" i="36"/>
  <c r="O36" i="36"/>
  <c r="P36" i="36"/>
  <c r="Q36" i="36"/>
  <c r="R36" i="36"/>
  <c r="S36" i="36"/>
  <c r="M37" i="36"/>
  <c r="N37" i="36"/>
  <c r="O37" i="36"/>
  <c r="P37" i="36"/>
  <c r="Q37" i="36"/>
  <c r="R37" i="36"/>
  <c r="S37" i="36"/>
  <c r="M38" i="36"/>
  <c r="N38" i="36"/>
  <c r="O38" i="36"/>
  <c r="P38" i="36"/>
  <c r="Q38" i="36"/>
  <c r="R38" i="36"/>
  <c r="S38" i="36"/>
  <c r="M39" i="36"/>
  <c r="N39" i="36"/>
  <c r="O39" i="36"/>
  <c r="P39" i="36"/>
  <c r="Q39" i="36"/>
  <c r="R39" i="36"/>
  <c r="S39" i="36"/>
  <c r="M40" i="36"/>
  <c r="N40" i="36"/>
  <c r="O40" i="36"/>
  <c r="P40" i="36"/>
  <c r="Q40" i="36"/>
  <c r="R40" i="36"/>
  <c r="S40" i="36"/>
  <c r="M41" i="36"/>
  <c r="N41" i="36"/>
  <c r="O41" i="36"/>
  <c r="P41" i="36"/>
  <c r="Q41" i="36"/>
  <c r="R41" i="36"/>
  <c r="S41" i="36"/>
  <c r="M42" i="36"/>
  <c r="N42" i="36"/>
  <c r="O42" i="36"/>
  <c r="P42" i="36"/>
  <c r="Q42" i="36"/>
  <c r="R42" i="36"/>
  <c r="S42" i="36"/>
  <c r="M43" i="36"/>
  <c r="N43" i="36"/>
  <c r="O43" i="36"/>
  <c r="P43" i="36"/>
  <c r="Q43" i="36"/>
  <c r="R43" i="36"/>
  <c r="S43" i="36"/>
  <c r="M44" i="36"/>
  <c r="N44" i="36"/>
  <c r="O44" i="36"/>
  <c r="P44" i="36"/>
  <c r="Q44" i="36"/>
  <c r="R44" i="36"/>
  <c r="S44" i="36"/>
  <c r="M45" i="36"/>
  <c r="N45" i="36"/>
  <c r="O45" i="36"/>
  <c r="P45" i="36"/>
  <c r="Q45" i="36"/>
  <c r="R45" i="36"/>
  <c r="S45" i="36"/>
  <c r="M46" i="36"/>
  <c r="N46" i="36"/>
  <c r="O46" i="36"/>
  <c r="P46" i="36"/>
  <c r="Q46" i="36"/>
  <c r="R46" i="36"/>
  <c r="S46" i="36"/>
  <c r="M47" i="36"/>
  <c r="N47" i="36"/>
  <c r="O47" i="36"/>
  <c r="P47" i="36"/>
  <c r="Q47" i="36"/>
  <c r="R47" i="36"/>
  <c r="S47" i="36"/>
  <c r="M48" i="36"/>
  <c r="N48" i="36"/>
  <c r="O48" i="36"/>
  <c r="P48" i="36"/>
  <c r="Q48" i="36"/>
  <c r="R48" i="36"/>
  <c r="S48" i="36"/>
  <c r="M49" i="36"/>
  <c r="N49" i="36"/>
  <c r="O49" i="36"/>
  <c r="P49" i="36"/>
  <c r="Q49" i="36"/>
  <c r="R49" i="36"/>
  <c r="S49" i="36"/>
  <c r="M50" i="36"/>
  <c r="N50" i="36"/>
  <c r="O50" i="36"/>
  <c r="P50" i="36"/>
  <c r="Q50" i="36"/>
  <c r="R50" i="36"/>
  <c r="S50" i="36"/>
  <c r="M51" i="36"/>
  <c r="N51" i="36"/>
  <c r="O51" i="36"/>
  <c r="P51" i="36"/>
  <c r="Q51" i="36"/>
  <c r="R51" i="36"/>
  <c r="S51" i="36"/>
  <c r="N2" i="36"/>
  <c r="O2" i="36"/>
  <c r="P2" i="36"/>
  <c r="Q2" i="36"/>
  <c r="R2" i="36"/>
  <c r="S2" i="36"/>
  <c r="M2" i="36"/>
  <c r="P3" i="35"/>
  <c r="P4" i="35"/>
  <c r="P5" i="35"/>
  <c r="P6" i="35"/>
  <c r="P7" i="35"/>
  <c r="P8" i="35"/>
  <c r="P9" i="35"/>
  <c r="P10" i="35"/>
  <c r="P11" i="35"/>
  <c r="P12" i="35"/>
  <c r="P13" i="35"/>
  <c r="P14" i="35"/>
  <c r="P15" i="35"/>
  <c r="P16" i="35"/>
  <c r="P17" i="35"/>
  <c r="P18" i="35"/>
  <c r="P19" i="35"/>
  <c r="P20" i="35"/>
  <c r="P21" i="35"/>
  <c r="P22" i="35"/>
  <c r="P23" i="35"/>
  <c r="P24" i="35"/>
  <c r="P25" i="35"/>
  <c r="P26" i="35"/>
  <c r="P27" i="35"/>
  <c r="P28" i="35"/>
  <c r="P29" i="35"/>
  <c r="P30" i="35"/>
  <c r="P31" i="35"/>
  <c r="P32" i="35"/>
  <c r="P33" i="35"/>
  <c r="P34" i="35"/>
  <c r="P35" i="35"/>
  <c r="P36" i="35"/>
  <c r="P37" i="35"/>
  <c r="P38" i="35"/>
  <c r="P39" i="35"/>
  <c r="P40" i="35"/>
  <c r="P41" i="35"/>
  <c r="P42" i="35"/>
  <c r="P43" i="35"/>
  <c r="P44" i="35"/>
  <c r="P45" i="35"/>
  <c r="P46" i="35"/>
  <c r="P47" i="35"/>
  <c r="P48" i="35"/>
  <c r="P49" i="35"/>
  <c r="P50" i="35"/>
  <c r="P51" i="35"/>
  <c r="P2" i="35"/>
  <c r="P2" i="30"/>
  <c r="N2" i="31"/>
  <c r="O2" i="31"/>
  <c r="P2" i="31"/>
  <c r="Q2" i="31"/>
  <c r="R2" i="31"/>
  <c r="S2" i="31"/>
  <c r="N3" i="31"/>
  <c r="O3" i="31"/>
  <c r="P3" i="31"/>
  <c r="Q3" i="31"/>
  <c r="R3" i="31"/>
  <c r="S3" i="31"/>
  <c r="N4" i="31"/>
  <c r="O4" i="31"/>
  <c r="P4" i="31"/>
  <c r="Q4" i="31"/>
  <c r="R4" i="31"/>
  <c r="S4" i="31"/>
  <c r="N5" i="31"/>
  <c r="O5" i="31"/>
  <c r="P5" i="31"/>
  <c r="Q5" i="31"/>
  <c r="R5" i="31"/>
  <c r="S5" i="31"/>
  <c r="N6" i="31"/>
  <c r="O6" i="31"/>
  <c r="P6" i="31"/>
  <c r="Q6" i="31"/>
  <c r="R6" i="31"/>
  <c r="S6" i="31"/>
  <c r="N7" i="31"/>
  <c r="O7" i="31"/>
  <c r="P7" i="31"/>
  <c r="Q7" i="31"/>
  <c r="R7" i="31"/>
  <c r="S7" i="31"/>
  <c r="N8" i="31"/>
  <c r="O8" i="31"/>
  <c r="P8" i="31"/>
  <c r="Q8" i="31"/>
  <c r="R8" i="31"/>
  <c r="S8" i="31"/>
  <c r="N9" i="31"/>
  <c r="O9" i="31"/>
  <c r="P9" i="31"/>
  <c r="Q9" i="31"/>
  <c r="R9" i="31"/>
  <c r="S9" i="31"/>
  <c r="N10" i="31"/>
  <c r="O10" i="31"/>
  <c r="P10" i="31"/>
  <c r="Q10" i="31"/>
  <c r="R10" i="31"/>
  <c r="S10" i="31"/>
  <c r="N11" i="31"/>
  <c r="O11" i="31"/>
  <c r="P11" i="31"/>
  <c r="Q11" i="31"/>
  <c r="R11" i="31"/>
  <c r="S11" i="31"/>
  <c r="N12" i="31"/>
  <c r="O12" i="31"/>
  <c r="P12" i="31"/>
  <c r="Q12" i="31"/>
  <c r="R12" i="31"/>
  <c r="S12" i="31"/>
  <c r="N13" i="31"/>
  <c r="O13" i="31"/>
  <c r="P13" i="31"/>
  <c r="Q13" i="31"/>
  <c r="R13" i="31"/>
  <c r="S13" i="31"/>
  <c r="N14" i="31"/>
  <c r="O14" i="31"/>
  <c r="P14" i="31"/>
  <c r="Q14" i="31"/>
  <c r="R14" i="31"/>
  <c r="S14" i="31"/>
  <c r="N15" i="31"/>
  <c r="O15" i="31"/>
  <c r="P15" i="31"/>
  <c r="Q15" i="31"/>
  <c r="R15" i="31"/>
  <c r="S15" i="31"/>
  <c r="N16" i="31"/>
  <c r="O16" i="31"/>
  <c r="P16" i="31"/>
  <c r="Q16" i="31"/>
  <c r="R16" i="31"/>
  <c r="S16" i="31"/>
  <c r="N17" i="31"/>
  <c r="O17" i="31"/>
  <c r="P17" i="31"/>
  <c r="Q17" i="31"/>
  <c r="R17" i="31"/>
  <c r="S17" i="31"/>
  <c r="N18" i="31"/>
  <c r="O18" i="31"/>
  <c r="P18" i="31"/>
  <c r="Q18" i="31"/>
  <c r="R18" i="31"/>
  <c r="S18" i="31"/>
  <c r="N19" i="31"/>
  <c r="O19" i="31"/>
  <c r="P19" i="31"/>
  <c r="Q19" i="31"/>
  <c r="R19" i="31"/>
  <c r="S19" i="31"/>
  <c r="N20" i="31"/>
  <c r="O20" i="31"/>
  <c r="P20" i="31"/>
  <c r="Q20" i="31"/>
  <c r="R20" i="31"/>
  <c r="S20" i="31"/>
  <c r="N21" i="31"/>
  <c r="O21" i="31"/>
  <c r="P21" i="31"/>
  <c r="Q21" i="31"/>
  <c r="R21" i="31"/>
  <c r="S21" i="31"/>
  <c r="N22" i="31"/>
  <c r="O22" i="31"/>
  <c r="P22" i="31"/>
  <c r="Q22" i="31"/>
  <c r="R22" i="31"/>
  <c r="S22" i="31"/>
  <c r="N23" i="31"/>
  <c r="O23" i="31"/>
  <c r="P23" i="31"/>
  <c r="Q23" i="31"/>
  <c r="R23" i="31"/>
  <c r="S23" i="31"/>
  <c r="N24" i="31"/>
  <c r="O24" i="31"/>
  <c r="P24" i="31"/>
  <c r="Q24" i="31"/>
  <c r="R24" i="31"/>
  <c r="S24" i="31"/>
  <c r="N25" i="31"/>
  <c r="O25" i="31"/>
  <c r="P25" i="31"/>
  <c r="Q25" i="31"/>
  <c r="R25" i="31"/>
  <c r="S25" i="31"/>
  <c r="N26" i="31"/>
  <c r="O26" i="31"/>
  <c r="P26" i="31"/>
  <c r="Q26" i="31"/>
  <c r="R26" i="31"/>
  <c r="S26" i="31"/>
  <c r="N27" i="31"/>
  <c r="O27" i="31"/>
  <c r="P27" i="31"/>
  <c r="Q27" i="31"/>
  <c r="R27" i="31"/>
  <c r="S27" i="31"/>
  <c r="N28" i="31"/>
  <c r="O28" i="31"/>
  <c r="P28" i="31"/>
  <c r="Q28" i="31"/>
  <c r="R28" i="31"/>
  <c r="S28" i="31"/>
  <c r="N29" i="31"/>
  <c r="O29" i="31"/>
  <c r="P29" i="31"/>
  <c r="Q29" i="31"/>
  <c r="R29" i="31"/>
  <c r="S29" i="31"/>
  <c r="N30" i="31"/>
  <c r="O30" i="31"/>
  <c r="P30" i="31"/>
  <c r="Q30" i="31"/>
  <c r="R30" i="31"/>
  <c r="S30" i="31"/>
  <c r="N31" i="31"/>
  <c r="O31" i="31"/>
  <c r="P31" i="31"/>
  <c r="Q31" i="31"/>
  <c r="R31" i="31"/>
  <c r="S31" i="31"/>
  <c r="N32" i="31"/>
  <c r="O32" i="31"/>
  <c r="P32" i="31"/>
  <c r="Q32" i="31"/>
  <c r="R32" i="31"/>
  <c r="S32" i="31"/>
  <c r="N33" i="31"/>
  <c r="O33" i="31"/>
  <c r="P33" i="31"/>
  <c r="Q33" i="31"/>
  <c r="R33" i="31"/>
  <c r="S33" i="31"/>
  <c r="N34" i="31"/>
  <c r="O34" i="31"/>
  <c r="P34" i="31"/>
  <c r="Q34" i="31"/>
  <c r="R34" i="31"/>
  <c r="S34" i="31"/>
  <c r="N35" i="31"/>
  <c r="O35" i="31"/>
  <c r="P35" i="31"/>
  <c r="Q35" i="31"/>
  <c r="R35" i="31"/>
  <c r="S35" i="31"/>
  <c r="N36" i="31"/>
  <c r="O36" i="31"/>
  <c r="P36" i="31"/>
  <c r="Q36" i="31"/>
  <c r="R36" i="31"/>
  <c r="S36" i="31"/>
  <c r="N37" i="31"/>
  <c r="O37" i="31"/>
  <c r="P37" i="31"/>
  <c r="Q37" i="31"/>
  <c r="R37" i="31"/>
  <c r="S37" i="31"/>
  <c r="N38" i="31"/>
  <c r="O38" i="31"/>
  <c r="P38" i="31"/>
  <c r="Q38" i="31"/>
  <c r="R38" i="31"/>
  <c r="S38" i="31"/>
  <c r="N39" i="31"/>
  <c r="O39" i="31"/>
  <c r="P39" i="31"/>
  <c r="Q39" i="31"/>
  <c r="R39" i="31"/>
  <c r="S39" i="31"/>
  <c r="N40" i="31"/>
  <c r="O40" i="31"/>
  <c r="P40" i="31"/>
  <c r="Q40" i="31"/>
  <c r="R40" i="31"/>
  <c r="S40" i="31"/>
  <c r="N41" i="31"/>
  <c r="O41" i="31"/>
  <c r="P41" i="31"/>
  <c r="Q41" i="31"/>
  <c r="R41" i="31"/>
  <c r="S41" i="31"/>
  <c r="N42" i="31"/>
  <c r="O42" i="31"/>
  <c r="P42" i="31"/>
  <c r="Q42" i="31"/>
  <c r="R42" i="31"/>
  <c r="S42" i="31"/>
  <c r="N43" i="31"/>
  <c r="O43" i="31"/>
  <c r="P43" i="31"/>
  <c r="Q43" i="31"/>
  <c r="R43" i="31"/>
  <c r="S43" i="31"/>
  <c r="N44" i="31"/>
  <c r="O44" i="31"/>
  <c r="P44" i="31"/>
  <c r="Q44" i="31"/>
  <c r="R44" i="31"/>
  <c r="S44" i="31"/>
  <c r="N45" i="31"/>
  <c r="O45" i="31"/>
  <c r="P45" i="31"/>
  <c r="Q45" i="31"/>
  <c r="R45" i="31"/>
  <c r="S45" i="31"/>
  <c r="N46" i="31"/>
  <c r="O46" i="31"/>
  <c r="P46" i="31"/>
  <c r="Q46" i="31"/>
  <c r="R46" i="31"/>
  <c r="S46" i="31"/>
  <c r="N47" i="31"/>
  <c r="O47" i="31"/>
  <c r="P47" i="31"/>
  <c r="Q47" i="31"/>
  <c r="R47" i="31"/>
  <c r="S47" i="31"/>
  <c r="N48" i="31"/>
  <c r="O48" i="31"/>
  <c r="P48" i="31"/>
  <c r="Q48" i="31"/>
  <c r="R48" i="31"/>
  <c r="S48" i="31"/>
  <c r="N49" i="31"/>
  <c r="O49" i="31"/>
  <c r="P49" i="31"/>
  <c r="Q49" i="31"/>
  <c r="R49" i="31"/>
  <c r="S49" i="31"/>
  <c r="N50" i="31"/>
  <c r="O50" i="31"/>
  <c r="P50" i="31"/>
  <c r="Q50" i="31"/>
  <c r="R50" i="31"/>
  <c r="S50" i="31"/>
  <c r="N51" i="31"/>
  <c r="O51" i="31"/>
  <c r="P51" i="31"/>
  <c r="Q51" i="31"/>
  <c r="R51" i="31"/>
  <c r="S51" i="31"/>
  <c r="M3" i="31"/>
  <c r="M4" i="31"/>
  <c r="M5" i="31"/>
  <c r="M6" i="31"/>
  <c r="M7" i="31"/>
  <c r="M8" i="31"/>
  <c r="M9" i="31"/>
  <c r="M10" i="31"/>
  <c r="M11" i="31"/>
  <c r="M12" i="31"/>
  <c r="M13" i="31"/>
  <c r="M14" i="31"/>
  <c r="M15" i="31"/>
  <c r="M16" i="31"/>
  <c r="M17" i="31"/>
  <c r="M18" i="31"/>
  <c r="M19" i="31"/>
  <c r="M20" i="31"/>
  <c r="M21" i="31"/>
  <c r="M22" i="31"/>
  <c r="M23" i="31"/>
  <c r="M24" i="31"/>
  <c r="M25" i="31"/>
  <c r="M26" i="31"/>
  <c r="M27" i="31"/>
  <c r="M28" i="31"/>
  <c r="M29" i="31"/>
  <c r="M30" i="31"/>
  <c r="M31" i="31"/>
  <c r="M32" i="31"/>
  <c r="M33" i="31"/>
  <c r="M34" i="31"/>
  <c r="M35" i="31"/>
  <c r="M36" i="31"/>
  <c r="M37" i="31"/>
  <c r="M38" i="31"/>
  <c r="M39" i="31"/>
  <c r="M40" i="31"/>
  <c r="M41" i="31"/>
  <c r="M42" i="31"/>
  <c r="M43" i="31"/>
  <c r="M44" i="31"/>
  <c r="M45" i="31"/>
  <c r="M46" i="31"/>
  <c r="M47" i="31"/>
  <c r="M48" i="31"/>
  <c r="M49" i="31"/>
  <c r="M50" i="31"/>
  <c r="M51" i="31"/>
  <c r="M2" i="31"/>
  <c r="J3" i="31"/>
  <c r="J4" i="31"/>
  <c r="J5" i="31"/>
  <c r="J6" i="31"/>
  <c r="J7" i="31"/>
  <c r="J8" i="31"/>
  <c r="J9" i="31"/>
  <c r="J10" i="31"/>
  <c r="J11" i="31"/>
  <c r="J12" i="31"/>
  <c r="J13" i="31"/>
  <c r="J14" i="31"/>
  <c r="J15" i="31"/>
  <c r="J16" i="31"/>
  <c r="J17" i="31"/>
  <c r="J18" i="31"/>
  <c r="J19" i="31"/>
  <c r="J20" i="31"/>
  <c r="J21" i="31"/>
  <c r="J22" i="31"/>
  <c r="J23" i="31"/>
  <c r="J24" i="31"/>
  <c r="J25" i="31"/>
  <c r="J26" i="31"/>
  <c r="J27" i="31"/>
  <c r="J28" i="31"/>
  <c r="J29" i="31"/>
  <c r="J30" i="31"/>
  <c r="J31" i="31"/>
  <c r="J32" i="31"/>
  <c r="J33" i="31"/>
  <c r="J34" i="31"/>
  <c r="J35" i="31"/>
  <c r="J36" i="31"/>
  <c r="J37" i="31"/>
  <c r="J38" i="31"/>
  <c r="J39" i="31"/>
  <c r="J40" i="31"/>
  <c r="J41" i="31"/>
  <c r="J42" i="31"/>
  <c r="J43" i="31"/>
  <c r="J44" i="31"/>
  <c r="J45" i="31"/>
  <c r="J46" i="31"/>
  <c r="J47" i="31"/>
  <c r="J48" i="31"/>
  <c r="J49" i="31"/>
  <c r="J50" i="31"/>
  <c r="J51" i="31"/>
  <c r="J2" i="31"/>
  <c r="L3" i="30"/>
  <c r="L4" i="30"/>
  <c r="L5" i="30"/>
  <c r="L6" i="30"/>
  <c r="L7" i="30"/>
  <c r="L8" i="30"/>
  <c r="L9" i="30"/>
  <c r="L10" i="30"/>
  <c r="L11" i="30"/>
  <c r="L12" i="30"/>
  <c r="L13" i="30"/>
  <c r="L14" i="30"/>
  <c r="L15" i="30"/>
  <c r="L16" i="30"/>
  <c r="L17" i="30"/>
  <c r="L18" i="30"/>
  <c r="L19" i="30"/>
  <c r="L20" i="30"/>
  <c r="L21" i="30"/>
  <c r="L22" i="30"/>
  <c r="L23" i="30"/>
  <c r="L24" i="30"/>
  <c r="L25" i="30"/>
  <c r="L26" i="30"/>
  <c r="L27" i="30"/>
  <c r="L28" i="30"/>
  <c r="L29" i="30"/>
  <c r="L30" i="30"/>
  <c r="L31" i="30"/>
  <c r="L32" i="30"/>
  <c r="L33" i="30"/>
  <c r="L34" i="30"/>
  <c r="L35" i="30"/>
  <c r="L36" i="30"/>
  <c r="L37" i="30"/>
  <c r="L38" i="30"/>
  <c r="L39" i="30"/>
  <c r="L40" i="30"/>
  <c r="L41" i="30"/>
  <c r="L42" i="30"/>
  <c r="L43" i="30"/>
  <c r="L44" i="30"/>
  <c r="L45" i="30"/>
  <c r="L46" i="30"/>
  <c r="L47" i="30"/>
  <c r="L48" i="30"/>
  <c r="L49" i="30"/>
  <c r="L50" i="30"/>
  <c r="L51" i="30"/>
  <c r="L2" i="30"/>
  <c r="J1" i="37"/>
  <c r="J1" i="36"/>
  <c r="J1" i="35"/>
  <c r="J1" i="31"/>
  <c r="J1" i="30"/>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C5" i="40" l="1"/>
  <c r="G4" i="40"/>
  <c r="G5" i="39"/>
  <c r="C4" i="39"/>
  <c r="F5" i="39"/>
  <c r="D5" i="40"/>
  <c r="H4" i="40"/>
  <c r="B5" i="39"/>
  <c r="D4" i="39"/>
  <c r="H5" i="39"/>
  <c r="B4" i="39"/>
  <c r="E5" i="40"/>
  <c r="B4" i="40"/>
  <c r="C5" i="39"/>
  <c r="E5" i="39"/>
  <c r="F5" i="40"/>
  <c r="C4" i="40"/>
  <c r="D5" i="39"/>
  <c r="E4" i="39"/>
  <c r="G4" i="39"/>
  <c r="B5" i="40"/>
  <c r="G5" i="40"/>
  <c r="D4" i="40"/>
  <c r="F4" i="39"/>
  <c r="E4" i="40"/>
  <c r="H4" i="39"/>
  <c r="F4" i="40"/>
  <c r="H5" i="40"/>
  <c r="B7" i="39"/>
  <c r="D7" i="39"/>
  <c r="C7" i="39"/>
  <c r="E7" i="39"/>
  <c r="F7" i="39"/>
  <c r="G7" i="39"/>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B6" i="39"/>
  <c r="H6" i="39"/>
  <c r="G6" i="39"/>
  <c r="F6" i="39"/>
  <c r="E6"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T27" i="17"/>
  <c r="V27" i="17" s="1"/>
  <c r="E24" i="31" s="1"/>
  <c r="T40" i="17"/>
  <c r="V40" i="17" s="1"/>
  <c r="E37" i="31" s="1"/>
  <c r="T35" i="17"/>
  <c r="V35" i="17" s="1"/>
  <c r="E32" i="31" s="1"/>
  <c r="U44" i="17"/>
  <c r="W44" i="17" s="1"/>
  <c r="B41" i="31" s="1"/>
  <c r="U29" i="17"/>
  <c r="W29" i="17" s="1"/>
  <c r="B26" i="31" s="1"/>
  <c r="E51" i="30"/>
  <c r="P51" i="30" s="1"/>
  <c r="F51" i="30"/>
  <c r="Q51" i="30" s="1"/>
  <c r="D51" i="30"/>
  <c r="O51" i="30" s="1"/>
  <c r="G51" i="30"/>
  <c r="R51" i="30" s="1"/>
  <c r="H51" i="30"/>
  <c r="S51" i="30" s="1"/>
  <c r="B51" i="30"/>
  <c r="C51" i="30"/>
  <c r="N51" i="30" s="1"/>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N48" i="30" s="1"/>
  <c r="D48" i="30"/>
  <c r="O48" i="30" s="1"/>
  <c r="E48" i="30"/>
  <c r="P48" i="30" s="1"/>
  <c r="F48" i="30"/>
  <c r="Q48" i="30" s="1"/>
  <c r="G48" i="30"/>
  <c r="R48" i="30" s="1"/>
  <c r="H48" i="30"/>
  <c r="S48" i="30" s="1"/>
  <c r="B40" i="30"/>
  <c r="C40" i="30"/>
  <c r="N40" i="30" s="1"/>
  <c r="D40" i="30"/>
  <c r="O40" i="30" s="1"/>
  <c r="E40" i="30"/>
  <c r="P40" i="30" s="1"/>
  <c r="F40" i="30"/>
  <c r="Q40" i="30" s="1"/>
  <c r="G40" i="30"/>
  <c r="R40" i="30" s="1"/>
  <c r="H40" i="30"/>
  <c r="S40" i="30" s="1"/>
  <c r="D32" i="30"/>
  <c r="O32" i="30" s="1"/>
  <c r="G32" i="30"/>
  <c r="R32" i="30" s="1"/>
  <c r="F32" i="30"/>
  <c r="Q32" i="30" s="1"/>
  <c r="E32" i="30"/>
  <c r="P32" i="30" s="1"/>
  <c r="H32" i="30"/>
  <c r="S32" i="30" s="1"/>
  <c r="B32" i="30"/>
  <c r="C32" i="30"/>
  <c r="N32" i="30" s="1"/>
  <c r="C24" i="30"/>
  <c r="N24" i="30" s="1"/>
  <c r="D24" i="30"/>
  <c r="O24" i="30" s="1"/>
  <c r="G24" i="30"/>
  <c r="R24" i="30" s="1"/>
  <c r="H24" i="30"/>
  <c r="S24" i="30" s="1"/>
  <c r="E24" i="30"/>
  <c r="P24" i="30" s="1"/>
  <c r="F24" i="30"/>
  <c r="Q24" i="30" s="1"/>
  <c r="B24" i="30"/>
  <c r="C16" i="30"/>
  <c r="N16" i="30" s="1"/>
  <c r="D16" i="30"/>
  <c r="O16" i="30" s="1"/>
  <c r="G16" i="30"/>
  <c r="R16" i="30" s="1"/>
  <c r="H16" i="30"/>
  <c r="S16" i="30" s="1"/>
  <c r="B16" i="30"/>
  <c r="E16" i="30"/>
  <c r="P16" i="30" s="1"/>
  <c r="F16" i="30"/>
  <c r="Q16" i="30" s="1"/>
  <c r="C8" i="30"/>
  <c r="N8" i="30" s="1"/>
  <c r="D8" i="30"/>
  <c r="O8" i="30" s="1"/>
  <c r="G8" i="30"/>
  <c r="R8" i="30" s="1"/>
  <c r="H8" i="30"/>
  <c r="S8" i="30" s="1"/>
  <c r="E8" i="30"/>
  <c r="P8" i="30" s="1"/>
  <c r="F8" i="30"/>
  <c r="Q8" i="30" s="1"/>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N47" i="30" s="1"/>
  <c r="D47" i="30"/>
  <c r="O47" i="30" s="1"/>
  <c r="E47" i="30"/>
  <c r="P47" i="30" s="1"/>
  <c r="F47" i="30"/>
  <c r="Q47" i="30" s="1"/>
  <c r="G47" i="30"/>
  <c r="R47" i="30" s="1"/>
  <c r="H47" i="30"/>
  <c r="S47" i="30" s="1"/>
  <c r="B39" i="30"/>
  <c r="C39" i="30"/>
  <c r="N39" i="30" s="1"/>
  <c r="D39" i="30"/>
  <c r="O39" i="30" s="1"/>
  <c r="E39" i="30"/>
  <c r="P39" i="30" s="1"/>
  <c r="F39" i="30"/>
  <c r="Q39" i="30" s="1"/>
  <c r="G39" i="30"/>
  <c r="R39" i="30" s="1"/>
  <c r="H39" i="30"/>
  <c r="S39" i="30" s="1"/>
  <c r="B31" i="30"/>
  <c r="C31" i="30"/>
  <c r="N31" i="30" s="1"/>
  <c r="F31" i="30"/>
  <c r="Q31" i="30" s="1"/>
  <c r="D31" i="30"/>
  <c r="O31" i="30" s="1"/>
  <c r="E31" i="30"/>
  <c r="P31" i="30" s="1"/>
  <c r="G31" i="30"/>
  <c r="R31" i="30" s="1"/>
  <c r="H31" i="30"/>
  <c r="S31" i="30" s="1"/>
  <c r="B23" i="30"/>
  <c r="C23" i="30"/>
  <c r="N23" i="30" s="1"/>
  <c r="F23" i="30"/>
  <c r="Q23" i="30" s="1"/>
  <c r="G23" i="30"/>
  <c r="R23" i="30" s="1"/>
  <c r="D23" i="30"/>
  <c r="O23" i="30" s="1"/>
  <c r="E23" i="30"/>
  <c r="P23" i="30" s="1"/>
  <c r="H23" i="30"/>
  <c r="S23" i="30" s="1"/>
  <c r="B15" i="30"/>
  <c r="C15" i="30"/>
  <c r="N15" i="30" s="1"/>
  <c r="F15" i="30"/>
  <c r="Q15" i="30" s="1"/>
  <c r="G15" i="30"/>
  <c r="R15" i="30" s="1"/>
  <c r="D15" i="30"/>
  <c r="O15" i="30" s="1"/>
  <c r="E15" i="30"/>
  <c r="P15" i="30" s="1"/>
  <c r="H15" i="30"/>
  <c r="S15" i="30" s="1"/>
  <c r="B7" i="30"/>
  <c r="C7" i="30"/>
  <c r="N7" i="30" s="1"/>
  <c r="F7" i="30"/>
  <c r="Q7" i="30" s="1"/>
  <c r="G7" i="30"/>
  <c r="R7" i="30" s="1"/>
  <c r="D7" i="30"/>
  <c r="O7" i="30" s="1"/>
  <c r="E7" i="30"/>
  <c r="P7" i="30" s="1"/>
  <c r="H7" i="30"/>
  <c r="S7" i="30" s="1"/>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S38" i="30" s="1"/>
  <c r="B38" i="30"/>
  <c r="C38" i="30"/>
  <c r="N38" i="30" s="1"/>
  <c r="G38" i="30"/>
  <c r="R38" i="30" s="1"/>
  <c r="D38" i="30"/>
  <c r="O38" i="30" s="1"/>
  <c r="E38" i="30"/>
  <c r="P38" i="30" s="1"/>
  <c r="F38" i="30"/>
  <c r="Q38" i="30" s="1"/>
  <c r="B30" i="30"/>
  <c r="E30" i="30"/>
  <c r="P30" i="30" s="1"/>
  <c r="H30" i="30"/>
  <c r="S30" i="30" s="1"/>
  <c r="C30" i="30"/>
  <c r="N30" i="30" s="1"/>
  <c r="D30" i="30"/>
  <c r="O30" i="30" s="1"/>
  <c r="F30" i="30"/>
  <c r="Q30" i="30" s="1"/>
  <c r="G30" i="30"/>
  <c r="R30" i="30" s="1"/>
  <c r="B22" i="30"/>
  <c r="E22" i="30"/>
  <c r="P22" i="30" s="1"/>
  <c r="F22" i="30"/>
  <c r="Q22" i="30" s="1"/>
  <c r="C22" i="30"/>
  <c r="N22" i="30" s="1"/>
  <c r="D22" i="30"/>
  <c r="O22" i="30" s="1"/>
  <c r="G22" i="30"/>
  <c r="R22" i="30" s="1"/>
  <c r="H22" i="30"/>
  <c r="S22" i="30" s="1"/>
  <c r="B14" i="30"/>
  <c r="E14" i="30"/>
  <c r="P14" i="30" s="1"/>
  <c r="F14" i="30"/>
  <c r="Q14" i="30" s="1"/>
  <c r="C14" i="30"/>
  <c r="N14" i="30" s="1"/>
  <c r="D14" i="30"/>
  <c r="O14" i="30" s="1"/>
  <c r="G14" i="30"/>
  <c r="R14" i="30" s="1"/>
  <c r="H14" i="30"/>
  <c r="S14" i="30" s="1"/>
  <c r="B6" i="30"/>
  <c r="E6" i="30"/>
  <c r="P6" i="30" s="1"/>
  <c r="F6" i="30"/>
  <c r="Q6" i="30" s="1"/>
  <c r="C6" i="30"/>
  <c r="N6" i="30" s="1"/>
  <c r="D6" i="30"/>
  <c r="O6" i="30" s="1"/>
  <c r="G6" i="30"/>
  <c r="R6" i="30" s="1"/>
  <c r="H6" i="30"/>
  <c r="S6" i="30" s="1"/>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R45" i="30" s="1"/>
  <c r="H45" i="30"/>
  <c r="S45" i="30" s="1"/>
  <c r="B45" i="30"/>
  <c r="C45" i="30"/>
  <c r="N45" i="30" s="1"/>
  <c r="D45" i="30"/>
  <c r="O45" i="30" s="1"/>
  <c r="F45" i="30"/>
  <c r="Q45" i="30" s="1"/>
  <c r="E45" i="30"/>
  <c r="P45" i="30" s="1"/>
  <c r="G37" i="30"/>
  <c r="R37" i="30" s="1"/>
  <c r="H37" i="30"/>
  <c r="S37" i="30" s="1"/>
  <c r="B37" i="30"/>
  <c r="C37" i="30"/>
  <c r="N37" i="30" s="1"/>
  <c r="D37" i="30"/>
  <c r="O37" i="30" s="1"/>
  <c r="F37" i="30"/>
  <c r="Q37" i="30" s="1"/>
  <c r="E37" i="30"/>
  <c r="P37" i="30" s="1"/>
  <c r="H29" i="30"/>
  <c r="S29" i="30" s="1"/>
  <c r="D29" i="30"/>
  <c r="O29" i="30" s="1"/>
  <c r="E29" i="30"/>
  <c r="P29" i="30" s="1"/>
  <c r="B29" i="30"/>
  <c r="C29" i="30"/>
  <c r="N29" i="30" s="1"/>
  <c r="F29" i="30"/>
  <c r="Q29" i="30" s="1"/>
  <c r="G29" i="30"/>
  <c r="R29" i="30" s="1"/>
  <c r="H21" i="30"/>
  <c r="S21" i="30" s="1"/>
  <c r="D21" i="30"/>
  <c r="O21" i="30" s="1"/>
  <c r="E21" i="30"/>
  <c r="P21" i="30" s="1"/>
  <c r="G21" i="30"/>
  <c r="R21" i="30" s="1"/>
  <c r="B21" i="30"/>
  <c r="C21" i="30"/>
  <c r="N21" i="30" s="1"/>
  <c r="F21" i="30"/>
  <c r="Q21" i="30" s="1"/>
  <c r="H13" i="30"/>
  <c r="S13" i="30" s="1"/>
  <c r="D13" i="30"/>
  <c r="O13" i="30" s="1"/>
  <c r="E13" i="30"/>
  <c r="P13" i="30" s="1"/>
  <c r="B13" i="30"/>
  <c r="C13" i="30"/>
  <c r="N13" i="30" s="1"/>
  <c r="F13" i="30"/>
  <c r="Q13" i="30" s="1"/>
  <c r="G13" i="30"/>
  <c r="R13" i="30" s="1"/>
  <c r="H5" i="30"/>
  <c r="S5" i="30" s="1"/>
  <c r="D5" i="30"/>
  <c r="O5" i="30" s="1"/>
  <c r="E5" i="30"/>
  <c r="P5" i="30" s="1"/>
  <c r="G5" i="30"/>
  <c r="R5" i="30" s="1"/>
  <c r="B5" i="30"/>
  <c r="C5" i="30"/>
  <c r="N5" i="30" s="1"/>
  <c r="F5" i="30"/>
  <c r="Q5" i="30" s="1"/>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R2" i="30" s="1"/>
  <c r="H2" i="30"/>
  <c r="S2" i="30" s="1"/>
  <c r="B2" i="30"/>
  <c r="C2" i="30"/>
  <c r="N2" i="30" s="1"/>
  <c r="F2" i="30"/>
  <c r="Q2" i="30" s="1"/>
  <c r="D2" i="30"/>
  <c r="O2" i="30" s="1"/>
  <c r="E2" i="30"/>
  <c r="F44" i="30"/>
  <c r="Q44" i="30" s="1"/>
  <c r="G44" i="30"/>
  <c r="R44" i="30" s="1"/>
  <c r="H44" i="30"/>
  <c r="S44" i="30" s="1"/>
  <c r="B44" i="30"/>
  <c r="E44" i="30"/>
  <c r="P44" i="30" s="1"/>
  <c r="C44" i="30"/>
  <c r="N44" i="30" s="1"/>
  <c r="D44" i="30"/>
  <c r="O44" i="30" s="1"/>
  <c r="F36" i="30"/>
  <c r="Q36" i="30" s="1"/>
  <c r="G36" i="30"/>
  <c r="R36" i="30" s="1"/>
  <c r="H36" i="30"/>
  <c r="S36" i="30" s="1"/>
  <c r="B36" i="30"/>
  <c r="E36" i="30"/>
  <c r="P36" i="30" s="1"/>
  <c r="C36" i="30"/>
  <c r="N36" i="30" s="1"/>
  <c r="D36" i="30"/>
  <c r="O36" i="30" s="1"/>
  <c r="G28" i="30"/>
  <c r="R28" i="30" s="1"/>
  <c r="H28" i="30"/>
  <c r="S28" i="30" s="1"/>
  <c r="C28" i="30"/>
  <c r="N28" i="30" s="1"/>
  <c r="D28" i="30"/>
  <c r="O28" i="30" s="1"/>
  <c r="F28" i="30"/>
  <c r="Q28" i="30" s="1"/>
  <c r="B28" i="30"/>
  <c r="E28" i="30"/>
  <c r="P28" i="30" s="1"/>
  <c r="G20" i="30"/>
  <c r="R20" i="30" s="1"/>
  <c r="H20" i="30"/>
  <c r="S20" i="30" s="1"/>
  <c r="C20" i="30"/>
  <c r="N20" i="30" s="1"/>
  <c r="D20" i="30"/>
  <c r="O20" i="30" s="1"/>
  <c r="B20" i="30"/>
  <c r="E20" i="30"/>
  <c r="P20" i="30" s="1"/>
  <c r="F20" i="30"/>
  <c r="Q20" i="30" s="1"/>
  <c r="G12" i="30"/>
  <c r="R12" i="30" s="1"/>
  <c r="H12" i="30"/>
  <c r="S12" i="30" s="1"/>
  <c r="C12" i="30"/>
  <c r="N12" i="30" s="1"/>
  <c r="D12" i="30"/>
  <c r="O12" i="30" s="1"/>
  <c r="F12" i="30"/>
  <c r="Q12" i="30" s="1"/>
  <c r="B12" i="30"/>
  <c r="E12" i="30"/>
  <c r="P12" i="30" s="1"/>
  <c r="G4" i="30"/>
  <c r="R4" i="30" s="1"/>
  <c r="H4" i="30"/>
  <c r="S4" i="30" s="1"/>
  <c r="C4" i="30"/>
  <c r="N4" i="30" s="1"/>
  <c r="D4" i="30"/>
  <c r="O4" i="30" s="1"/>
  <c r="B4" i="30"/>
  <c r="E4" i="30"/>
  <c r="P4" i="30" s="1"/>
  <c r="F4" i="30"/>
  <c r="Q4" i="30" s="1"/>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P43" i="30" s="1"/>
  <c r="F43" i="30"/>
  <c r="Q43" i="30" s="1"/>
  <c r="D43" i="30"/>
  <c r="O43" i="30" s="1"/>
  <c r="G43" i="30"/>
  <c r="R43" i="30" s="1"/>
  <c r="H43" i="30"/>
  <c r="S43" i="30" s="1"/>
  <c r="B43" i="30"/>
  <c r="C43" i="30"/>
  <c r="N43" i="30" s="1"/>
  <c r="E35" i="30"/>
  <c r="P35" i="30" s="1"/>
  <c r="F35" i="30"/>
  <c r="Q35" i="30" s="1"/>
  <c r="D35" i="30"/>
  <c r="O35" i="30" s="1"/>
  <c r="G35" i="30"/>
  <c r="R35" i="30" s="1"/>
  <c r="H35" i="30"/>
  <c r="S35" i="30" s="1"/>
  <c r="B35" i="30"/>
  <c r="C35" i="30"/>
  <c r="N35" i="30" s="1"/>
  <c r="F27" i="30"/>
  <c r="Q27" i="30" s="1"/>
  <c r="G27" i="30"/>
  <c r="R27" i="30" s="1"/>
  <c r="B27" i="30"/>
  <c r="C27" i="30"/>
  <c r="N27" i="30" s="1"/>
  <c r="D27" i="30"/>
  <c r="O27" i="30" s="1"/>
  <c r="E27" i="30"/>
  <c r="P27" i="30" s="1"/>
  <c r="H27" i="30"/>
  <c r="S27" i="30" s="1"/>
  <c r="F19" i="30"/>
  <c r="Q19" i="30" s="1"/>
  <c r="G19" i="30"/>
  <c r="R19" i="30" s="1"/>
  <c r="B19" i="30"/>
  <c r="C19" i="30"/>
  <c r="N19" i="30" s="1"/>
  <c r="H19" i="30"/>
  <c r="S19" i="30" s="1"/>
  <c r="E19" i="30"/>
  <c r="P19" i="30" s="1"/>
  <c r="D19" i="30"/>
  <c r="O19" i="30" s="1"/>
  <c r="F11" i="30"/>
  <c r="Q11" i="30" s="1"/>
  <c r="G11" i="30"/>
  <c r="R11" i="30" s="1"/>
  <c r="B11" i="30"/>
  <c r="C11" i="30"/>
  <c r="N11" i="30" s="1"/>
  <c r="D11" i="30"/>
  <c r="O11" i="30" s="1"/>
  <c r="E11" i="30"/>
  <c r="P11" i="30" s="1"/>
  <c r="H11" i="30"/>
  <c r="S11" i="30" s="1"/>
  <c r="F3" i="30"/>
  <c r="Q3" i="30" s="1"/>
  <c r="G3" i="30"/>
  <c r="R3" i="30" s="1"/>
  <c r="B3" i="30"/>
  <c r="C3" i="30"/>
  <c r="N3" i="30" s="1"/>
  <c r="H3" i="30"/>
  <c r="S3" i="30" s="1"/>
  <c r="D3" i="30"/>
  <c r="O3" i="30" s="1"/>
  <c r="E3" i="30"/>
  <c r="P3" i="30" s="1"/>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S46" i="30" s="1"/>
  <c r="B46" i="30"/>
  <c r="C46" i="30"/>
  <c r="N46" i="30" s="1"/>
  <c r="G46" i="30"/>
  <c r="R46" i="30" s="1"/>
  <c r="D46" i="30"/>
  <c r="O46" i="30" s="1"/>
  <c r="E46" i="30"/>
  <c r="P46" i="30" s="1"/>
  <c r="F46" i="30"/>
  <c r="Q46" i="30" s="1"/>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O50" i="30" s="1"/>
  <c r="E50" i="30"/>
  <c r="P50" i="30" s="1"/>
  <c r="F50" i="30"/>
  <c r="Q50" i="30" s="1"/>
  <c r="C50" i="30"/>
  <c r="N50" i="30" s="1"/>
  <c r="G50" i="30"/>
  <c r="R50" i="30" s="1"/>
  <c r="H50" i="30"/>
  <c r="S50" i="30" s="1"/>
  <c r="B50" i="30"/>
  <c r="D42" i="30"/>
  <c r="O42" i="30" s="1"/>
  <c r="E42" i="30"/>
  <c r="P42" i="30" s="1"/>
  <c r="F42" i="30"/>
  <c r="Q42" i="30" s="1"/>
  <c r="C42" i="30"/>
  <c r="N42" i="30" s="1"/>
  <c r="G42" i="30"/>
  <c r="R42" i="30" s="1"/>
  <c r="H42" i="30"/>
  <c r="S42" i="30" s="1"/>
  <c r="B42" i="30"/>
  <c r="F34" i="30"/>
  <c r="Q34" i="30" s="1"/>
  <c r="C34" i="30"/>
  <c r="N34" i="30" s="1"/>
  <c r="D34" i="30"/>
  <c r="O34" i="30" s="1"/>
  <c r="E34" i="30"/>
  <c r="P34" i="30" s="1"/>
  <c r="B34" i="30"/>
  <c r="G34" i="30"/>
  <c r="R34" i="30" s="1"/>
  <c r="H34" i="30"/>
  <c r="S34" i="30" s="1"/>
  <c r="E26" i="30"/>
  <c r="P26" i="30" s="1"/>
  <c r="F26" i="30"/>
  <c r="Q26" i="30" s="1"/>
  <c r="B26" i="30"/>
  <c r="G26" i="30"/>
  <c r="R26" i="30" s="1"/>
  <c r="H26" i="30"/>
  <c r="S26" i="30" s="1"/>
  <c r="D26" i="30"/>
  <c r="O26" i="30" s="1"/>
  <c r="C26" i="30"/>
  <c r="N26" i="30" s="1"/>
  <c r="E18" i="30"/>
  <c r="P18" i="30" s="1"/>
  <c r="F18" i="30"/>
  <c r="Q18" i="30" s="1"/>
  <c r="B18" i="30"/>
  <c r="C18" i="30"/>
  <c r="N18" i="30" s="1"/>
  <c r="D18" i="30"/>
  <c r="O18" i="30" s="1"/>
  <c r="G18" i="30"/>
  <c r="R18" i="30" s="1"/>
  <c r="H18" i="30"/>
  <c r="S18" i="30" s="1"/>
  <c r="E10" i="30"/>
  <c r="P10" i="30" s="1"/>
  <c r="F10" i="30"/>
  <c r="Q10" i="30" s="1"/>
  <c r="B10" i="30"/>
  <c r="G10" i="30"/>
  <c r="R10" i="30" s="1"/>
  <c r="H10" i="30"/>
  <c r="S10" i="30" s="1"/>
  <c r="D10" i="30"/>
  <c r="O10" i="30" s="1"/>
  <c r="C10" i="30"/>
  <c r="N10" i="30" s="1"/>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N49" i="30" s="1"/>
  <c r="B49" i="30"/>
  <c r="D49" i="30"/>
  <c r="O49" i="30" s="1"/>
  <c r="E49" i="30"/>
  <c r="P49" i="30" s="1"/>
  <c r="F49" i="30"/>
  <c r="Q49" i="30" s="1"/>
  <c r="G49" i="30"/>
  <c r="R49" i="30" s="1"/>
  <c r="H49" i="30"/>
  <c r="S49" i="30" s="1"/>
  <c r="C41" i="30"/>
  <c r="N41" i="30" s="1"/>
  <c r="B41" i="30"/>
  <c r="D41" i="30"/>
  <c r="O41" i="30" s="1"/>
  <c r="E41" i="30"/>
  <c r="P41" i="30" s="1"/>
  <c r="F41" i="30"/>
  <c r="Q41" i="30" s="1"/>
  <c r="G41" i="30"/>
  <c r="R41" i="30" s="1"/>
  <c r="H41" i="30"/>
  <c r="S41" i="30" s="1"/>
  <c r="E33" i="30"/>
  <c r="P33" i="30" s="1"/>
  <c r="H33" i="30"/>
  <c r="S33" i="30" s="1"/>
  <c r="B33" i="30"/>
  <c r="C33" i="30"/>
  <c r="N33" i="30" s="1"/>
  <c r="D33" i="30"/>
  <c r="O33" i="30" s="1"/>
  <c r="F33" i="30"/>
  <c r="Q33" i="30" s="1"/>
  <c r="G33" i="30"/>
  <c r="R33" i="30" s="1"/>
  <c r="D25" i="30"/>
  <c r="O25" i="30" s="1"/>
  <c r="E25" i="30"/>
  <c r="P25" i="30" s="1"/>
  <c r="H25" i="30"/>
  <c r="S25" i="30" s="1"/>
  <c r="B25" i="30"/>
  <c r="C25" i="30"/>
  <c r="N25" i="30" s="1"/>
  <c r="F25" i="30"/>
  <c r="Q25" i="30" s="1"/>
  <c r="G25" i="30"/>
  <c r="R25" i="30" s="1"/>
  <c r="D17" i="30"/>
  <c r="O17" i="30" s="1"/>
  <c r="E17" i="30"/>
  <c r="P17" i="30" s="1"/>
  <c r="H17" i="30"/>
  <c r="S17" i="30" s="1"/>
  <c r="F17" i="30"/>
  <c r="Q17" i="30" s="1"/>
  <c r="C17" i="30"/>
  <c r="N17" i="30" s="1"/>
  <c r="G17" i="30"/>
  <c r="R17" i="30" s="1"/>
  <c r="B17" i="30"/>
  <c r="D9" i="30"/>
  <c r="O9" i="30" s="1"/>
  <c r="E9" i="30"/>
  <c r="P9" i="30" s="1"/>
  <c r="H9" i="30"/>
  <c r="S9" i="30" s="1"/>
  <c r="B9" i="30"/>
  <c r="C9" i="30"/>
  <c r="N9" i="30" s="1"/>
  <c r="F9" i="30"/>
  <c r="Q9" i="30" s="1"/>
  <c r="G9" i="30"/>
  <c r="R9" i="30" s="1"/>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J39" i="30" l="1"/>
  <c r="M39" i="30"/>
  <c r="M17" i="30"/>
  <c r="J17" i="30"/>
  <c r="J3" i="30"/>
  <c r="M3" i="30"/>
  <c r="M49" i="30"/>
  <c r="J49" i="30"/>
  <c r="M50" i="30"/>
  <c r="J50" i="30"/>
  <c r="M25" i="30"/>
  <c r="J25" i="30"/>
  <c r="J19" i="30"/>
  <c r="M19" i="30"/>
  <c r="J36" i="30"/>
  <c r="M36" i="30"/>
  <c r="J11" i="30"/>
  <c r="M11" i="30"/>
  <c r="J12" i="30"/>
  <c r="M12" i="30"/>
  <c r="J20" i="30"/>
  <c r="M20" i="30"/>
  <c r="J31" i="30"/>
  <c r="M31" i="30"/>
  <c r="J51" i="30"/>
  <c r="M51" i="30"/>
  <c r="J43" i="30"/>
  <c r="M43" i="30"/>
  <c r="J23" i="30"/>
  <c r="M23" i="30"/>
  <c r="J35" i="30"/>
  <c r="M35" i="30"/>
  <c r="J4" i="30"/>
  <c r="M4" i="30"/>
  <c r="J15" i="30"/>
  <c r="M15" i="30"/>
  <c r="M24" i="30"/>
  <c r="J24" i="30"/>
  <c r="J32" i="30"/>
  <c r="M32" i="30"/>
  <c r="J46" i="30"/>
  <c r="M46" i="30"/>
  <c r="M33" i="30"/>
  <c r="J33" i="30"/>
  <c r="M41" i="30"/>
  <c r="J41" i="30"/>
  <c r="M10" i="30"/>
  <c r="J10" i="30"/>
  <c r="M42" i="30"/>
  <c r="J42" i="30"/>
  <c r="M45" i="30"/>
  <c r="J45" i="30"/>
  <c r="J30" i="30"/>
  <c r="M30" i="30"/>
  <c r="J7" i="30"/>
  <c r="M7" i="30"/>
  <c r="M21" i="30"/>
  <c r="J21" i="30"/>
  <c r="M29" i="30"/>
  <c r="J29" i="30"/>
  <c r="M37" i="30"/>
  <c r="J37" i="30"/>
  <c r="J22" i="30"/>
  <c r="M22" i="30"/>
  <c r="M8" i="30"/>
  <c r="J8" i="30"/>
  <c r="M26" i="30"/>
  <c r="J26" i="30"/>
  <c r="J38" i="30"/>
  <c r="M38" i="30"/>
  <c r="M18" i="30"/>
  <c r="J18" i="30"/>
  <c r="M9" i="30"/>
  <c r="J9" i="30"/>
  <c r="J14" i="30"/>
  <c r="M14" i="30"/>
  <c r="J16" i="30"/>
  <c r="M16" i="30"/>
  <c r="J48" i="30"/>
  <c r="M48" i="30"/>
  <c r="M34" i="30"/>
  <c r="J34" i="30"/>
  <c r="J27" i="30"/>
  <c r="M27" i="30"/>
  <c r="J28" i="30"/>
  <c r="M28" i="30"/>
  <c r="J44" i="30"/>
  <c r="M44" i="30"/>
  <c r="J2" i="30"/>
  <c r="M2" i="30"/>
  <c r="M5" i="30"/>
  <c r="J5" i="30"/>
  <c r="M13" i="30"/>
  <c r="J13" i="30"/>
  <c r="J6" i="30"/>
  <c r="M6" i="30"/>
  <c r="J47" i="30"/>
  <c r="M47" i="30"/>
  <c r="M40" i="30"/>
  <c r="J40" i="30"/>
  <c r="F3" i="39"/>
  <c r="E3" i="39"/>
  <c r="D3" i="39"/>
  <c r="C3" i="39"/>
  <c r="B3" i="39"/>
  <c r="H3" i="39"/>
  <c r="G3" i="39"/>
  <c r="G2" i="40"/>
  <c r="H3" i="40"/>
  <c r="F2" i="40"/>
  <c r="H7" i="40"/>
  <c r="G3" i="40"/>
  <c r="E2" i="40"/>
  <c r="G7" i="40"/>
  <c r="F3" i="40"/>
  <c r="B7" i="40"/>
  <c r="E3" i="40"/>
  <c r="C2" i="40"/>
  <c r="D7" i="40"/>
  <c r="D3" i="40"/>
  <c r="D2" i="40"/>
  <c r="F7" i="40"/>
  <c r="B2" i="40"/>
  <c r="E7" i="40"/>
  <c r="H2" i="40"/>
  <c r="C7"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<sst xmlns="http://schemas.openxmlformats.org/spreadsheetml/2006/main" count="16239" uniqueCount="5010">
  <si>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</si>
  <si>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</si>
  <si>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</si>
  <si>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</si>
  <si>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</si>
  <si>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</si>
  <si>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</si>
  <si>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</si>
  <si>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</si>
  <si>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</si>
  <si>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</si>
  <si>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</si>
  <si>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</si>
  <si>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</si>
  <si>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</si>
  <si>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</si>
  <si>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</si>
  <si>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</si>
  <si>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</si>
  <si>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</si>
  <si>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</si>
  <si>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</si>
  <si>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</si>
  <si>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</si>
  <si>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</si>
  <si>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</si>
  <si>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</si>
  <si>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</si>
  <si>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</si>
  <si>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</si>
  <si>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</si>
  <si>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</si>
  <si>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</si>
  <si>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</si>
  <si>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</si>
  <si>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</si>
  <si>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</si>
  <si>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</si>
  <si>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</si>
  <si>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</si>
  <si>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</si>
  <si>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</si>
  <si>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</si>
  <si>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</si>
  <si>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</si>
  <si>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</si>
  <si>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</si>
  <si>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</si>
  <si>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</si>
  <si>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</si>
  <si>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</si>
  <si>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</si>
  <si>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</si>
  <si>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</si>
  <si>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</si>
  <si>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</si>
  <si>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</si>
  <si>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</si>
  <si>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</si>
  <si>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</si>
  <si>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</si>
  <si>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</si>
  <si>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</si>
  <si>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</si>
  <si>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</si>
  <si>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</si>
  <si>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</si>
  <si>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</si>
  <si>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</si>
  <si>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</si>
  <si>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</si>
  <si>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</si>
  <si>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</si>
  <si>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</si>
  <si>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</si>
  <si>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</si>
  <si>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</si>
  <si>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</si>
  <si>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</si>
  <si>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</si>
  <si>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</si>
  <si>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</si>
  <si>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</si>
  <si>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</si>
  <si>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</si>
  <si>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</si>
  <si>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</si>
  <si>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</si>
  <si>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</si>
  <si>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</si>
  <si>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</si>
  <si>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</si>
  <si>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</si>
  <si>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</si>
  <si>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</si>
  <si>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</si>
  <si>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</si>
  <si>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</si>
  <si>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</si>
  <si>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</si>
  <si>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</si>
  <si>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</si>
  <si>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</si>
  <si>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</si>
  <si>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</si>
  <si>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</si>
  <si>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</si>
  <si>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</si>
  <si>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</si>
  <si>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</si>
  <si>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</si>
  <si>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</si>
  <si>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</si>
  <si>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</si>
  <si>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</si>
  <si>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</si>
  <si>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</si>
  <si>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</si>
  <si>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</si>
  <si>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</si>
  <si>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</si>
  <si>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</si>
  <si>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</si>
  <si>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</si>
  <si>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</si>
  <si>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</si>
  <si>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</si>
  <si>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</si>
  <si>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</si>
  <si>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</si>
  <si>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</si>
  <si>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</si>
  <si>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</si>
  <si>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</si>
  <si>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</si>
  <si>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</si>
  <si>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</si>
  <si>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</si>
  <si>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</si>
  <si>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</si>
  <si>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</si>
  <si>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</si>
  <si>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</si>
  <si>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</si>
  <si>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</si>
  <si>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</si>
  <si>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</si>
  <si>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</si>
  <si>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</si>
  <si>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</si>
  <si>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</si>
  <si>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</si>
  <si>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</si>
  <si>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</si>
  <si>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</si>
  <si>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</si>
  <si>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</si>
  <si>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</si>
  <si>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</si>
  <si>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</si>
  <si>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</si>
  <si>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</si>
  <si>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</si>
  <si>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</si>
  <si>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</si>
  <si>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</si>
  <si>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</si>
  <si>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</si>
  <si>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</si>
  <si>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</si>
  <si>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</si>
  <si>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</si>
  <si>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</si>
  <si>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</si>
  <si>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</si>
  <si>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</si>
  <si>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</si>
  <si>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</si>
  <si>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</si>
  <si>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</si>
  <si>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</si>
  <si>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</si>
  <si>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</si>
  <si>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</si>
  <si>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</si>
  <si>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</si>
  <si>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</si>
  <si>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</si>
  <si>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</si>
  <si>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</si>
  <si>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</si>
  <si>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</si>
  <si>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</si>
  <si>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</si>
  <si>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</si>
  <si>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</si>
  <si>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</si>
  <si>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</si>
  <si>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</si>
  <si>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</si>
  <si>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</si>
  <si>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</si>
  <si>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</si>
  <si>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</si>
  <si>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</si>
  <si>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</si>
  <si>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</si>
  <si>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</si>
  <si>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</si>
  <si>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</si>
  <si>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</si>
  <si>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</si>
  <si>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</si>
  <si>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</si>
  <si>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</si>
  <si>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</si>
  <si>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</si>
  <si>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</si>
  <si>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</si>
  <si>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</si>
  <si>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</si>
  <si>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</si>
  <si>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</si>
  <si>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</si>
  <si>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</si>
  <si>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</si>
  <si>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</si>
  <si>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</si>
  <si>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</si>
  <si>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</si>
  <si>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</si>
  <si>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</si>
  <si>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</si>
  <si>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</si>
  <si>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</si>
  <si>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</si>
  <si>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</si>
  <si>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</si>
  <si>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</si>
  <si>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</si>
  <si>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</si>
  <si>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</si>
  <si>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</si>
  <si>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</si>
  <si>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</si>
  <si>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</si>
  <si>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</si>
  <si>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</si>
  <si>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</si>
  <si>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</si>
  <si>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</si>
  <si>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</si>
  <si>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</si>
  <si>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</si>
  <si>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</si>
  <si>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</si>
  <si>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</si>
  <si>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</si>
  <si>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</si>
  <si>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</si>
  <si>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</si>
  <si>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</si>
  <si>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</si>
  <si>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</si>
  <si>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</si>
  <si>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</si>
  <si>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</si>
  <si>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</si>
  <si>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</si>
  <si>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</si>
  <si>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</si>
  <si>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</si>
  <si>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</si>
  <si>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</si>
  <si>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</si>
  <si>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</si>
  <si>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</si>
  <si>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</si>
  <si>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</si>
  <si>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</si>
  <si>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</si>
  <si>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</si>
  <si>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</si>
  <si>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</si>
  <si>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</si>
  <si>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</si>
  <si>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</si>
  <si>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</si>
  <si>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</si>
  <si>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</si>
  <si>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</si>
  <si>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</si>
  <si>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</si>
  <si>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</si>
  <si>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</si>
  <si>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</si>
  <si>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</si>
  <si>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</si>
  <si>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</si>
  <si>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</si>
  <si>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</si>
  <si>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</si>
  <si>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</si>
  <si>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</si>
  <si>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</si>
  <si>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</si>
  <si>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</si>
  <si>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</si>
  <si>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</si>
  <si>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</si>
  <si>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</si>
  <si>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</si>
  <si>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</si>
  <si>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</si>
  <si>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</si>
  <si>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</si>
  <si>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</si>
  <si>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</si>
  <si>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</si>
  <si>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</si>
  <si>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</si>
  <si>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</si>
  <si>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</si>
  <si>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</si>
  <si>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</si>
  <si>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</si>
  <si>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</si>
  <si>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</si>
  <si>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</si>
  <si>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</si>
  <si>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</si>
  <si>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</si>
  <si>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</si>
  <si>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</si>
  <si>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</si>
  <si>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</si>
  <si>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</si>
  <si>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</si>
  <si>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</si>
  <si>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</si>
  <si>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</si>
  <si>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</si>
  <si>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</si>
  <si>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</si>
  <si>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</si>
  <si>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</si>
  <si>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</si>
  <si>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</si>
  <si>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</si>
  <si>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</si>
  <si>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</si>
  <si>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</si>
  <si>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</si>
  <si>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</si>
  <si>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</si>
  <si>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</si>
  <si>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</si>
  <si>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</si>
  <si>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</si>
  <si>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</si>
  <si>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</si>
  <si>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</si>
  <si>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</si>
  <si>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</si>
  <si>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</si>
  <si>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</si>
  <si>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</si>
  <si>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</si>
  <si>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</si>
  <si>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</si>
  <si>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</si>
  <si>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</si>
  <si>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</si>
  <si>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</si>
  <si>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</si>
  <si>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</si>
  <si>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</si>
  <si>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</si>
  <si>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</si>
  <si>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</si>
  <si>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</si>
  <si>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</si>
  <si>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</si>
  <si>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</si>
  <si>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</si>
  <si>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</si>
  <si>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</si>
  <si>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</si>
  <si>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</si>
  <si>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</si>
  <si>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</si>
  <si>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</si>
  <si>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</si>
  <si>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</si>
  <si>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</si>
  <si>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</si>
  <si>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</si>
  <si>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</si>
  <si>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</si>
  <si>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</si>
  <si>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</si>
  <si>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</si>
  <si>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</si>
  <si>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</si>
  <si>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</si>
  <si>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</si>
  <si>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</si>
  <si>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</si>
  <si>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</si>
  <si>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</si>
  <si>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</si>
  <si>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</si>
  <si>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</si>
  <si>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</si>
  <si>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</si>
  <si>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</si>
  <si>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</si>
  <si>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</si>
  <si>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</si>
  <si>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</si>
  <si>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</si>
  <si>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</si>
  <si>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</si>
  <si>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</si>
  <si>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</si>
  <si>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</si>
  <si>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</si>
  <si>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</si>
  <si>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</si>
  <si>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</si>
  <si>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</si>
  <si>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</si>
  <si>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</si>
  <si>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</si>
  <si>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</si>
  <si>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</si>
  <si>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</si>
  <si>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</si>
  <si>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</si>
  <si>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</si>
  <si>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</si>
  <si>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</si>
  <si>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</si>
  <si>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</si>
  <si>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</si>
  <si>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</si>
  <si>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</si>
  <si>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</si>
  <si>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</si>
  <si>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</si>
  <si>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</si>
  <si>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</si>
  <si>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</si>
  <si>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</si>
  <si>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</si>
  <si>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</si>
  <si>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</si>
  <si>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</si>
  <si>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</si>
  <si>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</si>
  <si>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</si>
  <si>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</si>
  <si>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</si>
  <si>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</si>
  <si>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</si>
  <si>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</si>
  <si>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</si>
  <si>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</si>
  <si>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</si>
  <si>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</si>
  <si>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</si>
  <si>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</si>
  <si>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</si>
  <si>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</si>
  <si>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</si>
  <si>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</si>
  <si>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</si>
  <si>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</si>
  <si>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</si>
  <si>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</si>
  <si>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</si>
  <si>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</si>
  <si>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</si>
  <si>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</si>
  <si>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</si>
  <si>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</si>
  <si>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</si>
  <si>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</si>
  <si>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</si>
  <si>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</si>
  <si>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</si>
  <si>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</si>
  <si>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</si>
  <si>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</si>
  <si>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</si>
  <si>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</si>
  <si>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</si>
  <si>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</si>
  <si>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</si>
  <si>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</si>
  <si>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</si>
  <si>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</si>
  <si>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</si>
  <si>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</si>
  <si>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</si>
  <si>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</si>
  <si>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</si>
  <si>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</si>
  <si>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</si>
  <si>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</si>
  <si>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</si>
  <si>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</si>
  <si>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</si>
  <si>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</si>
  <si>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</si>
  <si>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</si>
  <si>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</si>
  <si>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</si>
  <si>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</si>
  <si>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</si>
  <si>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</si>
  <si>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</si>
  <si>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</si>
  <si>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</si>
  <si>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</si>
  <si>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</si>
  <si>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</si>
  <si>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</si>
  <si>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</si>
  <si>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</si>
  <si>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</si>
  <si>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</si>
  <si>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</si>
  <si>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</si>
  <si>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</si>
  <si>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</si>
  <si>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</si>
  <si>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</si>
  <si>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</si>
  <si>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</si>
  <si>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</si>
  <si>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</si>
  <si>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</si>
  <si>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</si>
  <si>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</si>
  <si>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</si>
  <si>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</si>
  <si>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</si>
  <si>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</si>
  <si>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</si>
  <si>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</si>
  <si>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</si>
  <si>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</si>
  <si>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</si>
  <si>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</si>
  <si>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</si>
  <si>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</si>
  <si>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</si>
  <si>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</si>
  <si>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</si>
  <si>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</si>
  <si>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</si>
  <si>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</si>
  <si>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</si>
  <si>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</si>
  <si>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</si>
  <si>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</si>
  <si>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</si>
  <si>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</si>
  <si>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</si>
  <si>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</si>
  <si>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</si>
  <si>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</si>
  <si>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</si>
  <si>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</si>
  <si>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</si>
  <si>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</si>
  <si>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</si>
  <si>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</si>
  <si>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</si>
  <si>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</si>
  <si>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</si>
  <si>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</si>
  <si>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</si>
  <si>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</si>
  <si>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</si>
  <si>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</si>
  <si>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</si>
  <si>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</si>
  <si>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</si>
  <si>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</si>
  <si>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</si>
  <si>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</si>
  <si>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</si>
  <si>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</si>
  <si>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</si>
  <si>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</si>
  <si>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</si>
  <si>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</si>
  <si>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</si>
  <si>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</si>
  <si>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</si>
  <si>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</si>
  <si>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</si>
  <si>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</si>
  <si>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</si>
  <si>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</si>
  <si>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</si>
  <si>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</si>
  <si>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</si>
  <si>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</si>
  <si>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</si>
  <si>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</si>
  <si>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</si>
  <si>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</si>
  <si>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</si>
  <si>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</si>
  <si>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</si>
  <si>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</si>
  <si>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</si>
  <si>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</si>
  <si>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</si>
  <si>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</si>
  <si>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</si>
  <si>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</si>
  <si>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</si>
  <si>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</si>
  <si>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</si>
  <si>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</si>
  <si>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</si>
  <si>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</si>
  <si>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</si>
  <si>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</si>
  <si>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</si>
  <si>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</si>
  <si>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</si>
  <si>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</si>
  <si>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</si>
  <si>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</si>
  <si>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</si>
  <si>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</si>
  <si>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</si>
  <si>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</si>
  <si>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</si>
  <si>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</si>
  <si>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</si>
  <si>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</si>
  <si>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</si>
  <si>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</si>
  <si>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</si>
  <si>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</si>
  <si>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</si>
  <si>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</si>
  <si>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</si>
  <si>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</si>
  <si>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</si>
  <si>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</si>
  <si>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</si>
  <si>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</si>
  <si>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</si>
  <si>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</si>
  <si>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</si>
  <si>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</si>
  <si>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</si>
  <si>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</si>
  <si>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</si>
  <si>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</si>
  <si>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</si>
  <si>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</si>
  <si>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</si>
  <si>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</si>
  <si>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</si>
  <si>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</si>
  <si>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</si>
  <si>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</si>
  <si>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</si>
  <si>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</si>
  <si>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</si>
  <si>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</si>
  <si>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</si>
  <si>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</si>
  <si>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</si>
  <si>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</si>
  <si>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</si>
  <si>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</si>
  <si>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</si>
  <si>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</si>
  <si>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</si>
  <si>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</si>
  <si>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</si>
  <si>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</si>
  <si>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</si>
  <si>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</si>
  <si>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</si>
  <si>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</si>
  <si>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</si>
  <si>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</si>
  <si>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</si>
  <si>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</si>
  <si>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</si>
  <si>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</si>
  <si>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</si>
  <si>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</si>
  <si>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</si>
  <si>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</si>
  <si>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</si>
  <si>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</si>
  <si>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</si>
  <si>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</si>
  <si>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</si>
  <si>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</si>
  <si>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</si>
  <si>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</si>
  <si>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</si>
  <si>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</si>
  <si>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</si>
  <si>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</si>
  <si>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</si>
  <si>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</si>
  <si>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</si>
  <si>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</si>
  <si>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</si>
  <si>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</si>
  <si>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</si>
  <si>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</si>
  <si>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</si>
  <si>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</si>
  <si>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</si>
  <si>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</si>
  <si>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</si>
  <si>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</si>
  <si>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</si>
  <si>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</si>
  <si>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</si>
  <si>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</si>
  <si>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</si>
  <si>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</si>
  <si>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</si>
  <si>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</si>
  <si>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</si>
  <si>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</si>
  <si>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</si>
  <si>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</si>
  <si>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</si>
  <si>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</si>
  <si>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</si>
  <si>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</si>
  <si>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</si>
  <si>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</si>
  <si>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</si>
  <si>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</si>
  <si>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</si>
  <si>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</si>
  <si>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</si>
  <si>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</si>
  <si>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</si>
  <si>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</si>
  <si>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</si>
  <si>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</si>
  <si>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</si>
  <si>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</si>
  <si>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</si>
  <si>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</si>
  <si>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</si>
  <si>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</si>
  <si>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</si>
  <si>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</si>
  <si>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</si>
  <si>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</si>
  <si>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</si>
  <si>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</si>
  <si>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</si>
  <si>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</si>
  <si>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</si>
  <si>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</si>
  <si>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</si>
  <si>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</si>
  <si>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</si>
  <si>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</si>
  <si>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</si>
  <si>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</si>
  <si>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</si>
  <si>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</si>
  <si>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</si>
  <si>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</si>
  <si>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</si>
  <si>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</si>
  <si>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</si>
  <si>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</si>
  <si>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</si>
  <si>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</si>
  <si>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</si>
  <si>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</si>
  <si>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</si>
  <si>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</si>
  <si>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</si>
  <si>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</si>
  <si>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</si>
  <si>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</si>
  <si>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</si>
  <si>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</si>
  <si>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</si>
  <si>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</si>
  <si>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</si>
  <si>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</si>
  <si>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</si>
  <si>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</si>
  <si>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</si>
  <si>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</si>
  <si>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</si>
  <si>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</si>
  <si>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</si>
  <si>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</si>
  <si>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</si>
  <si>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</si>
  <si>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</si>
  <si>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</si>
  <si>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</si>
  <si>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</si>
  <si>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</si>
  <si>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</si>
  <si>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</si>
  <si>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</si>
  <si>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</si>
  <si>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</si>
  <si>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</si>
  <si>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</si>
  <si>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</si>
  <si>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</si>
  <si>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</si>
  <si>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</si>
  <si>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</si>
  <si>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</si>
  <si>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</si>
  <si>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</si>
  <si>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</si>
  <si>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</si>
  <si>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</si>
  <si>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</si>
  <si>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</si>
  <si>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</si>
  <si>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</si>
  <si>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</si>
  <si>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</si>
  <si>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</si>
  <si>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</si>
  <si>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</si>
  <si>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</si>
  <si>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</si>
  <si>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</si>
  <si>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</si>
  <si>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</si>
  <si>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</si>
  <si>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</si>
  <si>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</si>
  <si>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</si>
  <si>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</si>
  <si>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</si>
  <si>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</si>
  <si>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</si>
  <si>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</si>
  <si>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</si>
  <si>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</si>
  <si>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</si>
  <si>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</si>
  <si>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</si>
  <si>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</si>
  <si>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</si>
  <si>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</si>
  <si>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</si>
  <si>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</si>
  <si>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</si>
  <si>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</si>
  <si>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</si>
  <si>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</si>
  <si>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</si>
  <si>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</si>
  <si>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</si>
  <si>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</si>
  <si>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</si>
  <si>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</si>
  <si>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</si>
  <si>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</si>
  <si>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</si>
  <si>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</si>
  <si>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</si>
  <si>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</si>
  <si>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</si>
  <si>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</si>
  <si>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</si>
  <si>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</si>
  <si>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</si>
  <si>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</si>
  <si>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</si>
  <si>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</si>
  <si>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</si>
  <si>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</si>
  <si>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</si>
  <si>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</si>
  <si>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</si>
  <si>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</si>
  <si>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</si>
  <si>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</si>
  <si>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</si>
  <si>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</si>
  <si>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</si>
  <si>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</si>
  <si>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</si>
  <si>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</si>
  <si>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</si>
  <si>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</si>
  <si>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</si>
  <si>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</si>
  <si>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</si>
  <si>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</si>
  <si>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</si>
  <si>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</si>
  <si>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</si>
  <si>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</si>
  <si>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</si>
  <si>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</si>
  <si>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</si>
  <si>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</si>
  <si>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</si>
  <si>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</si>
  <si>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</si>
  <si>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</si>
  <si>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</si>
  <si>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</si>
  <si>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</si>
  <si>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</si>
  <si>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</si>
  <si>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</si>
  <si>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</si>
  <si>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</si>
  <si>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</si>
  <si>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</si>
  <si>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</si>
  <si>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</si>
  <si>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</si>
  <si>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</si>
  <si>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</si>
  <si>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</si>
  <si>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</si>
  <si>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</si>
  <si>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</si>
  <si>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</si>
  <si>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</si>
  <si>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</si>
  <si>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</si>
  <si>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</si>
  <si>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</si>
  <si>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</si>
  <si>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</si>
  <si>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</si>
  <si>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</si>
  <si>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</si>
  <si>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</si>
  <si>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</si>
  <si>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</si>
  <si>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</si>
  <si>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</si>
  <si>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</si>
  <si>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</si>
  <si>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</si>
  <si>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</si>
  <si>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</si>
  <si>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</si>
  <si>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</si>
  <si>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</si>
  <si>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</si>
  <si>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</si>
  <si>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</si>
  <si>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</si>
  <si>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</si>
  <si>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</si>
  <si>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</si>
  <si>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</si>
  <si>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</si>
  <si>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</si>
  <si>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</si>
  <si>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</si>
  <si>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</si>
  <si>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</si>
  <si>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</si>
  <si>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</si>
  <si>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</si>
  <si>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</si>
  <si>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</si>
  <si>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</si>
  <si>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</si>
  <si>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</si>
  <si>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</si>
  <si>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</si>
  <si>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</si>
  <si>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</si>
  <si>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</si>
  <si>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</si>
  <si>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</si>
  <si>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</si>
  <si>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</si>
  <si>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</si>
  <si>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</si>
  <si>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</si>
  <si>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</si>
  <si>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</si>
  <si>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</si>
  <si>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</si>
  <si>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</si>
  <si>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</si>
  <si>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</si>
  <si>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</si>
  <si>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</si>
  <si>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</si>
  <si>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</si>
  <si>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</si>
  <si>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</si>
  <si>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</si>
  <si>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</si>
  <si>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</si>
  <si>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</si>
  <si>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</si>
  <si>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</si>
  <si>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</si>
  <si>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</si>
  <si>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</si>
  <si>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</si>
  <si>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</si>
  <si>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</si>
  <si>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</si>
  <si>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</si>
  <si>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</si>
  <si>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</si>
  <si>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</si>
  <si>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</si>
  <si>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</si>
  <si>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</si>
  <si>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</si>
  <si>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</si>
  <si>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</si>
  <si>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</si>
  <si>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</si>
  <si>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</si>
  <si>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</si>
  <si>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</si>
  <si>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</si>
  <si>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</si>
  <si>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</si>
  <si>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</si>
  <si>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</si>
  <si>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</si>
  <si>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</si>
  <si>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</si>
  <si>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</si>
  <si>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</si>
  <si>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</si>
  <si>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</si>
  <si>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</si>
  <si>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</si>
  <si>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</si>
  <si>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</si>
  <si>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</si>
  <si>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</si>
  <si>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</si>
  <si>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</si>
  <si>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</si>
  <si>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</si>
  <si>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</si>
  <si>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</si>
  <si>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</si>
  <si>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</si>
  <si>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</si>
  <si>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</si>
  <si>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</si>
  <si>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</si>
  <si>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</si>
  <si>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</si>
  <si>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</si>
  <si>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</si>
  <si>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</si>
  <si>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</si>
  <si>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</si>
  <si>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</si>
  <si>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</si>
  <si>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</si>
  <si>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</si>
  <si>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</si>
  <si>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</si>
  <si>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</si>
  <si>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</si>
  <si>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</si>
  <si>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</si>
  <si>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</si>
  <si>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</si>
  <si>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</si>
  <si>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</si>
  <si>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</si>
  <si>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</si>
  <si>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</si>
  <si>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</si>
  <si>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</si>
  <si>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</si>
  <si>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</si>
  <si>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</si>
  <si>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</si>
  <si>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</si>
  <si>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</si>
  <si>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</si>
  <si>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</si>
  <si>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</si>
  <si>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</si>
  <si>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</si>
  <si>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</si>
  <si>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</si>
  <si>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</si>
  <si>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</si>
  <si>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</si>
  <si>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</si>
  <si>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</si>
  <si>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</si>
  <si>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</si>
  <si>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</si>
  <si>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</si>
  <si>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</si>
  <si>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</si>
  <si>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</si>
  <si>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</si>
  <si>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</si>
  <si>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</si>
  <si>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</si>
  <si>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</si>
  <si>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</si>
  <si>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</si>
  <si>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</si>
  <si>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</si>
  <si>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</si>
  <si>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</si>
  <si>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</si>
  <si>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</si>
  <si>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</si>
  <si>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</si>
  <si>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</si>
  <si>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</si>
  <si>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</si>
  <si>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</si>
  <si>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</si>
  <si>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</si>
  <si>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</si>
  <si>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</si>
  <si>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</si>
  <si>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</si>
  <si>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</si>
  <si>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</si>
  <si>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</si>
  <si>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</si>
  <si>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</si>
  <si>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</si>
  <si>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</si>
  <si>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</si>
  <si>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</si>
  <si>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</si>
  <si>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</si>
  <si>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</si>
  <si>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</si>
  <si>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</si>
  <si>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</si>
  <si>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</si>
  <si>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</si>
  <si>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</si>
  <si>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</si>
  <si>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</si>
  <si>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</si>
  <si>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</si>
  <si>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</si>
  <si>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</si>
  <si>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</si>
  <si>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</si>
  <si>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</si>
  <si>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</si>
  <si>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</si>
  <si>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</si>
  <si>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</si>
  <si>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</si>
  <si>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</si>
  <si>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</si>
  <si>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</si>
  <si>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</si>
  <si>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</si>
  <si>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</si>
  <si>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</si>
  <si>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</si>
  <si>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</si>
  <si>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</si>
  <si>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</si>
  <si>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</si>
  <si>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</si>
  <si>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</si>
  <si>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</si>
  <si>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</si>
  <si>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</si>
  <si>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</si>
  <si>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</si>
  <si>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</si>
  <si>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</si>
  <si>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</si>
  <si>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</si>
  <si>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</si>
  <si>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</si>
  <si>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</si>
  <si>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</si>
  <si>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</si>
  <si>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</si>
  <si>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</si>
  <si>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</si>
  <si>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</si>
  <si>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</si>
  <si>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</si>
  <si>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</si>
  <si>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</si>
  <si>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</si>
  <si>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</si>
  <si>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</si>
  <si>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</si>
  <si>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</si>
  <si>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</si>
  <si>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</si>
  <si>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</si>
  <si>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</si>
  <si>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</si>
  <si>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</si>
  <si>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</si>
  <si>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</si>
  <si>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</si>
  <si>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</si>
  <si>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</si>
  <si>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</si>
  <si>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</si>
  <si>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</si>
  <si>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</si>
  <si>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</si>
  <si>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</si>
  <si>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</si>
  <si>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</si>
  <si>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</si>
  <si>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</si>
  <si>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</si>
  <si>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</si>
  <si>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</si>
  <si>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</si>
  <si>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</si>
  <si>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</si>
  <si>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</si>
  <si>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</si>
  <si>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</si>
  <si>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</si>
  <si>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</si>
  <si>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</si>
  <si>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</si>
  <si>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</si>
  <si>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</si>
  <si>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</si>
  <si>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</si>
  <si>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</si>
  <si>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</si>
  <si>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</si>
  <si>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</si>
  <si>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</si>
  <si>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</si>
  <si>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</si>
  <si>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</si>
  <si>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</si>
  <si>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</si>
  <si>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</si>
  <si>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</si>
  <si>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</si>
  <si>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</si>
  <si>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</si>
  <si>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</si>
  <si>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</si>
  <si>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</si>
  <si>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</si>
  <si>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</si>
  <si>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</si>
  <si>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</si>
  <si>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</si>
  <si>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</si>
  <si>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</si>
  <si>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</si>
  <si>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</si>
  <si>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</si>
  <si>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</si>
  <si>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</si>
  <si>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</si>
  <si>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</si>
  <si>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</si>
  <si>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</si>
  <si>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</si>
  <si>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</si>
  <si>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</si>
  <si>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</si>
  <si>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</si>
  <si>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</si>
  <si>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</si>
  <si>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</si>
  <si>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</si>
  <si>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</si>
  <si>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</si>
  <si>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</si>
  <si>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</si>
  <si>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</si>
  <si>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</si>
  <si>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</si>
  <si>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</si>
  <si>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</si>
  <si>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</si>
  <si>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</si>
  <si>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</si>
  <si>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</si>
  <si>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</si>
  <si>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</si>
  <si>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</si>
  <si>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</si>
  <si>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</si>
  <si>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</si>
  <si>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</si>
  <si>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</si>
  <si>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</si>
  <si>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</si>
  <si>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</si>
  <si>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</si>
  <si>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</si>
  <si>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</si>
  <si>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</si>
  <si>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</si>
  <si>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</si>
  <si>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</si>
  <si>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</si>
  <si>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</si>
  <si>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</si>
  <si>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</si>
  <si>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</si>
  <si>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</si>
  <si>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</si>
  <si>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</si>
  <si>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</si>
  <si>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</si>
  <si>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</si>
  <si>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</si>
  <si>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</si>
  <si>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</si>
  <si>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</si>
  <si>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</si>
  <si>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</si>
  <si>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</si>
  <si>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</si>
  <si>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</si>
  <si>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</si>
  <si>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</si>
  <si>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</si>
  <si>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</si>
  <si>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</si>
  <si>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</si>
  <si>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</si>
  <si>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</si>
  <si>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</si>
  <si>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</si>
  <si>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</si>
  <si>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</si>
  <si>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</si>
  <si>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</si>
  <si>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</si>
  <si>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</si>
  <si>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</si>
  <si>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</si>
  <si>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</si>
  <si>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</si>
  <si>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</si>
  <si>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</si>
  <si>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</si>
  <si>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</si>
  <si>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</si>
  <si>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</si>
  <si>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</si>
  <si>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</si>
  <si>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</si>
  <si>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</si>
  <si>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</si>
  <si>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</si>
  <si>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</si>
  <si>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</si>
  <si>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</si>
  <si>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</si>
  <si>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</si>
  <si>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</si>
  <si>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</si>
  <si>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</si>
  <si>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</si>
  <si>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</si>
  <si>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</si>
  <si>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</si>
  <si>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</si>
  <si>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</si>
  <si>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</si>
  <si>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</si>
  <si>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</si>
  <si>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</si>
  <si>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</si>
  <si>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</si>
  <si>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</si>
  <si>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</si>
  <si>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</si>
  <si>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</si>
  <si>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</si>
  <si>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</si>
  <si>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</si>
  <si>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</si>
  <si>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</si>
  <si>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</si>
  <si>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</si>
  <si>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</si>
  <si>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</si>
  <si>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</si>
  <si>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</si>
  <si>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</si>
  <si>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</si>
  <si>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</si>
  <si>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</si>
  <si>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</si>
  <si>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</si>
  <si>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</si>
  <si>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</si>
  <si>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</si>
  <si>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</si>
  <si>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</si>
  <si>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</si>
  <si>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</si>
  <si>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</si>
  <si>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</si>
  <si>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</si>
  <si>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</si>
  <si>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</si>
  <si>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</si>
  <si>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</si>
  <si>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</si>
  <si>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</si>
  <si>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</si>
  <si>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</si>
  <si>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</si>
  <si>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</si>
  <si>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</si>
  <si>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</si>
  <si>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</si>
  <si>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</si>
  <si>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</si>
  <si>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</si>
  <si>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</si>
  <si>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</si>
  <si>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</si>
  <si>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</si>
  <si>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</si>
  <si>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</si>
  <si>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</si>
  <si>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</si>
  <si>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</si>
  <si>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</si>
  <si>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</si>
  <si>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</si>
  <si>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</si>
  <si>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</si>
  <si>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</si>
  <si>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</si>
  <si>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</si>
  <si>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</si>
  <si>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</si>
  <si>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</si>
  <si>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</si>
  <si>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</si>
  <si>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</si>
  <si>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</si>
  <si>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</si>
  <si>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</si>
  <si>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</si>
  <si>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</si>
  <si>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</si>
  <si>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</si>
  <si>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</si>
  <si>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</si>
  <si>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</si>
  <si>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</si>
  <si>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</si>
  <si>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</si>
  <si>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</si>
  <si>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</si>
  <si>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</si>
  <si>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</si>
  <si>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</si>
  <si>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</si>
  <si>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</si>
  <si>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</si>
  <si>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</si>
  <si>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</si>
  <si>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</si>
  <si>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</si>
  <si>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</si>
  <si>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</si>
  <si>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</si>
  <si>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</si>
  <si>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</si>
  <si>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</si>
  <si>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</si>
  <si>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</si>
  <si>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</si>
  <si>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</si>
  <si>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</si>
  <si>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</si>
  <si>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</si>
  <si>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</si>
  <si>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</si>
  <si>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</si>
  <si>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</si>
  <si>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</si>
  <si>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</si>
  <si>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</si>
  <si>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</si>
  <si>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</si>
  <si>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</si>
  <si>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</si>
  <si>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</si>
  <si>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</si>
  <si>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</si>
  <si>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</si>
  <si>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</si>
  <si>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</si>
  <si>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</si>
  <si>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</si>
  <si>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</si>
  <si>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</si>
  <si>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</si>
  <si>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</si>
  <si>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</si>
  <si>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</si>
  <si>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</si>
  <si>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</si>
  <si>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</si>
  <si>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</si>
  <si>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</si>
  <si>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</si>
  <si>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</si>
  <si>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</si>
  <si>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</si>
  <si>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</si>
  <si>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</si>
  <si>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</si>
  <si>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</si>
  <si>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</si>
  <si>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</si>
  <si>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</si>
  <si>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</si>
  <si>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</si>
  <si>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</si>
  <si>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</si>
  <si>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</si>
  <si>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</si>
  <si>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</si>
  <si>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</si>
  <si>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</si>
  <si>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</si>
  <si>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</si>
  <si>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</si>
  <si>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</si>
  <si>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</si>
  <si>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</si>
  <si>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</si>
  <si>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</si>
  <si>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</si>
  <si>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</si>
  <si>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</si>
  <si>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</si>
  <si>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</si>
  <si>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</si>
  <si>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</si>
  <si>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</si>
  <si>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</si>
  <si>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</si>
  <si>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</si>
  <si>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</si>
  <si>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</si>
  <si>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</si>
  <si>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</si>
  <si>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</si>
  <si>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</si>
  <si>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</si>
  <si>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</si>
  <si>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</si>
  <si>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</si>
  <si>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</si>
  <si>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</si>
  <si>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</si>
  <si>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</si>
  <si>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</si>
  <si>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</si>
  <si>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</si>
  <si>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</si>
  <si>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</si>
  <si>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</si>
  <si>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</si>
  <si>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</si>
  <si>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</si>
  <si>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</si>
  <si>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</si>
  <si>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</si>
  <si>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</si>
  <si>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</si>
  <si>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</si>
  <si>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</si>
  <si>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</si>
  <si>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</si>
  <si>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</si>
  <si>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</si>
  <si>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</si>
  <si>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</si>
  <si>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</si>
  <si>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</si>
  <si>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</si>
  <si>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</si>
  <si>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</si>
  <si>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</si>
  <si>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</si>
  <si>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</si>
  <si>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</si>
  <si>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</si>
  <si>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</si>
  <si>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</si>
  <si>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</si>
  <si>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</si>
  <si>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</si>
  <si>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</si>
  <si>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</si>
  <si>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</si>
  <si>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</si>
  <si>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</si>
  <si>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</si>
  <si>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</si>
  <si>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</si>
  <si>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</si>
  <si>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</si>
  <si>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</si>
  <si>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</si>
  <si>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</si>
  <si>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</si>
  <si>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</si>
  <si>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</si>
  <si>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</si>
  <si>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</si>
  <si>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</si>
  <si>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</si>
  <si>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</si>
  <si>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</si>
  <si>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</si>
  <si>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</si>
  <si>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</si>
  <si>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</si>
  <si>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</si>
  <si>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</si>
  <si>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</si>
  <si>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</si>
  <si>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</si>
  <si>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</si>
  <si>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</si>
  <si>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</si>
  <si>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</si>
  <si>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</si>
  <si>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</si>
  <si>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</si>
  <si>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</si>
  <si>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</si>
  <si>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</si>
  <si>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</si>
  <si>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</si>
  <si>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</si>
  <si>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</si>
  <si>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</si>
  <si>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</si>
  <si>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</si>
  <si>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</si>
  <si>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</si>
  <si>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</si>
  <si>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</si>
  <si>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</si>
  <si>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</si>
  <si>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</si>
  <si>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</si>
  <si>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</si>
  <si>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</si>
  <si>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</si>
  <si>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</si>
  <si>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</si>
  <si>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</si>
  <si>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</si>
  <si>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</si>
  <si>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</si>
  <si>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</si>
  <si>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</si>
  <si>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</si>
  <si>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</si>
  <si>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</si>
  <si>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</si>
  <si>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</si>
  <si>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</si>
  <si>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</si>
  <si>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</si>
  <si>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</si>
  <si>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</si>
  <si>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</si>
  <si>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</si>
  <si>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</si>
  <si>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</si>
  <si>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</si>
  <si>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</si>
  <si>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</si>
  <si>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</si>
  <si>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</si>
  <si>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</si>
  <si>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</si>
  <si>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</si>
  <si>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</si>
  <si>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</si>
  <si>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</si>
  <si>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</si>
  <si>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</si>
  <si>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</si>
  <si>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</si>
  <si>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</si>
  <si>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</si>
  <si>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</si>
  <si>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</si>
  <si>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</si>
  <si>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</si>
  <si>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</si>
  <si>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</si>
  <si>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</si>
  <si>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</si>
  <si>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</si>
  <si>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</si>
  <si>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</si>
  <si>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</si>
  <si>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</si>
  <si>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</si>
  <si>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</si>
  <si>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</si>
  <si>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</si>
  <si>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</si>
  <si>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</si>
  <si>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</si>
  <si>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</si>
  <si>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</si>
  <si>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</si>
  <si>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</si>
  <si>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</si>
  <si>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</si>
  <si>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</si>
  <si>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</si>
  <si>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</si>
  <si>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</si>
  <si>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</si>
  <si>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</si>
  <si>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</si>
  <si>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</si>
  <si>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</si>
  <si>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</si>
  <si>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</si>
  <si>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</si>
  <si>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</si>
  <si>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</si>
  <si>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</si>
  <si>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</si>
  <si>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</si>
  <si>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</si>
  <si>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</si>
  <si>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</si>
  <si>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</si>
  <si>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</si>
  <si>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</si>
  <si>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</si>
  <si>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</si>
  <si>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</si>
  <si>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</si>
  <si>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</si>
  <si>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</si>
  <si>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</si>
  <si>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</si>
  <si>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</si>
  <si>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</si>
  <si>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</si>
  <si>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</si>
  <si>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</si>
  <si>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</si>
  <si>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</si>
  <si>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</si>
  <si>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</si>
  <si>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</si>
  <si>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</si>
  <si>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</si>
  <si>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</si>
  <si>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</si>
  <si>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</si>
  <si>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</si>
  <si>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</si>
  <si>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</si>
  <si>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</si>
  <si>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</si>
  <si>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</si>
  <si>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</si>
  <si>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</si>
  <si>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</si>
  <si>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</si>
  <si>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</si>
  <si>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</si>
  <si>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</si>
  <si>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</si>
  <si>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</si>
  <si>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</si>
  <si>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</si>
  <si>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</si>
  <si>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</si>
  <si>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</si>
  <si>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</si>
  <si>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</si>
  <si>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</si>
  <si>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</si>
  <si>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</si>
  <si>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</si>
  <si>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</si>
  <si>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</si>
  <si>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</si>
  <si>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</si>
  <si>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</si>
  <si>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</si>
  <si>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</si>
  <si>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</si>
  <si>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</si>
  <si>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</si>
  <si>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</si>
  <si>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</si>
  <si>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</si>
  <si>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</si>
  <si>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</si>
  <si>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</si>
  <si>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</si>
  <si>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</si>
  <si>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</si>
  <si>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</si>
  <si>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</si>
  <si>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</si>
  <si>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</si>
  <si>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</si>
  <si>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</si>
  <si>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</si>
  <si>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</si>
  <si>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</si>
  <si>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</si>
  <si>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</si>
  <si>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</si>
  <si>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</si>
  <si>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</si>
  <si>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</si>
  <si>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</si>
  <si>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</si>
  <si>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</si>
  <si>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</si>
  <si>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</si>
  <si>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</si>
  <si>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</si>
  <si>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</si>
  <si>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</si>
  <si>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</si>
  <si>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</si>
  <si>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</si>
  <si>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</si>
  <si>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</si>
  <si>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</si>
  <si>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</si>
  <si>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</si>
  <si>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</si>
  <si>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</si>
  <si>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</si>
  <si>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</si>
  <si>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</si>
  <si>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</si>
  <si>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</si>
  <si>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</si>
  <si>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</si>
  <si>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</si>
  <si>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</si>
  <si>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</si>
  <si>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</si>
  <si>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</si>
  <si>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</si>
  <si>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</si>
  <si>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</si>
  <si>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</si>
  <si>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</si>
  <si>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</si>
  <si>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</si>
  <si>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</si>
  <si>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</si>
  <si>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</si>
  <si>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</si>
  <si>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</si>
  <si>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</si>
  <si>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</si>
  <si>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</si>
  <si>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</si>
  <si>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</si>
  <si>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</si>
  <si>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</si>
  <si>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</si>
  <si>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</si>
  <si>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</si>
  <si>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</si>
  <si>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</si>
  <si>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</si>
  <si>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</si>
  <si>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</si>
  <si>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</si>
  <si>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</si>
  <si>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</si>
  <si>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</si>
  <si>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</si>
  <si>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</si>
  <si>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</si>
  <si>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</si>
  <si>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</si>
  <si>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</si>
  <si>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</si>
  <si>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</si>
  <si>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</si>
  <si>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</si>
  <si>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</si>
  <si>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</si>
  <si>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</si>
  <si>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</si>
  <si>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</si>
  <si>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</si>
  <si>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</si>
  <si>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</si>
  <si>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</si>
  <si>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</si>
  <si>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</si>
  <si>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</si>
  <si>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</si>
  <si>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</si>
  <si>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</si>
  <si>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</si>
  <si>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</si>
  <si>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</si>
  <si>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</si>
  <si>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</si>
  <si>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</si>
  <si>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</si>
  <si>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</si>
  <si>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</si>
  <si>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</si>
  <si>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</si>
  <si>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</si>
  <si>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</si>
  <si>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</si>
  <si>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</si>
  <si>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</si>
  <si>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</si>
  <si>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</si>
  <si>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</si>
  <si>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</si>
  <si>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</si>
  <si>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</si>
  <si>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</si>
  <si>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</si>
  <si>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</si>
  <si>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</si>
  <si>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</si>
  <si>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</si>
  <si>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</si>
  <si>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</si>
  <si>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</si>
  <si>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</si>
  <si>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</si>
  <si>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</si>
  <si>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</si>
  <si>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</si>
  <si>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</si>
  <si>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</si>
  <si>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</si>
  <si>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</si>
  <si>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</si>
  <si>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</si>
  <si>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</si>
  <si>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</si>
  <si>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</si>
  <si>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</si>
  <si>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</si>
  <si>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</si>
  <si>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</si>
  <si>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</si>
  <si>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</si>
  <si>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</si>
  <si>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</si>
  <si>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</si>
  <si>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</si>
  <si>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</si>
  <si>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</si>
  <si>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</si>
  <si>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</si>
  <si>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</si>
  <si>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</si>
  <si>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</si>
  <si>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</si>
  <si>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</si>
  <si>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</si>
  <si>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</si>
  <si>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</si>
  <si>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</si>
  <si>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</si>
  <si>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</si>
  <si>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</si>
  <si>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</si>
  <si>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</si>
  <si>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</si>
  <si>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</si>
  <si>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</si>
  <si>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</si>
  <si>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</si>
  <si>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</si>
  <si>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</si>
  <si>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</si>
  <si>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</si>
  <si>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</si>
  <si>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</si>
  <si>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</si>
  <si>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</si>
  <si>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</si>
  <si>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</si>
  <si>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</si>
  <si>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</si>
  <si>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</si>
  <si>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</si>
  <si>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</si>
  <si>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</si>
  <si>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</si>
  <si>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</si>
  <si>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</si>
  <si>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</si>
  <si>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</si>
  <si>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</si>
  <si>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</si>
  <si>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</si>
  <si>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</si>
  <si>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</si>
  <si>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</si>
  <si>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</si>
  <si>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</si>
  <si>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</si>
  <si>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</si>
  <si>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</si>
  <si>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</si>
  <si>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</si>
  <si>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</si>
  <si>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</si>
  <si>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</si>
  <si>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</si>
  <si>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</si>
  <si>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</si>
  <si>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</si>
  <si>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</si>
  <si>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</si>
  <si>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</si>
  <si>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</si>
  <si>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</si>
  <si>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</si>
  <si>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</si>
  <si>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</si>
  <si>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</si>
  <si>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</si>
  <si>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</si>
  <si>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</si>
  <si>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</si>
  <si>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</si>
  <si>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</si>
  <si>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</si>
  <si>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</si>
  <si>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</si>
  <si>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</si>
  <si>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</si>
  <si>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</si>
  <si>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</si>
  <si>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</si>
  <si>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</si>
  <si>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</si>
  <si>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</si>
  <si>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</si>
  <si>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</si>
  <si>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</si>
  <si>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</si>
  <si>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</si>
  <si>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</si>
  <si>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</si>
  <si>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</si>
  <si>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</si>
  <si>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</si>
  <si>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</si>
  <si>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</si>
  <si>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</si>
  <si>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</si>
  <si>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</si>
  <si>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</si>
  <si>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</si>
  <si>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</si>
  <si>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</si>
  <si>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</si>
  <si>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</si>
  <si>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</si>
  <si>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</si>
  <si>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</si>
  <si>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</si>
  <si>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</si>
  <si>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</si>
  <si>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</si>
  <si>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</si>
  <si>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</si>
  <si>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</si>
  <si>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</si>
  <si>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</si>
  <si>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</si>
  <si>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</si>
  <si>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</si>
  <si>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</si>
  <si>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</si>
  <si>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</si>
  <si>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</si>
  <si>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</si>
  <si>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</si>
  <si>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</si>
  <si>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</si>
  <si>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</si>
  <si>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</si>
  <si>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</si>
  <si>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</si>
  <si>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</si>
  <si>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</si>
  <si>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</si>
  <si>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</si>
  <si>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</si>
  <si>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</si>
  <si>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</si>
  <si>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</si>
  <si>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</si>
  <si>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</si>
  <si>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</si>
  <si>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</si>
  <si>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</si>
  <si>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</si>
  <si>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</si>
  <si>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</si>
  <si>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</si>
  <si>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</si>
  <si>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</si>
  <si>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</si>
  <si>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</si>
  <si>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</si>
  <si>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</si>
  <si>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</si>
  <si>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</si>
  <si>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</si>
  <si>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</si>
  <si>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</si>
  <si>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</si>
  <si>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</si>
  <si>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</si>
  <si>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</si>
  <si>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</si>
  <si>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</si>
  <si>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</si>
  <si>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</si>
  <si>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</si>
  <si>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</si>
  <si>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</si>
  <si>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</si>
  <si>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</si>
  <si>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</si>
  <si>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</si>
  <si>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</si>
  <si>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</si>
  <si>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</si>
  <si>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</si>
  <si>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</si>
  <si>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</si>
  <si>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</si>
  <si>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</si>
  <si>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</si>
  <si>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</si>
  <si>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</si>
  <si>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</si>
  <si>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</si>
  <si>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</si>
  <si>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</si>
  <si>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</si>
  <si>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</si>
  <si>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</si>
  <si>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</si>
  <si>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</si>
  <si>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</si>
  <si>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</si>
  <si>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</si>
  <si>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</si>
  <si>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</si>
  <si>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</si>
  <si>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</si>
  <si>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</si>
  <si>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</si>
  <si>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</si>
  <si>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</si>
  <si>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</si>
  <si>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</si>
  <si>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</si>
  <si>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</si>
  <si>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</si>
  <si>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</si>
  <si>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</si>
  <si>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</si>
  <si>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</si>
  <si>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</si>
  <si>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</si>
  <si>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</si>
  <si>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</si>
  <si>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</si>
  <si>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</si>
  <si>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</si>
  <si>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</si>
  <si>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</si>
  <si>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</si>
  <si>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</si>
  <si>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</si>
  <si>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</si>
  <si>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</si>
  <si>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</si>
  <si>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</si>
  <si>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</si>
  <si>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</si>
  <si>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</si>
  <si>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</si>
  <si>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</si>
  <si>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</si>
  <si>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</si>
  <si>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</si>
  <si>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</si>
  <si>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</si>
  <si>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</si>
  <si>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</si>
  <si>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</si>
  <si>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</si>
  <si>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</si>
  <si>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</si>
  <si>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</si>
  <si>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</si>
  <si>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</si>
  <si>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</si>
  <si>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</si>
  <si>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</si>
  <si>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</si>
  <si>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</si>
  <si>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</si>
  <si>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</si>
  <si>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</si>
  <si>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</si>
  <si>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</si>
  <si>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</si>
  <si>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</si>
  <si>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</si>
  <si>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</si>
  <si>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</si>
  <si>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</si>
  <si>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</si>
  <si>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</si>
  <si>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</si>
  <si>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</si>
  <si>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</si>
  <si>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</si>
  <si>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</si>
  <si>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</si>
  <si>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</si>
  <si>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</si>
  <si>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</si>
  <si>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</si>
  <si>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</si>
  <si>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</si>
  <si>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</si>
  <si>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</si>
  <si>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</si>
  <si>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</si>
  <si>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</si>
  <si>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</si>
  <si>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</si>
  <si>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</si>
  <si>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</si>
  <si>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</si>
  <si>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</si>
  <si>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</si>
  <si>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</si>
  <si>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</si>
  <si>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</si>
  <si>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</si>
  <si>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</si>
  <si>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</si>
  <si>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</si>
  <si>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</si>
  <si>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</si>
  <si>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</si>
  <si>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</si>
  <si>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</si>
  <si>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</si>
  <si>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</si>
  <si>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</si>
  <si>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</si>
  <si>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</si>
  <si>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</si>
  <si>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</si>
  <si>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</si>
  <si>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</si>
  <si>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</si>
  <si>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</si>
  <si>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</si>
  <si>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</si>
  <si>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</si>
  <si>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</si>
  <si>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</si>
  <si>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</si>
  <si>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</si>
  <si>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</si>
  <si>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</si>
  <si>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</si>
  <si>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</si>
  <si>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</si>
  <si>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</si>
  <si>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</si>
  <si>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</si>
  <si>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</si>
  <si>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</si>
  <si>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</si>
  <si>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</si>
  <si>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</si>
  <si>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</si>
  <si>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</si>
  <si>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</si>
  <si>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</si>
  <si>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</si>
  <si>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</si>
  <si>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</si>
  <si>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</si>
  <si>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</si>
  <si>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</si>
  <si>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</si>
  <si>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</si>
  <si>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</si>
  <si>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</si>
  <si>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</si>
  <si>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</si>
  <si>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</si>
  <si>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</si>
  <si>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</si>
  <si>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</si>
  <si>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</si>
  <si>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</si>
  <si>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</si>
  <si>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</si>
  <si>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</si>
  <si>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</si>
  <si>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</si>
  <si>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</si>
  <si>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</si>
  <si>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</si>
  <si>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</si>
  <si>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</si>
  <si>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</si>
  <si>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</si>
  <si>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</si>
  <si>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</si>
  <si>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</si>
  <si>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</si>
  <si>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</si>
  <si>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</si>
  <si>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</si>
  <si>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</si>
  <si>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</si>
  <si>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</si>
  <si>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</si>
  <si>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</si>
  <si>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</si>
  <si>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</si>
  <si>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</si>
  <si>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</si>
  <si>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</si>
  <si>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</si>
  <si>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</si>
  <si>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</si>
  <si>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</si>
  <si>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</si>
  <si>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</si>
  <si>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</si>
  <si>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</si>
  <si>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</si>
  <si>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</si>
  <si>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</si>
  <si>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</si>
  <si>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</si>
  <si>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</si>
  <si>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</si>
  <si>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</si>
  <si>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</si>
  <si>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</si>
  <si>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</si>
  <si>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</si>
  <si>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</si>
  <si>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</si>
  <si>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</si>
  <si>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</si>
  <si>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</si>
  <si>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</si>
  <si>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</si>
  <si>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</si>
  <si>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</si>
  <si>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</si>
  <si>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</si>
  <si>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</si>
  <si>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</si>
  <si>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</si>
  <si>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</si>
  <si>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</si>
  <si>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</si>
  <si>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</si>
  <si>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</si>
  <si>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</si>
  <si>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</si>
  <si>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</si>
  <si>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</si>
  <si>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</si>
  <si>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</si>
  <si>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</si>
  <si>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</si>
  <si>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</si>
  <si>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</si>
  <si>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</si>
  <si>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</si>
  <si>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</si>
  <si>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</si>
  <si>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</si>
  <si>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</si>
  <si>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</si>
  <si>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</si>
  <si>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</si>
  <si>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</si>
  <si>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</si>
  <si>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</si>
  <si>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</si>
  <si>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</si>
  <si>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</si>
  <si>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</si>
  <si>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</si>
  <si>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</si>
  <si>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</si>
  <si>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</si>
  <si>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</si>
  <si>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</si>
  <si>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</si>
  <si>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</si>
  <si>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</si>
  <si>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</si>
  <si>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</si>
  <si>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</si>
  <si>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</si>
  <si>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</si>
  <si>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</si>
  <si>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</si>
  <si>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</si>
  <si>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</si>
  <si>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</si>
  <si>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</si>
  <si>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</si>
  <si>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</si>
  <si>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</si>
  <si>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</si>
  <si>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</si>
  <si>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</si>
  <si>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</si>
  <si>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</si>
  <si>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</si>
  <si>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</si>
  <si>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</si>
  <si>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</si>
  <si>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</si>
  <si>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</si>
  <si>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</si>
  <si>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</si>
  <si>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</si>
  <si>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</si>
  <si>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</si>
  <si>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</si>
  <si>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</si>
  <si>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</si>
  <si>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</si>
  <si>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</si>
  <si>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</si>
  <si>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</si>
  <si>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</si>
  <si>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</si>
  <si>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</si>
  <si>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</si>
  <si>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</si>
  <si>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</si>
  <si>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</si>
  <si>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</si>
  <si>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</si>
  <si>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</si>
  <si>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</si>
  <si>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</si>
  <si>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</si>
  <si>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</si>
  <si>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</si>
  <si>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</si>
  <si>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</si>
  <si>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</si>
  <si>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</si>
  <si>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</si>
  <si>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</si>
  <si>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</si>
  <si>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</si>
  <si>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</si>
  <si>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</si>
  <si>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</si>
  <si>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</si>
  <si>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</si>
  <si>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</si>
  <si>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</si>
  <si>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</si>
  <si>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</si>
  <si>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</si>
  <si>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</si>
  <si>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</si>
  <si>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</si>
  <si>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</si>
  <si>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</si>
  <si>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</si>
  <si>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</si>
  <si>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</si>
  <si>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</si>
  <si>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</si>
  <si>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</si>
  <si>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</si>
  <si>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</si>
  <si>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</si>
  <si>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</si>
  <si>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</si>
  <si>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</si>
  <si>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</si>
  <si>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</si>
  <si>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</si>
  <si>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</si>
  <si>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</si>
  <si>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</si>
  <si>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</si>
  <si>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</si>
  <si>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</si>
  <si>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</si>
  <si>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</si>
  <si>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</si>
  <si>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</si>
  <si>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</si>
  <si>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</si>
  <si>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</si>
  <si>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</si>
  <si>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</si>
  <si>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</si>
  <si>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</si>
  <si>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</si>
  <si>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</si>
  <si>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</si>
  <si>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</si>
  <si>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</si>
  <si>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</si>
  <si>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</si>
  <si>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</si>
  <si>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</si>
  <si>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</si>
  <si>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</si>
  <si>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</si>
  <si>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</si>
  <si>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</si>
  <si>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</si>
  <si>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</si>
  <si>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</si>
  <si>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</si>
  <si>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</si>
  <si>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</si>
  <si>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</si>
  <si>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</si>
  <si>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</si>
  <si>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</si>
  <si>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</si>
  <si>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</si>
  <si>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</si>
  <si>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</si>
  <si>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</si>
  <si>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</si>
  <si>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</si>
  <si>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</si>
  <si>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</si>
  <si>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</si>
  <si>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</si>
  <si>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</si>
  <si>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</si>
  <si>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</si>
  <si>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</si>
  <si>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</si>
  <si>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</si>
  <si>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</si>
  <si>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</si>
  <si>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</si>
  <si>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</si>
  <si>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</si>
  <si>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</si>
  <si>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</si>
  <si>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</si>
  <si>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</si>
  <si>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</si>
  <si>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</si>
  <si>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</si>
  <si>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</si>
  <si>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</si>
  <si>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</si>
  <si>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</si>
  <si>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</si>
  <si>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</si>
  <si>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</si>
  <si>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</si>
  <si>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</si>
  <si>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</si>
  <si>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</si>
  <si>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</si>
  <si>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</si>
  <si>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</si>
  <si>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</si>
  <si>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</si>
  <si>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</si>
  <si>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</si>
  <si>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</si>
  <si>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</si>
  <si>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</si>
  <si>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</si>
  <si>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</si>
  <si>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</si>
  <si>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</si>
  <si>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</si>
  <si>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</si>
  <si>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</si>
  <si>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</si>
  <si>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</si>
  <si>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</si>
  <si>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</si>
  <si>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</si>
  <si>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</si>
  <si>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</si>
  <si>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</si>
  <si>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</si>
  <si>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</si>
  <si>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</si>
  <si>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</si>
  <si>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</si>
  <si>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</si>
  <si>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</si>
  <si>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</si>
  <si>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</si>
  <si>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</si>
  <si>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</si>
  <si>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</si>
  <si>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</si>
  <si>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</si>
  <si>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</si>
  <si>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</si>
  <si>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</si>
  <si>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</si>
  <si>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</si>
  <si>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</si>
  <si>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</si>
  <si>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</si>
  <si>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</si>
  <si>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</si>
  <si>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</si>
  <si>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</si>
  <si>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</si>
  <si>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</si>
  <si>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</si>
  <si>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</si>
  <si>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</si>
  <si>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</si>
  <si>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</si>
  <si>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</si>
  <si>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</si>
  <si>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</si>
  <si>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</si>
  <si>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</si>
  <si>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</si>
  <si>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</si>
  <si>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</si>
  <si>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</si>
  <si>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</si>
  <si>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</si>
  <si>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</si>
  <si>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</si>
  <si>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</si>
  <si>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</si>
  <si>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</si>
  <si>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</si>
  <si>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</si>
  <si>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</si>
  <si>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</si>
  <si>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</si>
  <si>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</si>
  <si>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</si>
  <si>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</si>
  <si>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</si>
  <si>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</si>
  <si>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</si>
  <si>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</si>
  <si>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</si>
  <si>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</si>
  <si>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</si>
  <si>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</si>
  <si>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</si>
  <si>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</si>
  <si>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</si>
  <si>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</si>
  <si>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</si>
  <si>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</si>
  <si>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</si>
  <si>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</si>
  <si>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</si>
  <si>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</si>
  <si>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</si>
  <si>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</si>
  <si>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</si>
  <si>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</si>
  <si>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</si>
  <si>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</si>
  <si>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</si>
  <si>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</si>
  <si>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</si>
  <si>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</si>
  <si>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</si>
  <si>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</si>
  <si>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</si>
  <si>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</si>
  <si>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</si>
  <si>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</si>
  <si>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</si>
  <si>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</si>
  <si>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</si>
  <si>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</si>
  <si>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</si>
  <si>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</si>
  <si>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</si>
  <si>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</si>
  <si>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</si>
  <si>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</si>
  <si>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</si>
  <si>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</si>
  <si>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</si>
  <si>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</si>
  <si>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</si>
  <si>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</si>
  <si>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</si>
  <si>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</si>
  <si>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</si>
  <si>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</si>
  <si>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</si>
  <si>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</si>
  <si>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</si>
  <si>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</si>
  <si>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</si>
  <si>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</si>
  <si>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</si>
  <si>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</si>
  <si>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</si>
  <si>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</si>
  <si>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</si>
  <si>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</si>
  <si>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</si>
  <si>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</si>
  <si>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</si>
  <si>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</si>
  <si>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</si>
  <si>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</si>
  <si>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</si>
  <si>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</si>
  <si>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</si>
  <si>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</si>
  <si>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</si>
  <si>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</si>
  <si>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</si>
  <si>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</si>
  <si>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</si>
  <si>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</si>
  <si>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</si>
  <si>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</si>
  <si>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</si>
  <si>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</si>
  <si>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</si>
  <si>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</si>
  <si>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</si>
  <si>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</si>
  <si>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</si>
  <si>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</si>
  <si>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</si>
  <si>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</si>
  <si>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</si>
  <si>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</si>
  <si>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</si>
  <si>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</si>
  <si>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</si>
  <si>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</si>
  <si>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</si>
  <si>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</si>
  <si>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</si>
  <si>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</si>
  <si>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</si>
  <si>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</si>
  <si>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</si>
  <si>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</si>
  <si>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</si>
  <si>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</si>
  <si>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</si>
  <si>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</si>
  <si>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</si>
  <si>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</si>
  <si>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</si>
  <si>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</si>
  <si>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</si>
  <si>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</si>
  <si>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</si>
  <si>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</si>
  <si>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</si>
  <si>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</si>
  <si>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</si>
  <si>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</si>
  <si>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</si>
  <si>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</si>
  <si>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</si>
  <si>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</si>
  <si>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</si>
  <si>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</si>
  <si>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</si>
  <si>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</si>
  <si>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</si>
  <si>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</si>
  <si>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</si>
  <si>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</si>
  <si>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</si>
  <si>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</si>
  <si>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</si>
  <si>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</si>
  <si>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</si>
  <si>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</si>
  <si>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</si>
  <si>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</si>
  <si>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</si>
  <si>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</si>
  <si>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</si>
  <si>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</si>
  <si>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</si>
  <si>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</si>
  <si>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</si>
  <si>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</si>
  <si>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</si>
  <si>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</si>
  <si>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</si>
  <si>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</si>
  <si>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</si>
  <si>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</si>
  <si>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</si>
  <si>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</si>
  <si>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</si>
  <si>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</si>
  <si>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</si>
  <si>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</si>
  <si>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</si>
  <si>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</si>
  <si>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</si>
  <si>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</si>
  <si>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</si>
  <si>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</si>
  <si>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</si>
  <si>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</si>
  <si>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</si>
  <si>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</si>
  <si>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</si>
  <si>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</si>
  <si>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</si>
  <si>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</si>
  <si>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</si>
  <si>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</si>
  <si>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</si>
  <si>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</si>
  <si>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</si>
  <si>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</si>
  <si>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</si>
  <si>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</si>
  <si>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</si>
  <si>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</si>
  <si>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</si>
  <si>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</si>
  <si>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</si>
  <si>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</si>
  <si>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</si>
  <si>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</si>
  <si>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</si>
  <si>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</si>
  <si>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</si>
  <si>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</si>
  <si>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</si>
  <si>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</si>
  <si>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</si>
  <si>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</si>
  <si>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</si>
  <si>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</si>
  <si>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</si>
  <si>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</si>
  <si>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</si>
  <si>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</si>
  <si>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</si>
  <si>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</si>
  <si>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</si>
  <si>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</si>
  <si>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</si>
  <si>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</si>
  <si>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</si>
  <si>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</si>
  <si>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</si>
  <si>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</si>
  <si>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</si>
  <si>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</si>
  <si>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</si>
  <si>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</si>
  <si>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</si>
  <si>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</si>
  <si>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</si>
  <si>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</si>
  <si>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</si>
  <si>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</si>
  <si>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</si>
  <si>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</si>
  <si>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</si>
  <si>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</si>
  <si>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</si>
  <si>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</si>
  <si>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</si>
  <si>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</si>
  <si>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</si>
  <si>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</si>
  <si>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</si>
  <si>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</si>
  <si>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</si>
  <si>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</si>
  <si>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</si>
  <si>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</si>
  <si>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</si>
  <si>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</si>
  <si>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</si>
  <si>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</si>
  <si>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</si>
  <si>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</si>
  <si>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</si>
  <si>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</si>
  <si>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</si>
  <si>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</si>
  <si>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</si>
  <si>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</si>
  <si>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</si>
  <si>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</si>
  <si>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</si>
  <si>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</si>
  <si>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</si>
  <si>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</si>
  <si>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</si>
  <si>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</si>
  <si>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</si>
  <si>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</si>
  <si>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</si>
  <si>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</si>
  <si>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</si>
  <si>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</si>
  <si>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</si>
  <si>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</si>
  <si>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</si>
  <si>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</si>
  <si>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</si>
  <si>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</si>
  <si>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</si>
  <si>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</si>
  <si>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</si>
  <si>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</si>
  <si>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</si>
  <si>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</si>
  <si>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</si>
  <si>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</si>
  <si>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</si>
  <si>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</si>
  <si>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</si>
  <si>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</si>
  <si>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</si>
  <si>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</si>
  <si>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</si>
  <si>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</si>
  <si>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</si>
  <si>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</si>
  <si>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</si>
  <si>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</si>
  <si>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</si>
  <si>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</si>
  <si>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</si>
  <si>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</si>
  <si>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</si>
  <si>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</si>
  <si>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</si>
  <si>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</si>
  <si>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</si>
  <si>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</si>
  <si>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</si>
  <si>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</si>
  <si>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</si>
  <si>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</si>
  <si>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</si>
  <si>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</si>
  <si>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</si>
  <si>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</si>
  <si>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</si>
  <si>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</si>
  <si>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</si>
  <si>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</si>
  <si>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</si>
  <si>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</si>
  <si>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</si>
  <si>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</si>
  <si>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</si>
  <si>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</si>
  <si>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</si>
  <si>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</si>
  <si>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</si>
  <si>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</si>
  <si>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</si>
  <si>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</si>
  <si>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</si>
  <si>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</si>
  <si>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</si>
  <si>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</si>
  <si>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</si>
  <si>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</si>
  <si>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</si>
  <si>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</si>
  <si>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</si>
  <si>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</si>
  <si>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</si>
  <si>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</si>
  <si>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</si>
  <si>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</si>
  <si>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</si>
  <si>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</si>
  <si>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</si>
  <si>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</si>
  <si>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</si>
  <si>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</si>
  <si>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</si>
  <si>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</si>
  <si>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</si>
  <si>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</si>
  <si>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</si>
  <si>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</si>
  <si>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</si>
  <si>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</si>
  <si>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</si>
  <si>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</si>
  <si>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</si>
  <si>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</si>
  <si>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</si>
  <si>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</si>
  <si>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</si>
  <si>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</si>
  <si>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</si>
  <si>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</si>
  <si>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</si>
  <si>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</si>
  <si>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</si>
  <si>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</si>
  <si>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</si>
  <si>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</si>
  <si>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</si>
  <si>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</si>
  <si>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</si>
  <si>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</si>
  <si>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</si>
  <si>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</si>
  <si>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</si>
  <si>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</si>
  <si>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</si>
  <si>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</si>
  <si>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</si>
  <si>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</si>
  <si>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</si>
  <si>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</si>
  <si>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</si>
  <si>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</si>
  <si>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</si>
  <si>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</si>
  <si>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</si>
  <si>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</si>
  <si>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</si>
  <si>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</si>
  <si>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</si>
  <si>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</si>
  <si>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</si>
  <si>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</si>
  <si>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</si>
  <si>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</si>
  <si>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</si>
  <si>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</si>
  <si>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</si>
  <si>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</si>
  <si>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</si>
  <si>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</si>
  <si>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</si>
  <si>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</si>
  <si>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</si>
  <si>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</si>
  <si>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</si>
  <si>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</si>
  <si>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</si>
  <si>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</si>
  <si>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</si>
  <si>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</si>
  <si>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</si>
  <si>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</si>
  <si>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</si>
  <si>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</si>
  <si>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</si>
  <si>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</si>
  <si>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</si>
  <si>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</si>
  <si>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</si>
  <si>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</si>
  <si>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</si>
  <si>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</si>
  <si>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</si>
  <si>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</si>
  <si>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</si>
  <si>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</si>
  <si>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</si>
  <si>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</si>
  <si>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</si>
  <si>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</si>
  <si>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</si>
  <si>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</si>
  <si>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</si>
  <si>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</si>
  <si>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</si>
  <si>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</si>
  <si>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</si>
  <si>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</si>
  <si>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</si>
  <si>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</si>
  <si>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</si>
  <si>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</si>
  <si>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</si>
  <si>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</si>
  <si>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</si>
  <si>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</si>
  <si>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</si>
  <si>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</si>
  <si>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</si>
  <si>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</si>
  <si>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</si>
  <si>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</si>
  <si>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</si>
  <si>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</si>
  <si>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</si>
  <si>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</si>
  <si>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</si>
  <si>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</si>
  <si>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</si>
  <si>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</si>
  <si>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</si>
  <si>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</si>
  <si>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</si>
  <si>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</si>
  <si>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</si>
  <si>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</si>
  <si>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</si>
  <si>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</si>
  <si>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</si>
  <si>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</si>
  <si>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</si>
  <si>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</si>
  <si>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</si>
  <si>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</si>
  <si>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</si>
  <si>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</si>
  <si>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</si>
  <si>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</si>
  <si>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</si>
  <si>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</si>
  <si>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</si>
  <si>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</si>
  <si>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</si>
  <si>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</si>
  <si>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</si>
  <si>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</si>
  <si>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</si>
  <si>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</si>
  <si>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</si>
  <si>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</si>
  <si>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</si>
  <si>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</si>
  <si>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</si>
  <si>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</si>
  <si>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</si>
  <si>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</si>
  <si>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</si>
  <si>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</si>
  <si>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</si>
  <si>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</si>
  <si>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</si>
  <si>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</si>
  <si>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</si>
  <si>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</si>
  <si>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</si>
  <si>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</si>
  <si>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</si>
  <si>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</si>
  <si>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</si>
  <si>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</si>
  <si>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</si>
  <si>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</si>
  <si>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</si>
  <si>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</si>
  <si>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</si>
  <si>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</si>
  <si>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</si>
  <si>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</si>
  <si>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</si>
  <si>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</si>
  <si>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</si>
  <si>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</si>
  <si>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</si>
  <si>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</si>
  <si>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</si>
  <si>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</si>
  <si>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</si>
  <si>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</si>
  <si>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</si>
  <si>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</si>
  <si>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</si>
  <si>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</si>
  <si>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</si>
  <si>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</si>
  <si>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</si>
  <si>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</si>
  <si>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</si>
  <si>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</si>
  <si>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</si>
  <si>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</si>
  <si>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</si>
  <si>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</si>
  <si>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</si>
  <si>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</si>
  <si>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</si>
  <si>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</si>
  <si>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</si>
  <si>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</si>
  <si>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</si>
  <si>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</si>
  <si>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</si>
  <si>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</si>
  <si>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</si>
  <si>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</si>
  <si>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</si>
  <si>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</si>
  <si>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</si>
  <si>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</si>
  <si>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</si>
  <si>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</si>
  <si>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</si>
  <si>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</si>
  <si>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</si>
  <si>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</si>
  <si>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</si>
  <si>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</si>
  <si>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</si>
  <si>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</si>
  <si>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</si>
  <si>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</si>
  <si>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</si>
  <si>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</si>
  <si>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</si>
  <si>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</si>
  <si>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</si>
  <si>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</si>
  <si>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</si>
  <si>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</si>
  <si>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</si>
  <si>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</si>
  <si>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</si>
  <si>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</si>
  <si>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</si>
  <si>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</si>
  <si>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</si>
  <si>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</si>
  <si>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</si>
  <si>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</si>
  <si>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</si>
  <si>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</si>
  <si>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</si>
  <si>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</si>
  <si>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</si>
  <si>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</si>
  <si>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</si>
  <si>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</si>
  <si>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</si>
  <si>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</si>
  <si>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</si>
  <si>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</si>
  <si>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</si>
  <si>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</si>
  <si>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</si>
  <si>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</si>
  <si>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</si>
  <si>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</si>
  <si>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</si>
  <si>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</si>
  <si>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</si>
  <si>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</si>
  <si>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</si>
  <si>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</si>
  <si>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</si>
  <si>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</si>
  <si>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</si>
  <si>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</si>
  <si>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</si>
  <si>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</si>
  <si>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</si>
  <si>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</si>
  <si>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</si>
  <si>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</si>
  <si>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</si>
  <si>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</si>
  <si>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</si>
  <si>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</si>
  <si>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</si>
  <si>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</si>
  <si>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</si>
  <si>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</si>
  <si>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</si>
  <si>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</si>
  <si>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</si>
  <si>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</si>
  <si>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</si>
  <si>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</si>
  <si>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</si>
  <si>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</si>
  <si>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</si>
  <si>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</si>
  <si>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</si>
  <si>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</si>
  <si>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</si>
  <si>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</si>
  <si>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</si>
  <si>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</si>
  <si>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</si>
  <si>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</si>
  <si>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</si>
  <si>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</si>
  <si>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</si>
  <si>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</si>
  <si>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</si>
  <si>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</si>
  <si>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</si>
  <si>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</si>
  <si>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</si>
  <si>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</si>
  <si>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</si>
  <si>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</si>
  <si>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</si>
  <si>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</si>
  <si>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</si>
  <si>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</si>
  <si>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</si>
  <si>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</si>
  <si>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</si>
  <si>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</si>
  <si>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</si>
  <si>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</si>
  <si>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</si>
  <si>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</si>
  <si>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</si>
  <si>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</si>
  <si>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</si>
  <si>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</si>
  <si>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</si>
  <si>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</si>
  <si>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</si>
  <si>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</si>
  <si>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</si>
  <si>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</si>
  <si>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</si>
  <si>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</si>
  <si>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</si>
  <si>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</si>
  <si>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</si>
  <si>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</si>
  <si>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</si>
  <si>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</si>
  <si>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</si>
  <si>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</si>
  <si>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</si>
  <si>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</si>
  <si>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</si>
  <si>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</si>
  <si>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</si>
  <si>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</si>
  <si>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</si>
  <si>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</si>
  <si>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</si>
  <si>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</si>
  <si>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</si>
  <si>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</si>
  <si>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</si>
  <si>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</si>
  <si>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</si>
  <si>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</si>
  <si>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</si>
  <si>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</si>
  <si>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</si>
  <si>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</si>
  <si>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</si>
  <si>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</si>
  <si>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</si>
  <si>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</si>
  <si>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</si>
  <si>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</si>
  <si>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</si>
  <si>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</si>
  <si>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</si>
  <si>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</si>
  <si>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</si>
  <si>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</si>
  <si>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</si>
  <si>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</si>
  <si>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</si>
  <si>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</si>
  <si>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</si>
  <si>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</si>
  <si>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</si>
  <si>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</si>
  <si>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</si>
  <si>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</si>
  <si>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</si>
  <si>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</si>
  <si>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</si>
  <si>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</si>
  <si>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</si>
  <si>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</si>
  <si>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</si>
  <si>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</si>
  <si>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</si>
  <si>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</si>
  <si>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</si>
  <si>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</si>
  <si>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</si>
  <si>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</si>
  <si>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</si>
  <si>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</si>
  <si>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</si>
  <si>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</si>
  <si>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</si>
  <si>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</si>
  <si>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</si>
  <si>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</si>
  <si>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</si>
  <si>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</si>
  <si>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</si>
  <si>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</si>
  <si>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</si>
  <si>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</si>
  <si>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</si>
  <si>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</si>
  <si>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</si>
  <si>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</si>
  <si>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</si>
  <si>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</si>
  <si>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</si>
  <si>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</si>
  <si>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</si>
  <si>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</si>
  <si>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</si>
  <si>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</si>
  <si>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</si>
  <si>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</si>
  <si>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</si>
  <si>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</si>
  <si>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</si>
  <si>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</si>
  <si>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</si>
  <si>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</si>
  <si>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</si>
  <si>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</si>
  <si>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</si>
  <si>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</si>
  <si>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</si>
  <si>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</si>
  <si>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</si>
  <si>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</si>
  <si>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</si>
  <si>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</si>
  <si>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</si>
  <si>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</si>
  <si>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</si>
  <si>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</si>
  <si>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</si>
  <si>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</si>
  <si>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</si>
  <si>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</si>
  <si>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</si>
  <si>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</si>
  <si>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</si>
  <si>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</si>
  <si>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</si>
  <si>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</si>
  <si>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</si>
  <si>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</si>
  <si>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</si>
  <si>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</si>
  <si>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</si>
  <si>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</si>
  <si>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</si>
  <si>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</si>
  <si>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</si>
  <si>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</si>
  <si>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</si>
  <si>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</si>
  <si>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</si>
  <si>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</si>
  <si>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</si>
  <si>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</si>
  <si>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</si>
  <si>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</si>
  <si>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</si>
  <si>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</si>
  <si>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</si>
  <si>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</si>
  <si>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</si>
  <si>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</si>
  <si>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</si>
  <si>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</si>
  <si>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</si>
  <si>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</si>
  <si>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</si>
  <si>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</si>
  <si>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</si>
  <si>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</si>
  <si>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</si>
  <si>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</si>
  <si>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</si>
  <si>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</si>
  <si>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</si>
  <si>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</si>
  <si>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</si>
  <si>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</si>
  <si>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</si>
  <si>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</si>
  <si>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</si>
  <si>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</si>
  <si>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</si>
  <si>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</si>
  <si>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</si>
  <si>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</si>
  <si>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</si>
  <si>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</si>
  <si>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</si>
  <si>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</si>
  <si>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</si>
  <si>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</si>
  <si>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</si>
  <si>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</si>
  <si>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</si>
  <si>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</si>
  <si>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</si>
  <si>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</si>
  <si>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</si>
  <si>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</si>
  <si>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</si>
  <si>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</si>
  <si>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</si>
  <si>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</si>
  <si>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</si>
  <si>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</si>
  <si>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</si>
  <si>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</si>
  <si>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</si>
  <si>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</si>
  <si>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</si>
  <si>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</si>
  <si>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</si>
  <si>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</si>
  <si>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</si>
  <si>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</si>
  <si>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</si>
  <si>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</si>
  <si>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</si>
  <si>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</si>
  <si>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</si>
  <si>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</si>
  <si>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</si>
  <si>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</si>
  <si>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</si>
  <si>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</si>
  <si>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</si>
  <si>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</si>
  <si>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</si>
  <si>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</si>
  <si>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</si>
  <si>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</si>
  <si>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</si>
  <si>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</si>
  <si>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</si>
  <si>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</si>
  <si>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</si>
  <si>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</si>
  <si>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</si>
  <si>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</si>
  <si>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</si>
  <si>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</si>
  <si>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</si>
  <si>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</si>
  <si>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</si>
  <si>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</si>
  <si>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</si>
  <si>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</si>
  <si>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</si>
  <si>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</si>
  <si>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</si>
  <si>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</si>
  <si>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</si>
  <si>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</si>
  <si>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</si>
  <si>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</si>
  <si>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</si>
  <si>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</si>
  <si>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</si>
  <si>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</si>
  <si>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</si>
  <si>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</si>
  <si>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</si>
  <si>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</si>
  <si>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</si>
  <si>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</si>
  <si>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</si>
  <si>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</si>
  <si>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</si>
  <si>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</si>
  <si>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</si>
  <si>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</si>
  <si>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</si>
  <si>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</si>
  <si>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</si>
  <si>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</si>
  <si>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</si>
  <si>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</si>
  <si>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</si>
  <si>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</si>
  <si>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</si>
  <si>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</si>
  <si>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</si>
  <si>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</si>
  <si>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</si>
  <si>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</si>
  <si>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</si>
  <si>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</si>
  <si>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</si>
  <si>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</si>
  <si>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</si>
  <si>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</si>
  <si>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</si>
  <si>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</si>
  <si>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</si>
  <si>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</si>
  <si>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</si>
  <si>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</si>
  <si>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</si>
  <si>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</si>
  <si>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</si>
  <si>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</si>
  <si>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</si>
  <si>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</si>
  <si>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</si>
  <si>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</si>
  <si>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</si>
  <si>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</si>
  <si>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</si>
  <si>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</si>
  <si>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</si>
  <si>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</si>
  <si>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</si>
  <si>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</si>
  <si>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</si>
  <si>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</si>
  <si>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</si>
  <si>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</si>
  <si>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</si>
  <si>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</si>
  <si>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</si>
  <si>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</si>
  <si>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</si>
  <si>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</si>
  <si>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</si>
  <si>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</si>
  <si>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</si>
  <si>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</si>
  <si>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</si>
  <si>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</si>
  <si>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</si>
  <si>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</si>
  <si>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</si>
  <si>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</si>
  <si>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</si>
  <si>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</si>
  <si>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</si>
  <si>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</si>
  <si>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</si>
  <si>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</si>
  <si>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</si>
  <si>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</si>
  <si>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</si>
  <si>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</si>
  <si>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</si>
  <si>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</si>
  <si>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</si>
  <si>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</si>
  <si>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</si>
  <si>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</si>
  <si>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</si>
  <si>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</si>
  <si>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</si>
  <si>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</si>
  <si>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</si>
  <si>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</si>
  <si>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</si>
  <si>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</si>
  <si>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</si>
  <si>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</si>
  <si>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</si>
  <si>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</si>
  <si>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</si>
  <si>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</si>
  <si>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</si>
  <si>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</si>
  <si>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</si>
  <si>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</si>
  <si>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</si>
  <si>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</si>
  <si>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</si>
  <si>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</si>
  <si>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</si>
  <si>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</si>
  <si>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</si>
  <si>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</si>
  <si>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</si>
  <si>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</si>
  <si>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</si>
  <si>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</si>
  <si>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</si>
  <si>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</si>
  <si>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</si>
  <si>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</si>
  <si>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</si>
  <si>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</si>
  <si>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</si>
  <si>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</si>
  <si>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</si>
  <si>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</si>
  <si>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</si>
  <si>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</si>
  <si>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</si>
  <si>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</si>
  <si>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</si>
  <si>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</si>
  <si>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</si>
  <si>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</si>
  <si>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</si>
  <si>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</si>
  <si>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</si>
  <si>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</si>
  <si>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</si>
  <si>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</si>
  <si>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</si>
  <si>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</si>
  <si>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</si>
  <si>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</si>
  <si>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</si>
  <si>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</si>
  <si>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</si>
  <si>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</si>
  <si>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</si>
  <si>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</si>
  <si>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</si>
  <si>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</si>
  <si>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</si>
  <si>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</si>
  <si>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</si>
  <si>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</si>
  <si>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</si>
  <si>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</si>
  <si>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</si>
  <si>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</si>
  <si>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</si>
  <si>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</si>
  <si>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</si>
  <si>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</si>
  <si>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</si>
  <si>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</si>
  <si>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</si>
  <si>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</si>
  <si>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</si>
  <si>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</si>
  <si>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</si>
  <si>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</si>
  <si>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</si>
  <si>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</si>
  <si>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</si>
  <si>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</si>
  <si>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</si>
  <si>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</si>
  <si>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</si>
  <si>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</si>
  <si>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</si>
  <si>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</si>
  <si>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</si>
  <si>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</si>
  <si>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</si>
  <si>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</si>
  <si>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</si>
  <si>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</si>
  <si>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</si>
  <si>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</si>
  <si>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</si>
  <si>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</si>
  <si>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</si>
  <si>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</si>
  <si>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</si>
  <si>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</si>
  <si>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</si>
  <si>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</si>
  <si>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</si>
  <si>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</si>
  <si>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</si>
  <si>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</si>
  <si>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</si>
  <si>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</si>
  <si>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</si>
  <si>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</si>
  <si>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</si>
  <si>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</si>
  <si>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</si>
  <si>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</si>
  <si>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</si>
  <si>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</si>
  <si>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</si>
  <si>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</si>
  <si>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</si>
  <si>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</si>
  <si>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</si>
  <si>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</si>
  <si>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</si>
  <si>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</si>
  <si>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</si>
  <si>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</si>
  <si>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</si>
  <si>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</si>
  <si>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</si>
  <si>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</si>
  <si>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</si>
  <si>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</si>
  <si>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</si>
  <si>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</si>
  <si>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</si>
  <si>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</si>
  <si>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</si>
  <si>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</si>
  <si>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</si>
  <si>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</si>
  <si>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</si>
  <si>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</si>
  <si>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</si>
  <si>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</si>
  <si>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</si>
  <si>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</si>
  <si>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</si>
  <si>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</si>
  <si>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</si>
  <si>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</si>
  <si>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</si>
  <si>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</si>
  <si>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</si>
  <si>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</si>
  <si>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</si>
  <si>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</si>
  <si>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</si>
  <si>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</si>
  <si>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</si>
  <si>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</si>
  <si>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</si>
  <si>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</si>
  <si>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</si>
  <si>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</si>
  <si>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</si>
  <si>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</si>
  <si>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</si>
  <si>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</si>
  <si>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</si>
  <si>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</si>
  <si>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</si>
  <si>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</si>
  <si>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</si>
  <si>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</si>
  <si>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</si>
  <si>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</si>
  <si>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</si>
  <si>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</si>
  <si>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</si>
  <si>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</si>
  <si>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</si>
  <si>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</si>
  <si>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</si>
  <si>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</si>
  <si>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</si>
  <si>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</si>
  <si>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</si>
  <si>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</si>
  <si>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</si>
  <si>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</si>
  <si>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</si>
  <si>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</si>
  <si>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</si>
  <si>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</si>
  <si>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</si>
  <si>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</si>
  <si>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</si>
  <si>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</si>
  <si>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</si>
  <si>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</si>
  <si>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</si>
  <si>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</si>
  <si>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</si>
  <si>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</si>
  <si>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</si>
  <si>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</si>
  <si>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</si>
  <si>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</si>
  <si>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</si>
  <si>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</si>
  <si>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</si>
  <si>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</si>
  <si>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</si>
  <si>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</si>
  <si>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</si>
  <si>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</si>
  <si>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</si>
  <si>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</si>
  <si>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</si>
  <si>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</si>
  <si>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</si>
  <si>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</si>
  <si>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</si>
  <si>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</si>
  <si>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</si>
  <si>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</si>
  <si>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</si>
  <si>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</si>
  <si>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</si>
  <si>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</si>
  <si>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</si>
  <si>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</si>
  <si>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</si>
  <si>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</si>
  <si>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</si>
  <si>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</si>
  <si>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</si>
  <si>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</si>
  <si>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</si>
  <si>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</si>
  <si>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</si>
  <si>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</si>
  <si>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</si>
  <si>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</si>
  <si>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</si>
  <si>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</si>
  <si>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</si>
  <si>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</si>
  <si>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</si>
  <si>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</si>
  <si>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</si>
  <si>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</si>
  <si>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</si>
  <si>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</si>
  <si>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</si>
  <si>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</si>
  <si>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</si>
  <si>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</si>
  <si>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</si>
  <si>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</si>
  <si>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</si>
  <si>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</si>
  <si>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</si>
  <si>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</si>
  <si>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</si>
  <si>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</si>
  <si>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</si>
  <si>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</si>
  <si>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</si>
  <si>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</si>
  <si>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</si>
  <si>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</si>
  <si>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</si>
  <si>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</si>
  <si>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</si>
  <si>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</si>
  <si>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</si>
  <si>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</si>
  <si>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</si>
  <si>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</si>
  <si>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</si>
  <si>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</si>
  <si>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</si>
  <si>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</si>
  <si>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</si>
  <si>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</si>
  <si>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</si>
  <si>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</si>
  <si>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</si>
  <si>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</si>
  <si>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</si>
  <si>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</si>
  <si>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</si>
  <si>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</si>
  <si>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</si>
  <si>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</si>
  <si>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</si>
  <si>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</si>
  <si>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</si>
  <si>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</si>
  <si>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</si>
  <si>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</si>
  <si>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</si>
  <si>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</si>
  <si>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</si>
  <si>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</si>
  <si>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</si>
  <si>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</si>
  <si>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</si>
  <si>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</si>
  <si>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</si>
  <si>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</si>
  <si>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</si>
  <si>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</si>
  <si>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</si>
  <si>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</si>
  <si>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</si>
  <si>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</si>
  <si>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</si>
  <si>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</si>
  <si>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</si>
  <si>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</si>
  <si>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</si>
  <si>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</si>
  <si>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</si>
  <si>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</si>
  <si>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</si>
  <si>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</si>
  <si>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</si>
  <si>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</si>
  <si>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</si>
  <si>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</si>
  <si>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</si>
  <si>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</si>
  <si>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</si>
  <si>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</si>
  <si>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</si>
  <si>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</si>
  <si>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</si>
  <si>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</si>
  <si>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</si>
  <si>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</si>
  <si>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</si>
  <si>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</si>
  <si>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</si>
  <si>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</si>
  <si>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</si>
  <si>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</si>
  <si>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</si>
  <si>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</si>
  <si>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</si>
  <si>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</si>
  <si>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</si>
  <si>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</si>
  <si>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</si>
  <si>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</si>
  <si>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</si>
  <si>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</si>
  <si>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</si>
  <si>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</si>
  <si>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</si>
  <si>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</si>
  <si>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</si>
  <si>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</si>
  <si>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</si>
  <si>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</si>
  <si>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</si>
  <si>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</si>
  <si>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</si>
  <si>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</si>
  <si>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</si>
  <si>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</si>
  <si>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</si>
  <si>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</si>
  <si>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</si>
  <si>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</si>
  <si>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</si>
  <si>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</si>
  <si>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</si>
  <si>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</si>
  <si>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</si>
  <si>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</si>
  <si>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</si>
  <si>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</si>
  <si>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</si>
  <si>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</si>
  <si>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</si>
  <si>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</si>
  <si>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</si>
  <si>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</si>
  <si>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</si>
  <si>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</si>
  <si>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</si>
  <si>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</si>
  <si>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</si>
  <si>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</si>
  <si>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</si>
  <si>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</si>
  <si>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</si>
  <si>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</si>
  <si>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</si>
  <si>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</si>
  <si>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</si>
  <si>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</si>
  <si>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</si>
  <si>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</si>
  <si>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</si>
  <si>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</si>
  <si>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</si>
  <si>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</si>
  <si>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</si>
  <si>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</si>
  <si>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</si>
  <si>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</si>
  <si>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</si>
  <si>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</si>
  <si>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</si>
  <si>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</si>
  <si>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</si>
  <si>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</si>
  <si>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</si>
  <si>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</si>
  <si>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</si>
  <si>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</si>
  <si>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</si>
  <si>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</si>
  <si>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</si>
  <si>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</si>
  <si>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</si>
  <si>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</si>
  <si>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</si>
  <si>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</si>
  <si>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</si>
  <si>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</si>
  <si>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</si>
  <si>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</si>
  <si>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</si>
  <si>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</si>
  <si>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</si>
  <si>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</si>
  <si>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</si>
  <si>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</si>
  <si>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</si>
  <si>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</si>
  <si>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</si>
  <si>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</si>
  <si>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</si>
  <si>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</si>
  <si>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</si>
  <si>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</si>
  <si>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</si>
  <si>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</si>
  <si>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</si>
  <si>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</si>
  <si>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</si>
  <si>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</si>
  <si>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</si>
  <si>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</si>
  <si>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</si>
  <si>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</si>
  <si>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</si>
  <si>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</si>
  <si>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</si>
  <si>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</si>
  <si>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</si>
  <si>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</si>
  <si>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</si>
  <si>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</si>
  <si>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</si>
  <si>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</si>
  <si>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</si>
  <si>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</si>
  <si>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</si>
  <si>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</si>
  <si>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</si>
  <si>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</si>
  <si>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</si>
  <si>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</si>
  <si>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</si>
  <si>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</si>
  <si>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</si>
  <si>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</si>
  <si>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</si>
  <si>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</si>
  <si>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</si>
  <si>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</si>
  <si>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</si>
  <si>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</si>
  <si>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</si>
  <si>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</si>
  <si>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</si>
  <si>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</si>
  <si>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</si>
  <si>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</si>
  <si>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</si>
  <si>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</si>
  <si>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</si>
  <si>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</si>
  <si>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</si>
  <si>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</si>
  <si>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</si>
  <si>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</si>
  <si>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</si>
  <si>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</si>
  <si>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</si>
  <si>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</si>
  <si>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</si>
  <si>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</si>
  <si>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</si>
  <si>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</si>
  <si>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</si>
  <si>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</si>
  <si>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</si>
  <si>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</si>
  <si>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</si>
  <si>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</si>
  <si>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</si>
  <si>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</si>
  <si>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</si>
  <si>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</si>
  <si>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</si>
  <si>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</si>
  <si>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</si>
  <si>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</si>
  <si>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</si>
  <si>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</si>
  <si>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</si>
  <si>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</si>
  <si>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</si>
  <si>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</si>
  <si>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</si>
  <si>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</si>
  <si>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</si>
  <si>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</si>
  <si>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</si>
  <si>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</si>
  <si>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</si>
  <si>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</si>
  <si>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</si>
  <si>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</si>
  <si>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</si>
  <si>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</si>
  <si>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</si>
  <si>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</si>
  <si>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</si>
  <si>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</si>
  <si>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</si>
  <si>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</si>
  <si>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</si>
  <si>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</si>
  <si>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</si>
  <si>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</si>
  <si>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</si>
  <si>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</si>
  <si>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</si>
  <si>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</si>
  <si>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</si>
  <si>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</si>
  <si>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</si>
  <si>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</si>
  <si>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</si>
  <si>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</si>
  <si>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</si>
  <si>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</si>
  <si>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</si>
  <si>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</si>
  <si>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</si>
  <si>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</si>
  <si>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</si>
  <si>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</si>
  <si>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</si>
  <si>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</si>
  <si>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</si>
  <si>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</si>
  <si>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</si>
  <si>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</si>
  <si>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</si>
  <si>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</si>
  <si>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</si>
  <si>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</si>
  <si>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</si>
  <si>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</si>
  <si>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</si>
  <si>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</si>
  <si>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</si>
  <si>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</si>
  <si>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</si>
  <si>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</si>
  <si>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</si>
  <si>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</si>
  <si>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</si>
  <si>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</si>
  <si>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</si>
  <si>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</si>
  <si>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</si>
  <si>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</si>
  <si>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</si>
  <si>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</si>
  <si>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</si>
  <si>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</si>
  <si>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</si>
  <si>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</si>
  <si>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</si>
  <si>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</si>
  <si>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</si>
  <si>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</si>
  <si>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</si>
  <si>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</si>
  <si>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</si>
  <si>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</si>
  <si>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</si>
  <si>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</si>
  <si>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</si>
  <si>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</si>
  <si>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</si>
  <si>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</si>
  <si>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</si>
  <si>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</si>
  <si>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</si>
  <si>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</si>
  <si>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</si>
  <si>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</si>
  <si>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</si>
  <si>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</si>
  <si>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</si>
  <si>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</si>
  <si>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</si>
  <si>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</si>
  <si>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</si>
  <si>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</si>
  <si>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</si>
  <si>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</si>
  <si>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</si>
  <si>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</si>
  <si>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</si>
  <si>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</si>
  <si>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</si>
  <si>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</si>
  <si>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</si>
  <si>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</si>
  <si>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</si>
  <si>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</si>
  <si>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</si>
  <si>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</si>
  <si>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</si>
  <si>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</si>
  <si>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</si>
  <si>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</si>
  <si>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</si>
  <si>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</si>
  <si>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</si>
  <si>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</si>
  <si>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</si>
  <si>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</si>
  <si>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</si>
  <si>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</si>
  <si>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</si>
  <si>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</si>
  <si>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</si>
  <si>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</si>
  <si>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</si>
  <si>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</si>
  <si>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</si>
  <si>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</si>
  <si>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</si>
  <si>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</si>
  <si>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</si>
  <si>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</si>
  <si>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</si>
  <si>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</si>
  <si>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</si>
  <si>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</si>
  <si>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</si>
  <si>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</si>
  <si>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</si>
  <si>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</si>
  <si>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</si>
  <si>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</si>
  <si>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</si>
  <si>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</si>
  <si>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</si>
  <si>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</si>
  <si>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</si>
  <si>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</si>
  <si>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</si>
  <si>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</si>
  <si>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</si>
  <si>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</si>
  <si>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</si>
  <si>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</si>
  <si>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</si>
  <si>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</si>
  <si>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</si>
  <si>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</si>
  <si>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</si>
  <si>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</si>
  <si>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</si>
  <si>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</si>
  <si>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</si>
  <si>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</si>
  <si>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</si>
  <si>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</si>
  <si>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</si>
  <si>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</si>
  <si>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</si>
  <si>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</si>
  <si>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</si>
  <si>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</si>
  <si>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</si>
  <si>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</si>
  <si>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</si>
  <si>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</si>
  <si>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</si>
  <si>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</si>
  <si>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</si>
  <si>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</si>
  <si>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</si>
  <si>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</si>
  <si>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</si>
  <si>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</si>
  <si>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</si>
  <si>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</si>
  <si>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</si>
  <si>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</si>
  <si>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</si>
  <si>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</si>
  <si>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</si>
  <si>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</si>
  <si>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</si>
  <si>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</si>
  <si>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</si>
  <si>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</si>
  <si>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</si>
  <si>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</si>
  <si>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</si>
  <si>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</si>
  <si>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</si>
  <si>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</si>
  <si>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</si>
  <si>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</si>
  <si>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</si>
  <si>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</si>
  <si>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</si>
  <si>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</si>
  <si>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</si>
  <si>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</si>
  <si>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</si>
  <si>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</si>
  <si>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</si>
  <si>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</si>
  <si>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</si>
  <si>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</si>
  <si>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</si>
  <si>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</si>
  <si>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</si>
  <si>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</si>
  <si>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</si>
  <si>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</si>
  <si>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</si>
  <si>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</si>
  <si>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</si>
  <si>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</si>
  <si>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</si>
  <si>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</si>
  <si>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</si>
  <si>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</si>
  <si>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</si>
  <si>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</si>
  <si>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</si>
  <si>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</si>
  <si>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</si>
  <si>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</si>
  <si>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</si>
  <si>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</si>
  <si>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</si>
  <si>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</si>
  <si>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</si>
  <si>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</si>
  <si>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</si>
  <si>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</si>
  <si>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</si>
  <si>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</si>
  <si>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</si>
  <si>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</si>
  <si>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</si>
  <si>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</si>
  <si>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</si>
  <si>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</si>
  <si>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</si>
  <si>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</si>
  <si>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</si>
  <si>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</si>
  <si>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</si>
  <si>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</si>
  <si>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</si>
  <si>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</si>
  <si>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</si>
  <si>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</si>
  <si>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</si>
  <si>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</si>
  <si>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</si>
  <si>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</si>
  <si>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</si>
  <si>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</si>
  <si>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</si>
  <si>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</si>
  <si>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</si>
  <si>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</si>
  <si>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</si>
  <si>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</si>
  <si>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</si>
  <si>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</si>
  <si>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</si>
  <si>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</si>
  <si>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</si>
  <si>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</si>
  <si>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</si>
  <si>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</si>
  <si>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</si>
  <si>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</si>
  <si>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</si>
  <si>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</si>
  <si>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</si>
  <si>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</si>
  <si>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</si>
  <si>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</si>
  <si>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</si>
  <si>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</si>
  <si>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</si>
  <si>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</si>
  <si>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</si>
  <si>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</si>
  <si>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</si>
  <si>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</si>
  <si>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</si>
  <si>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</si>
  <si>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</si>
  <si>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</si>
  <si>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</si>
  <si>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</si>
  <si>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</si>
  <si>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</si>
  <si>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</si>
  <si>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</si>
  <si>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</si>
  <si>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</si>
  <si>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</si>
  <si>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</si>
  <si>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</si>
  <si>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</si>
  <si>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</si>
  <si>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</si>
  <si>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</si>
  <si>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</si>
  <si>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</si>
  <si>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</si>
  <si>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</si>
  <si>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</si>
  <si>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</si>
  <si>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</si>
  <si>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</si>
  <si>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</si>
  <si>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</si>
  <si>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</si>
  <si>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</si>
  <si>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</si>
  <si>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</si>
  <si>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</si>
  <si>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</si>
  <si>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</si>
  <si>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</si>
  <si>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</si>
  <si>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</si>
  <si>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</si>
  <si>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</si>
  <si>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</si>
  <si>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</si>
  <si>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</si>
  <si>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</si>
  <si>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</si>
  <si>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</si>
  <si>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</si>
  <si>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</si>
  <si>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</si>
  <si>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</si>
  <si>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</si>
  <si>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</si>
  <si>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</si>
  <si>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</si>
  <si>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</si>
  <si>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</si>
  <si>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</si>
  <si>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</si>
  <si>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</si>
  <si>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</si>
  <si>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</si>
  <si>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</si>
  <si>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</si>
  <si>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</si>
  <si>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</si>
  <si>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</si>
  <si>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</si>
  <si>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</si>
  <si>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</si>
  <si>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</si>
  <si>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</si>
  <si>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</si>
  <si>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</si>
  <si>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</si>
  <si>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</si>
  <si>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</si>
  <si>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</si>
  <si>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</si>
  <si>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</si>
  <si>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</si>
  <si>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</si>
  <si>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</si>
  <si>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</si>
  <si>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</si>
  <si>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</si>
  <si>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</si>
  <si>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</si>
  <si>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</si>
  <si>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</si>
  <si>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</si>
  <si>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</si>
  <si>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</si>
  <si>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</si>
  <si>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</si>
  <si>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</si>
  <si>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</si>
  <si>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</si>
  <si>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</si>
  <si>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</si>
  <si>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</si>
  <si>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</si>
  <si>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</si>
  <si>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</si>
  <si>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</si>
  <si>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</si>
  <si>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</si>
  <si>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</si>
  <si>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</si>
  <si>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</si>
  <si>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</si>
  <si>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</si>
  <si>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</si>
  <si>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</si>
  <si>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</si>
  <si>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</si>
  <si>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</si>
  <si>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</si>
  <si>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</si>
  <si>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</si>
  <si>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</si>
  <si>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</si>
  <si>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</si>
  <si>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</si>
  <si>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</si>
  <si>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</si>
  <si>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</si>
  <si>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</si>
  <si>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</si>
  <si>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</si>
  <si>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</si>
  <si>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</si>
  <si>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</si>
  <si>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</si>
  <si>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</si>
  <si>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</si>
  <si>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</si>
  <si>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</si>
  <si>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</si>
  <si>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</si>
  <si>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</si>
  <si>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</si>
  <si>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</si>
  <si>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</si>
  <si>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</si>
  <si>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</si>
  <si>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</si>
  <si>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</si>
  <si>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</si>
  <si>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</si>
  <si>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</si>
  <si>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</si>
  <si>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</si>
  <si>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</si>
  <si>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</si>
  <si>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</si>
  <si>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</si>
  <si>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</si>
  <si>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</si>
  <si>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</si>
  <si>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</si>
  <si>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</si>
  <si>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</si>
  <si>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</si>
  <si>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</si>
  <si>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</si>
  <si>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</si>
  <si>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</si>
  <si>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</si>
  <si>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</si>
  <si>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</si>
  <si>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</si>
  <si>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</si>
  <si>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</si>
  <si>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</si>
  <si>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</si>
  <si>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</si>
  <si>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</si>
  <si>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</si>
  <si>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</si>
  <si>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</si>
  <si>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</si>
  <si>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</si>
  <si>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</si>
  <si>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</si>
  <si>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</si>
  <si>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</si>
  <si>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</si>
  <si>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</si>
  <si>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</si>
  <si>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</si>
  <si>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</si>
  <si>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</si>
  <si>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</si>
  <si>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</si>
  <si>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</si>
  <si>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</si>
  <si>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</si>
  <si>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</si>
  <si>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</si>
  <si>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</si>
  <si>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</si>
  <si>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</si>
  <si>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</si>
  <si>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</si>
  <si>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</si>
  <si>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</si>
  <si>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</si>
  <si>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</si>
  <si>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</si>
  <si>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</si>
  <si>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</si>
  <si>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</si>
  <si>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</si>
  <si>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</si>
  <si>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</si>
  <si>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</si>
  <si>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</si>
  <si>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</si>
  <si>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</si>
  <si>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</si>
  <si>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</si>
  <si>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</si>
  <si>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</si>
  <si>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</si>
  <si>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</si>
  <si>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</si>
  <si>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</si>
  <si>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</si>
  <si>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</si>
  <si>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</si>
  <si>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</si>
  <si>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</si>
  <si>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</si>
  <si>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</si>
  <si>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</si>
  <si>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</si>
  <si>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</si>
  <si>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</si>
  <si>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</si>
  <si>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</si>
  <si>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</si>
  <si>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</si>
  <si>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</si>
  <si>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</si>
  <si>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</si>
  <si>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</si>
  <si>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</si>
  <si>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</si>
  <si>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</si>
  <si>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</si>
  <si>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</si>
  <si>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</si>
  <si>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</si>
  <si>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</si>
  <si>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</si>
  <si>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</si>
  <si>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</si>
  <si>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</si>
  <si>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</si>
  <si>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</si>
  <si>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</si>
  <si>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</si>
  <si>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</si>
  <si>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</si>
  <si>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</si>
  <si>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</si>
  <si>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</si>
  <si>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</si>
  <si>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</si>
  <si>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</si>
  <si>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</si>
  <si>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</si>
  <si>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</si>
  <si>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</si>
  <si>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</si>
  <si>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</si>
  <si>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</si>
  <si>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</si>
  <si>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</si>
  <si>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</si>
  <si>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</si>
  <si>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</si>
  <si>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</si>
  <si>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</si>
  <si>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</si>
  <si>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</si>
  <si>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</si>
  <si>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</si>
  <si>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</si>
  <si>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</si>
  <si>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</si>
  <si>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</si>
  <si>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</si>
  <si>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</si>
  <si>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</si>
  <si>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</si>
  <si>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</si>
  <si>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</si>
  <si>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</si>
  <si>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</si>
  <si>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</si>
  <si>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</si>
  <si>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</si>
  <si>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</si>
  <si>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</si>
  <si>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</si>
  <si>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</si>
  <si>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</si>
  <si>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</si>
  <si>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</si>
  <si>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</si>
  <si>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</si>
  <si>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</si>
  <si>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</si>
  <si>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</si>
  <si>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</si>
  <si>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</si>
  <si>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</si>
  <si>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</si>
  <si>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</si>
  <si>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</si>
  <si>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</si>
  <si>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</si>
  <si>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</si>
  <si>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</si>
  <si>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</si>
  <si>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</si>
  <si>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</si>
  <si>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</si>
  <si>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</si>
  <si>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</si>
  <si>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</si>
  <si>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</si>
  <si>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</si>
  <si>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</si>
  <si>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</si>
  <si>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</si>
  <si>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</si>
  <si>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</si>
  <si>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</si>
  <si>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</si>
  <si>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</si>
  <si>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</si>
  <si>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</si>
  <si>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</si>
  <si>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</si>
  <si>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</si>
  <si>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</si>
  <si>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</si>
  <si>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</si>
  <si>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</si>
  <si>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</si>
  <si>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</si>
  <si>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</si>
  <si>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</si>
  <si>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</si>
  <si>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</si>
  <si>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</si>
  <si>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</si>
  <si>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</si>
  <si>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</si>
  <si>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</si>
  <si>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</si>
  <si>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</si>
  <si>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</si>
  <si>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</si>
  <si>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</si>
  <si>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</si>
  <si>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</si>
  <si>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</si>
  <si>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</si>
  <si>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</si>
  <si>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</si>
  <si>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</si>
  <si>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</si>
  <si>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</si>
  <si>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</si>
  <si>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</si>
  <si>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</si>
  <si>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</si>
  <si>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</si>
  <si>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</si>
  <si>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</si>
  <si>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</si>
  <si>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</si>
  <si>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</si>
  <si>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</si>
  <si>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</si>
  <si>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</si>
  <si>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</si>
  <si>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</si>
  <si>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</si>
  <si>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</si>
  <si>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</si>
  <si>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</si>
  <si>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</si>
  <si>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</si>
  <si>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</si>
  <si>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</si>
  <si>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</si>
  <si>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</si>
  <si>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</si>
  <si>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</si>
  <si>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</si>
  <si>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</si>
  <si>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</si>
  <si>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</si>
  <si>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</si>
  <si>
    <t>Vehicle Lifetime (years)</t>
  </si>
  <si>
    <t>Passenger</t>
  </si>
  <si>
    <t>Freight</t>
  </si>
  <si>
    <t>adjust minimum to equal AVL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</si>
</sst>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8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0" fillId="36" borderId="0" xfId="0" applyFill="1"/>
    <xf numFmtId="0" fontId="1" fillId="0" borderId="0" xfId="0" applyFont="1" applyAlignment="1">
      <alignment horizontal="left"/>
    </xf>
    <xf numFmtId="1" fontId="0" fillId="0" borderId="0" xfId="0" applyNumberFormat="1" applyAlignment="1">
      <alignment horizontal="left"/>
    </xf>
    <xf numFmtId="0" fontId="1" fillId="30" borderId="0" xfId="0" applyFont="1" applyFill="1" applyAlignment="1">
      <alignment horizontal="right"/>
    </xf>
    <xf numFmtId="1" fontId="0" fillId="30" borderId="0" xfId="0" applyNumberFormat="1" applyFill="1"/>
    <xf numFmtId="0" fontId="0" fillId="30" borderId="0" xfId="0" applyFill="1"/>
    <xf numFmtId="9" fontId="0" fillId="30" borderId="0" xfId="141" applyFont="1" applyFill="1"/>
    <xf numFmtId="0" fontId="0" fillId="0" borderId="0" xfId="141" applyNumberFormat="1" applyFont="1"/>
    <xf numFmtId="0" fontId="1" fillId="36" borderId="0" xfId="0" applyFont="1" applyFill="1" applyAlignment="1">
      <alignment horizontal="right"/>
    </xf>
    <xf numFmtId="1" fontId="0" fillId="30" borderId="0" xfId="0" applyNumberFormat="1" applyFill="1" applyAlignment="1">
      <alignment horizontal="left"/>
    </xf>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1"/>
  <sheetViews>
    <sheetView topLeftCell="A115" workbookViewId="0">
      <selection activeCell="A132" sqref="A132"/>
    </sheetView>
  </sheetViews>
  <sheetFormatPr defaultRowHeight="15"/>
  <cols>
    <col min="2" max="2" width="73.140625" customWidth="1"/>
    <col min="3" max="3" width="9.7109375" bestFit="1" customWidth="1"/>
    <col min="7" max="7" width="14.85546875" customWidth="1"/>
  </cols>
  <sheetData>
    <row r="1" spans="1:7">
      <c r="A1" s="1" t="s">
        <v>0</v>
      </c>
      <c r="B1" s="66" t="s">
        <v>118</v>
      </c>
      <c r="C1" s="163">
        <v>45355</v>
      </c>
    </row>
    <row r="2" spans="1:7">
      <c r="B2" t="str">
        <f>INDEX(F:F,MATCH(B1,E:E,0))</f>
        <v>NE</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row r="131" spans="1:1">
      <c r="A131" t="s">
        <v>5009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workbookViewId="0"/>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workbookViewId="0"/>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74" t="s">
        <v>4920</v>
      </c>
      <c r="E1" s="274"/>
      <c r="F1" s="274"/>
      <c r="G1" s="274"/>
      <c r="H1" s="274"/>
      <c r="I1" s="274"/>
      <c r="J1" s="274"/>
      <c r="K1" s="274"/>
      <c r="L1" s="274"/>
    </row>
    <row r="2" spans="1:18" s="124" customFormat="1" ht="16.5" customHeight="1">
      <c r="A2" s="154"/>
      <c r="B2" s="154"/>
      <c r="C2" s="154"/>
      <c r="D2" s="122"/>
      <c r="E2" s="278">
        <v>2020</v>
      </c>
      <c r="F2" s="279"/>
      <c r="G2" s="278">
        <v>2019</v>
      </c>
      <c r="H2" s="279"/>
      <c r="I2" s="285">
        <v>2010</v>
      </c>
      <c r="J2" s="286"/>
      <c r="K2" s="281" t="s">
        <v>4915</v>
      </c>
      <c r="L2" s="28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82"/>
      <c r="L3" s="28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88" t="s">
        <v>4923</v>
      </c>
      <c r="E56" s="288"/>
      <c r="F56" s="288"/>
      <c r="G56" s="288"/>
      <c r="H56" s="288"/>
      <c r="I56" s="288"/>
      <c r="J56" s="288"/>
      <c r="K56" s="288"/>
      <c r="L56" s="288"/>
    </row>
    <row r="57" spans="1:18" s="150" customFormat="1" ht="12.75" customHeight="1">
      <c r="A57" s="157"/>
      <c r="B57" s="157"/>
      <c r="C57" s="157"/>
      <c r="D57" s="287"/>
      <c r="E57" s="287"/>
      <c r="F57" s="287"/>
      <c r="G57" s="287"/>
      <c r="H57" s="287"/>
      <c r="I57" s="287"/>
      <c r="J57" s="287"/>
      <c r="K57" s="287"/>
      <c r="L57" s="287"/>
    </row>
    <row r="58" spans="1:18" s="150" customFormat="1" ht="12.75" customHeight="1">
      <c r="A58" s="157"/>
      <c r="B58" s="157"/>
      <c r="C58" s="157"/>
      <c r="D58" s="277" t="s">
        <v>4924</v>
      </c>
      <c r="E58" s="277"/>
      <c r="F58" s="277"/>
      <c r="G58" s="277"/>
      <c r="H58" s="277"/>
      <c r="I58" s="277"/>
      <c r="J58" s="277"/>
      <c r="K58" s="277"/>
      <c r="L58" s="277"/>
    </row>
    <row r="59" spans="1:18" s="151" customFormat="1" ht="12.75" customHeight="1">
      <c r="A59" s="158"/>
      <c r="B59" s="158"/>
      <c r="C59" s="158"/>
      <c r="D59" s="277" t="s">
        <v>4925</v>
      </c>
      <c r="E59" s="277"/>
      <c r="F59" s="277"/>
      <c r="G59" s="277"/>
      <c r="H59" s="277"/>
      <c r="I59" s="277"/>
      <c r="J59" s="277"/>
      <c r="K59" s="277"/>
      <c r="L59" s="277"/>
      <c r="M59" s="150"/>
      <c r="N59" s="150"/>
    </row>
    <row r="60" spans="1:18" s="151" customFormat="1" ht="14.25">
      <c r="A60" s="158"/>
      <c r="B60" s="158"/>
      <c r="C60" s="158"/>
      <c r="D60" s="277" t="s">
        <v>4926</v>
      </c>
      <c r="E60" s="277"/>
      <c r="F60" s="277"/>
      <c r="G60" s="277"/>
      <c r="H60" s="277"/>
      <c r="I60" s="277"/>
      <c r="J60" s="277"/>
      <c r="K60" s="277"/>
      <c r="L60" s="277"/>
      <c r="M60" s="150"/>
      <c r="N60" s="150"/>
    </row>
    <row r="61" spans="1:18" s="152" customFormat="1" ht="12.75" customHeight="1">
      <c r="A61" s="159"/>
      <c r="B61" s="159"/>
      <c r="C61" s="159"/>
      <c r="D61" s="283"/>
      <c r="E61" s="283"/>
      <c r="F61" s="283"/>
      <c r="G61" s="283"/>
      <c r="H61" s="283"/>
      <c r="I61" s="283"/>
      <c r="J61" s="283"/>
      <c r="K61" s="283"/>
      <c r="L61" s="283"/>
      <c r="M61" s="150"/>
      <c r="N61" s="150"/>
    </row>
    <row r="62" spans="1:18" s="152" customFormat="1" ht="12.75" customHeight="1">
      <c r="A62" s="159"/>
      <c r="B62" s="159"/>
      <c r="C62" s="159"/>
      <c r="D62" s="284" t="s">
        <v>4860</v>
      </c>
      <c r="E62" s="284"/>
      <c r="F62" s="284"/>
      <c r="G62" s="284"/>
      <c r="H62" s="284"/>
      <c r="I62" s="284"/>
      <c r="J62" s="284"/>
      <c r="K62" s="284"/>
      <c r="L62" s="284"/>
      <c r="M62" s="150"/>
      <c r="N62" s="150"/>
    </row>
    <row r="63" spans="1:18" s="152" customFormat="1" ht="38.25" customHeight="1">
      <c r="A63" s="159"/>
      <c r="B63" s="159"/>
      <c r="C63" s="159"/>
      <c r="D63" s="276" t="s">
        <v>4859</v>
      </c>
      <c r="E63" s="276"/>
      <c r="F63" s="276"/>
      <c r="G63" s="276"/>
      <c r="H63" s="276"/>
      <c r="I63" s="276"/>
      <c r="J63" s="276"/>
      <c r="K63" s="276"/>
      <c r="L63" s="276"/>
      <c r="M63" s="150"/>
      <c r="N63" s="150"/>
    </row>
    <row r="64" spans="1:18" s="152" customFormat="1" ht="12.75" customHeight="1">
      <c r="A64" s="159"/>
      <c r="B64" s="159"/>
      <c r="C64" s="159"/>
      <c r="D64" s="276" t="s">
        <v>4858</v>
      </c>
      <c r="E64" s="276"/>
      <c r="F64" s="276"/>
      <c r="G64" s="276"/>
      <c r="H64" s="276"/>
      <c r="I64" s="276"/>
      <c r="J64" s="276"/>
      <c r="K64" s="276"/>
      <c r="L64" s="276"/>
      <c r="M64" s="150"/>
      <c r="N64" s="150"/>
    </row>
    <row r="65" spans="1:14" s="152" customFormat="1" ht="12">
      <c r="A65" s="159"/>
      <c r="B65" s="159"/>
      <c r="C65" s="159"/>
      <c r="D65" s="276" t="s">
        <v>4857</v>
      </c>
      <c r="E65" s="276"/>
      <c r="F65" s="276"/>
      <c r="G65" s="276"/>
      <c r="H65" s="276"/>
      <c r="I65" s="276"/>
      <c r="J65" s="276"/>
      <c r="K65" s="276"/>
      <c r="L65" s="276"/>
      <c r="M65" s="150"/>
      <c r="N65" s="150"/>
    </row>
    <row r="66" spans="1:14" s="152" customFormat="1" ht="12.75" customHeight="1">
      <c r="A66" s="159"/>
      <c r="B66" s="159"/>
      <c r="C66" s="159"/>
      <c r="D66" s="275"/>
      <c r="E66" s="275"/>
      <c r="F66" s="275"/>
      <c r="G66" s="275"/>
      <c r="H66" s="275"/>
      <c r="I66" s="275"/>
      <c r="J66" s="275"/>
      <c r="K66" s="275"/>
      <c r="L66" s="275"/>
      <c r="M66" s="150"/>
      <c r="N66" s="150"/>
    </row>
    <row r="67" spans="1:14" s="150" customFormat="1" ht="12.75" customHeight="1">
      <c r="A67" s="157"/>
      <c r="B67" s="157"/>
      <c r="C67" s="157"/>
      <c r="D67" s="280" t="s">
        <v>4856</v>
      </c>
      <c r="E67" s="280"/>
      <c r="F67" s="280"/>
      <c r="G67" s="280"/>
      <c r="H67" s="280"/>
      <c r="I67" s="280"/>
      <c r="J67" s="280"/>
      <c r="K67" s="280"/>
      <c r="L67" s="280"/>
    </row>
    <row r="68" spans="1:14" ht="25.5" customHeight="1">
      <c r="D68" s="276" t="s">
        <v>4927</v>
      </c>
      <c r="E68" s="276"/>
      <c r="F68" s="276"/>
      <c r="G68" s="276"/>
      <c r="H68" s="276"/>
      <c r="I68" s="276"/>
      <c r="J68" s="276"/>
      <c r="K68" s="276"/>
      <c r="L68" s="27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workbookViewId="0"/>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E6582-2AC3-4579-A2BD-C71C13688595}">
  <dimension ref="A1:C7"/>
  <sheetViews>
    <sheetView workbookViewId="0"/>
  </sheetViews>
  <sheetFormatPr defaultRowHeight="15"/>
  <sheetData>
    <row r="1" spans="1:3">
      <c r="A1" t="s">
        <v>5006</v>
      </c>
      <c r="B1" t="s">
        <v>5007</v>
      </c>
      <c r="C1" t="s">
        <v>5008</v>
      </c>
    </row>
    <row r="2" spans="1:3">
      <c r="A2" t="s">
        <v>4</v>
      </c>
      <c r="B2">
        <v>17</v>
      </c>
      <c r="C2">
        <v>14</v>
      </c>
    </row>
    <row r="3" spans="1:3">
      <c r="A3" t="s">
        <v>5</v>
      </c>
      <c r="B3">
        <v>23</v>
      </c>
      <c r="C3">
        <v>20</v>
      </c>
    </row>
    <row r="4" spans="1:3">
      <c r="A4" t="s">
        <v>6</v>
      </c>
      <c r="B4">
        <v>24</v>
      </c>
      <c r="C4">
        <v>24</v>
      </c>
    </row>
    <row r="5" spans="1:3">
      <c r="A5" t="s">
        <v>7</v>
      </c>
      <c r="B5">
        <v>34</v>
      </c>
      <c r="C5">
        <v>34</v>
      </c>
    </row>
    <row r="6" spans="1:3">
      <c r="A6" t="s">
        <v>8</v>
      </c>
      <c r="B6">
        <v>33</v>
      </c>
      <c r="C6">
        <v>33</v>
      </c>
    </row>
    <row r="7" spans="1:3">
      <c r="A7" t="s">
        <v>9</v>
      </c>
      <c r="B7">
        <v>17</v>
      </c>
      <c r="C7">
        <v>17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S51"/>
  <sheetViews>
    <sheetView topLeftCell="H1" workbookViewId="0">
      <selection activeCell="P3" sqref="P3"/>
    </sheetView>
  </sheetViews>
  <sheetFormatPr defaultRowHeight="15"/>
  <cols>
    <col min="1" max="1" width="16.85546875" customWidth="1"/>
    <col min="2" max="8" width="12.28515625" customWidth="1"/>
    <col min="9" max="9" width="3.5703125" style="269" customWidth="1"/>
    <col min="10" max="10" width="12.28515625" customWidth="1"/>
    <col min="11" max="11" width="5" style="269" customWidth="1"/>
    <col min="13" max="19" width="12.28515625" style="3" customWidth="1"/>
  </cols>
  <sheetData>
    <row r="1" spans="1:19" ht="30">
      <c r="A1" s="7" t="s">
        <v>60</v>
      </c>
      <c r="B1" s="5" t="s">
        <v>10</v>
      </c>
      <c r="C1" s="5" t="s">
        <v>11</v>
      </c>
      <c r="D1" s="5" t="s">
        <v>12</v>
      </c>
      <c r="E1" s="5" t="s">
        <v>13</v>
      </c>
      <c r="F1" s="5" t="s">
        <v>14</v>
      </c>
      <c r="G1" s="5" t="s">
        <v>52</v>
      </c>
      <c r="H1" s="5" t="s">
        <v>53</v>
      </c>
      <c r="I1" s="267"/>
      <c r="J1" s="264" t="str">
        <f>"AVL="&amp;AVL!B4</f>
        <v>AVL=24</v>
      </c>
      <c r="M1" s="265" t="s">
        <v>10</v>
      </c>
      <c r="N1" s="265" t="s">
        <v>11</v>
      </c>
      <c r="O1" s="265" t="s">
        <v>12</v>
      </c>
      <c r="P1" s="265" t="s">
        <v>13</v>
      </c>
      <c r="Q1" s="265" t="s">
        <v>14</v>
      </c>
      <c r="R1" s="265" t="s">
        <v>52</v>
      </c>
      <c r="S1" s="265" t="s">
        <v>53</v>
      </c>
    </row>
    <row r="2" spans="1:19">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I2" s="268"/>
      <c r="J2" s="6">
        <f>SUM(B2:H2)</f>
        <v>16.816876225950203</v>
      </c>
      <c r="K2" s="270"/>
      <c r="L2" t="str">
        <f>A2</f>
        <v>AL</v>
      </c>
      <c r="M2" s="266">
        <f>IF(B2=0,0,MAX(B2,24))</f>
        <v>0</v>
      </c>
      <c r="N2" s="266">
        <f t="shared" ref="N2:S2" si="0">IF(C2=0,0,MAX(C2,24))</f>
        <v>0</v>
      </c>
      <c r="O2" s="266">
        <f t="shared" si="0"/>
        <v>0</v>
      </c>
      <c r="P2" s="266">
        <f>IF(E2=0,0,MAX(E2,24))</f>
        <v>24</v>
      </c>
      <c r="Q2" s="266">
        <f t="shared" si="0"/>
        <v>0</v>
      </c>
      <c r="R2" s="266">
        <f t="shared" si="0"/>
        <v>0</v>
      </c>
      <c r="S2" s="266">
        <f t="shared" si="0"/>
        <v>0</v>
      </c>
    </row>
    <row r="3" spans="1:19">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I3" s="268"/>
      <c r="J3" s="6">
        <f t="shared" ref="J3:J51" si="1">SUM(B3:H3)</f>
        <v>31.785529384597169</v>
      </c>
      <c r="K3" s="270"/>
      <c r="L3" t="str">
        <f t="shared" ref="L3:L51" si="2">A3</f>
        <v>AK</v>
      </c>
      <c r="M3" s="266">
        <f t="shared" ref="M3:M51" si="3">IF(B3=0,0,MAX(B3,24))</f>
        <v>0</v>
      </c>
      <c r="N3" s="266">
        <f t="shared" ref="N3:N51" si="4">IF(C3=0,0,MAX(C3,24))</f>
        <v>0</v>
      </c>
      <c r="O3" s="266">
        <f t="shared" ref="O3:O51" si="5">IF(D3=0,0,MAX(D3,24))</f>
        <v>0</v>
      </c>
      <c r="P3" s="266">
        <f t="shared" ref="P3:P51" si="6">IF(E3=0,0,MAX(E3,24))</f>
        <v>31.785529384597169</v>
      </c>
      <c r="Q3" s="266">
        <f t="shared" ref="Q3:Q51" si="7">IF(F3=0,0,MAX(F3,24))</f>
        <v>0</v>
      </c>
      <c r="R3" s="266">
        <f t="shared" ref="R3:R51" si="8">IF(G3=0,0,MAX(G3,24))</f>
        <v>0</v>
      </c>
      <c r="S3" s="266">
        <f t="shared" ref="S3:S51" si="9">IF(H3=0,0,MAX(H3,24))</f>
        <v>0</v>
      </c>
    </row>
    <row r="4" spans="1:19">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I4" s="268"/>
      <c r="J4" s="6">
        <f t="shared" si="1"/>
        <v>154.32667956413218</v>
      </c>
      <c r="K4" s="270"/>
      <c r="L4" t="str">
        <f t="shared" si="2"/>
        <v>AZ</v>
      </c>
      <c r="M4" s="266">
        <f t="shared" si="3"/>
        <v>0</v>
      </c>
      <c r="N4" s="266">
        <f t="shared" si="4"/>
        <v>0</v>
      </c>
      <c r="O4" s="266">
        <f t="shared" si="5"/>
        <v>0</v>
      </c>
      <c r="P4" s="266">
        <f t="shared" si="6"/>
        <v>154.32667956413218</v>
      </c>
      <c r="Q4" s="266">
        <f t="shared" si="7"/>
        <v>0</v>
      </c>
      <c r="R4" s="266">
        <f t="shared" si="8"/>
        <v>0</v>
      </c>
      <c r="S4" s="266">
        <f t="shared" si="9"/>
        <v>0</v>
      </c>
    </row>
    <row r="5" spans="1:19">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I5" s="268"/>
      <c r="J5" s="6">
        <f t="shared" si="1"/>
        <v>12.631028651645115</v>
      </c>
      <c r="K5" s="270"/>
      <c r="L5" t="str">
        <f t="shared" si="2"/>
        <v>AR</v>
      </c>
      <c r="M5" s="266">
        <f t="shared" si="3"/>
        <v>0</v>
      </c>
      <c r="N5" s="266">
        <f t="shared" si="4"/>
        <v>0</v>
      </c>
      <c r="O5" s="266">
        <f t="shared" si="5"/>
        <v>0</v>
      </c>
      <c r="P5" s="266">
        <f t="shared" si="6"/>
        <v>24</v>
      </c>
      <c r="Q5" s="266">
        <f t="shared" si="7"/>
        <v>0</v>
      </c>
      <c r="R5" s="266">
        <f t="shared" si="8"/>
        <v>0</v>
      </c>
      <c r="S5" s="266">
        <f t="shared" si="9"/>
        <v>0</v>
      </c>
    </row>
    <row r="6" spans="1:19">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I6" s="268"/>
      <c r="J6" s="6">
        <f t="shared" si="1"/>
        <v>716.7722594964539</v>
      </c>
      <c r="K6" s="270"/>
      <c r="L6" t="str">
        <f t="shared" si="2"/>
        <v>CA</v>
      </c>
      <c r="M6" s="266">
        <f t="shared" si="3"/>
        <v>0</v>
      </c>
      <c r="N6" s="266">
        <f t="shared" si="4"/>
        <v>0</v>
      </c>
      <c r="O6" s="266">
        <f t="shared" si="5"/>
        <v>0</v>
      </c>
      <c r="P6" s="266">
        <f t="shared" si="6"/>
        <v>716.7722594964539</v>
      </c>
      <c r="Q6" s="266">
        <f t="shared" si="7"/>
        <v>0</v>
      </c>
      <c r="R6" s="266">
        <f t="shared" si="8"/>
        <v>0</v>
      </c>
      <c r="S6" s="266">
        <f t="shared" si="9"/>
        <v>0</v>
      </c>
    </row>
    <row r="7" spans="1:19">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I7" s="268"/>
      <c r="J7" s="6">
        <f t="shared" si="1"/>
        <v>212.04139971974928</v>
      </c>
      <c r="K7" s="270"/>
      <c r="L7" t="str">
        <f t="shared" si="2"/>
        <v>CO</v>
      </c>
      <c r="M7" s="266">
        <f t="shared" si="3"/>
        <v>0</v>
      </c>
      <c r="N7" s="266">
        <f t="shared" si="4"/>
        <v>0</v>
      </c>
      <c r="O7" s="266">
        <f t="shared" si="5"/>
        <v>0</v>
      </c>
      <c r="P7" s="266">
        <f t="shared" si="6"/>
        <v>212.04139971974928</v>
      </c>
      <c r="Q7" s="266">
        <f t="shared" si="7"/>
        <v>0</v>
      </c>
      <c r="R7" s="266">
        <f t="shared" si="8"/>
        <v>0</v>
      </c>
      <c r="S7" s="266">
        <f t="shared" si="9"/>
        <v>0</v>
      </c>
    </row>
    <row r="8" spans="1:19">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c r="I8" s="268"/>
      <c r="J8" s="6">
        <f t="shared" si="1"/>
        <v>20.029039698277472</v>
      </c>
      <c r="L8" t="str">
        <f t="shared" si="2"/>
        <v>CT</v>
      </c>
      <c r="M8" s="266">
        <f t="shared" si="3"/>
        <v>0</v>
      </c>
      <c r="N8" s="266">
        <f t="shared" si="4"/>
        <v>0</v>
      </c>
      <c r="O8" s="266">
        <f t="shared" si="5"/>
        <v>0</v>
      </c>
      <c r="P8" s="266">
        <f t="shared" si="6"/>
        <v>24</v>
      </c>
      <c r="Q8" s="266">
        <f t="shared" si="7"/>
        <v>0</v>
      </c>
      <c r="R8" s="266">
        <f t="shared" si="8"/>
        <v>0</v>
      </c>
      <c r="S8" s="266">
        <f t="shared" si="9"/>
        <v>0</v>
      </c>
    </row>
    <row r="9" spans="1:19">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c r="I9" s="268"/>
      <c r="J9" s="6">
        <f t="shared" si="1"/>
        <v>5.7185413629771828E-3</v>
      </c>
      <c r="L9" t="str">
        <f t="shared" si="2"/>
        <v>DE</v>
      </c>
      <c r="M9" s="266">
        <f t="shared" si="3"/>
        <v>0</v>
      </c>
      <c r="N9" s="266">
        <f t="shared" si="4"/>
        <v>0</v>
      </c>
      <c r="O9" s="266">
        <f t="shared" si="5"/>
        <v>0</v>
      </c>
      <c r="P9" s="266">
        <f t="shared" si="6"/>
        <v>24</v>
      </c>
      <c r="Q9" s="266">
        <f t="shared" si="7"/>
        <v>0</v>
      </c>
      <c r="R9" s="266">
        <f t="shared" si="8"/>
        <v>0</v>
      </c>
      <c r="S9" s="266">
        <f t="shared" si="9"/>
        <v>0</v>
      </c>
    </row>
    <row r="10" spans="1:19">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c r="I10" s="268"/>
      <c r="J10" s="6">
        <f t="shared" si="1"/>
        <v>568.78244822983811</v>
      </c>
      <c r="L10" t="str">
        <f t="shared" si="2"/>
        <v>FL</v>
      </c>
      <c r="M10" s="266">
        <f t="shared" si="3"/>
        <v>0</v>
      </c>
      <c r="N10" s="266">
        <f t="shared" si="4"/>
        <v>0</v>
      </c>
      <c r="O10" s="266">
        <f t="shared" si="5"/>
        <v>0</v>
      </c>
      <c r="P10" s="266">
        <f t="shared" si="6"/>
        <v>568.78244822983811</v>
      </c>
      <c r="Q10" s="266">
        <f t="shared" si="7"/>
        <v>0</v>
      </c>
      <c r="R10" s="266">
        <f t="shared" si="8"/>
        <v>0</v>
      </c>
      <c r="S10" s="266">
        <f t="shared" si="9"/>
        <v>0</v>
      </c>
    </row>
    <row r="11" spans="1:19">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c r="I11" s="268"/>
      <c r="J11" s="6">
        <f t="shared" si="1"/>
        <v>329.65294752889389</v>
      </c>
      <c r="L11" t="str">
        <f t="shared" si="2"/>
        <v>GA</v>
      </c>
      <c r="M11" s="266">
        <f t="shared" si="3"/>
        <v>0</v>
      </c>
      <c r="N11" s="266">
        <f t="shared" si="4"/>
        <v>0</v>
      </c>
      <c r="O11" s="266">
        <f t="shared" si="5"/>
        <v>0</v>
      </c>
      <c r="P11" s="266">
        <f t="shared" si="6"/>
        <v>329.65294752889389</v>
      </c>
      <c r="Q11" s="266">
        <f t="shared" si="7"/>
        <v>0</v>
      </c>
      <c r="R11" s="266">
        <f t="shared" si="8"/>
        <v>0</v>
      </c>
      <c r="S11" s="266">
        <f t="shared" si="9"/>
        <v>0</v>
      </c>
    </row>
    <row r="12" spans="1:19">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c r="I12" s="268"/>
      <c r="J12" s="6">
        <f t="shared" si="1"/>
        <v>107.41813203362888</v>
      </c>
      <c r="L12" t="str">
        <f t="shared" si="2"/>
        <v>HI</v>
      </c>
      <c r="M12" s="266">
        <f t="shared" si="3"/>
        <v>0</v>
      </c>
      <c r="N12" s="266">
        <f t="shared" si="4"/>
        <v>0</v>
      </c>
      <c r="O12" s="266">
        <f t="shared" si="5"/>
        <v>0</v>
      </c>
      <c r="P12" s="266">
        <f t="shared" si="6"/>
        <v>107.41813203362888</v>
      </c>
      <c r="Q12" s="266">
        <f t="shared" si="7"/>
        <v>0</v>
      </c>
      <c r="R12" s="266">
        <f t="shared" si="8"/>
        <v>0</v>
      </c>
      <c r="S12" s="266">
        <f t="shared" si="9"/>
        <v>0</v>
      </c>
    </row>
    <row r="13" spans="1:19">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c r="I13" s="268"/>
      <c r="J13" s="6">
        <f t="shared" si="1"/>
        <v>14.603117818938324</v>
      </c>
      <c r="L13" t="str">
        <f t="shared" si="2"/>
        <v>ID</v>
      </c>
      <c r="M13" s="266">
        <f t="shared" si="3"/>
        <v>0</v>
      </c>
      <c r="N13" s="266">
        <f t="shared" si="4"/>
        <v>0</v>
      </c>
      <c r="O13" s="266">
        <f t="shared" si="5"/>
        <v>0</v>
      </c>
      <c r="P13" s="266">
        <f t="shared" si="6"/>
        <v>24</v>
      </c>
      <c r="Q13" s="266">
        <f t="shared" si="7"/>
        <v>0</v>
      </c>
      <c r="R13" s="266">
        <f t="shared" si="8"/>
        <v>0</v>
      </c>
      <c r="S13" s="266">
        <f t="shared" si="9"/>
        <v>0</v>
      </c>
    </row>
    <row r="14" spans="1:19">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c r="I14" s="268"/>
      <c r="J14" s="6">
        <f t="shared" si="1"/>
        <v>310.84227186854446</v>
      </c>
      <c r="L14" t="str">
        <f t="shared" si="2"/>
        <v>IL</v>
      </c>
      <c r="M14" s="266">
        <f t="shared" si="3"/>
        <v>0</v>
      </c>
      <c r="N14" s="266">
        <f t="shared" si="4"/>
        <v>0</v>
      </c>
      <c r="O14" s="266">
        <f t="shared" si="5"/>
        <v>0</v>
      </c>
      <c r="P14" s="266">
        <f t="shared" si="6"/>
        <v>310.84227186854446</v>
      </c>
      <c r="Q14" s="266">
        <f t="shared" si="7"/>
        <v>0</v>
      </c>
      <c r="R14" s="266">
        <f t="shared" si="8"/>
        <v>0</v>
      </c>
      <c r="S14" s="266">
        <f t="shared" si="9"/>
        <v>0</v>
      </c>
    </row>
    <row r="15" spans="1:19">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c r="I15" s="268"/>
      <c r="J15" s="6">
        <f t="shared" si="1"/>
        <v>34.302067632746621</v>
      </c>
      <c r="L15" t="str">
        <f t="shared" si="2"/>
        <v>IN</v>
      </c>
      <c r="M15" s="266">
        <f t="shared" si="3"/>
        <v>0</v>
      </c>
      <c r="N15" s="266">
        <f t="shared" si="4"/>
        <v>0</v>
      </c>
      <c r="O15" s="266">
        <f t="shared" si="5"/>
        <v>0</v>
      </c>
      <c r="P15" s="266">
        <f t="shared" si="6"/>
        <v>34.302067632746621</v>
      </c>
      <c r="Q15" s="266">
        <f t="shared" si="7"/>
        <v>0</v>
      </c>
      <c r="R15" s="266">
        <f t="shared" si="8"/>
        <v>0</v>
      </c>
      <c r="S15" s="266">
        <f t="shared" si="9"/>
        <v>0</v>
      </c>
    </row>
    <row r="16" spans="1:19">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c r="I16" s="268"/>
      <c r="J16" s="6">
        <f t="shared" si="1"/>
        <v>13.261202408634214</v>
      </c>
      <c r="L16" t="str">
        <f t="shared" si="2"/>
        <v>IA</v>
      </c>
      <c r="M16" s="266">
        <f t="shared" si="3"/>
        <v>0</v>
      </c>
      <c r="N16" s="266">
        <f t="shared" si="4"/>
        <v>0</v>
      </c>
      <c r="O16" s="266">
        <f t="shared" si="5"/>
        <v>0</v>
      </c>
      <c r="P16" s="266">
        <f t="shared" si="6"/>
        <v>24</v>
      </c>
      <c r="Q16" s="266">
        <f t="shared" si="7"/>
        <v>0</v>
      </c>
      <c r="R16" s="266">
        <f t="shared" si="8"/>
        <v>0</v>
      </c>
      <c r="S16" s="266">
        <f t="shared" si="9"/>
        <v>0</v>
      </c>
    </row>
    <row r="17" spans="1:19">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c r="I17" s="268"/>
      <c r="J17" s="6">
        <f t="shared" si="1"/>
        <v>6.0607690444826225</v>
      </c>
      <c r="L17" t="str">
        <f t="shared" si="2"/>
        <v>KS</v>
      </c>
      <c r="M17" s="266">
        <f t="shared" si="3"/>
        <v>0</v>
      </c>
      <c r="N17" s="266">
        <f t="shared" si="4"/>
        <v>0</v>
      </c>
      <c r="O17" s="266">
        <f t="shared" si="5"/>
        <v>0</v>
      </c>
      <c r="P17" s="266">
        <f t="shared" si="6"/>
        <v>24</v>
      </c>
      <c r="Q17" s="266">
        <f t="shared" si="7"/>
        <v>0</v>
      </c>
      <c r="R17" s="266">
        <f t="shared" si="8"/>
        <v>0</v>
      </c>
      <c r="S17" s="266">
        <f t="shared" si="9"/>
        <v>0</v>
      </c>
    </row>
    <row r="18" spans="1:19">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c r="I18" s="268"/>
      <c r="J18" s="6">
        <f t="shared" si="1"/>
        <v>42.796892537495253</v>
      </c>
      <c r="L18" t="str">
        <f t="shared" si="2"/>
        <v>KY</v>
      </c>
      <c r="M18" s="266">
        <f t="shared" si="3"/>
        <v>0</v>
      </c>
      <c r="N18" s="266">
        <f t="shared" si="4"/>
        <v>0</v>
      </c>
      <c r="O18" s="266">
        <f t="shared" si="5"/>
        <v>0</v>
      </c>
      <c r="P18" s="266">
        <f t="shared" si="6"/>
        <v>42.796892537495253</v>
      </c>
      <c r="Q18" s="266">
        <f t="shared" si="7"/>
        <v>0</v>
      </c>
      <c r="R18" s="266">
        <f t="shared" si="8"/>
        <v>0</v>
      </c>
      <c r="S18" s="266">
        <f t="shared" si="9"/>
        <v>0</v>
      </c>
    </row>
    <row r="19" spans="1:19">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c r="I19" s="268"/>
      <c r="J19" s="6">
        <f t="shared" si="1"/>
        <v>48.608355743928172</v>
      </c>
      <c r="L19" t="str">
        <f t="shared" si="2"/>
        <v>LA</v>
      </c>
      <c r="M19" s="266">
        <f t="shared" si="3"/>
        <v>0</v>
      </c>
      <c r="N19" s="266">
        <f t="shared" si="4"/>
        <v>0</v>
      </c>
      <c r="O19" s="266">
        <f t="shared" si="5"/>
        <v>0</v>
      </c>
      <c r="P19" s="266">
        <f t="shared" si="6"/>
        <v>48.608355743928172</v>
      </c>
      <c r="Q19" s="266">
        <f t="shared" si="7"/>
        <v>0</v>
      </c>
      <c r="R19" s="266">
        <f t="shared" si="8"/>
        <v>0</v>
      </c>
      <c r="S19" s="266">
        <f t="shared" si="9"/>
        <v>0</v>
      </c>
    </row>
    <row r="20" spans="1:19">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c r="I20" s="268"/>
      <c r="J20" s="6">
        <f t="shared" si="1"/>
        <v>8.6713039605807403</v>
      </c>
      <c r="L20" t="str">
        <f t="shared" si="2"/>
        <v>ME</v>
      </c>
      <c r="M20" s="266">
        <f t="shared" si="3"/>
        <v>0</v>
      </c>
      <c r="N20" s="266">
        <f t="shared" si="4"/>
        <v>0</v>
      </c>
      <c r="O20" s="266">
        <f t="shared" si="5"/>
        <v>0</v>
      </c>
      <c r="P20" s="266">
        <f t="shared" si="6"/>
        <v>24</v>
      </c>
      <c r="Q20" s="266">
        <f t="shared" si="7"/>
        <v>0</v>
      </c>
      <c r="R20" s="266">
        <f t="shared" si="8"/>
        <v>0</v>
      </c>
      <c r="S20" s="266">
        <f t="shared" si="9"/>
        <v>0</v>
      </c>
    </row>
    <row r="21" spans="1:19">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c r="I21" s="268"/>
      <c r="J21" s="6">
        <f t="shared" si="1"/>
        <v>79.499577706089482</v>
      </c>
      <c r="L21" t="str">
        <f t="shared" si="2"/>
        <v>MD</v>
      </c>
      <c r="M21" s="266">
        <f t="shared" si="3"/>
        <v>0</v>
      </c>
      <c r="N21" s="266">
        <f t="shared" si="4"/>
        <v>0</v>
      </c>
      <c r="O21" s="266">
        <f t="shared" si="5"/>
        <v>0</v>
      </c>
      <c r="P21" s="266">
        <f t="shared" si="6"/>
        <v>79.499577706089482</v>
      </c>
      <c r="Q21" s="266">
        <f t="shared" si="7"/>
        <v>0</v>
      </c>
      <c r="R21" s="266">
        <f t="shared" si="8"/>
        <v>0</v>
      </c>
      <c r="S21" s="266">
        <f t="shared" si="9"/>
        <v>0</v>
      </c>
    </row>
    <row r="22" spans="1:19">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c r="I22" s="268"/>
      <c r="J22" s="6">
        <f t="shared" si="1"/>
        <v>124.91266431847717</v>
      </c>
      <c r="L22" t="str">
        <f t="shared" si="2"/>
        <v>MA</v>
      </c>
      <c r="M22" s="266">
        <f t="shared" si="3"/>
        <v>0</v>
      </c>
      <c r="N22" s="266">
        <f t="shared" si="4"/>
        <v>0</v>
      </c>
      <c r="O22" s="266">
        <f t="shared" si="5"/>
        <v>0</v>
      </c>
      <c r="P22" s="266">
        <f t="shared" si="6"/>
        <v>124.91266431847717</v>
      </c>
      <c r="Q22" s="266">
        <f t="shared" si="7"/>
        <v>0</v>
      </c>
      <c r="R22" s="266">
        <f t="shared" si="8"/>
        <v>0</v>
      </c>
      <c r="S22" s="266">
        <f t="shared" si="9"/>
        <v>0</v>
      </c>
    </row>
    <row r="23" spans="1:19">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c r="I23" s="268"/>
      <c r="J23" s="6">
        <f t="shared" si="1"/>
        <v>125.85120581631574</v>
      </c>
      <c r="L23" t="str">
        <f t="shared" si="2"/>
        <v>MI</v>
      </c>
      <c r="M23" s="266">
        <f t="shared" si="3"/>
        <v>0</v>
      </c>
      <c r="N23" s="266">
        <f t="shared" si="4"/>
        <v>0</v>
      </c>
      <c r="O23" s="266">
        <f t="shared" si="5"/>
        <v>0</v>
      </c>
      <c r="P23" s="266">
        <f t="shared" si="6"/>
        <v>125.85120581631574</v>
      </c>
      <c r="Q23" s="266">
        <f t="shared" si="7"/>
        <v>0</v>
      </c>
      <c r="R23" s="266">
        <f t="shared" si="8"/>
        <v>0</v>
      </c>
      <c r="S23" s="266">
        <f t="shared" si="9"/>
        <v>0</v>
      </c>
    </row>
    <row r="24" spans="1:19">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c r="I24" s="268"/>
      <c r="J24" s="6">
        <f t="shared" si="1"/>
        <v>116.67721653542478</v>
      </c>
      <c r="L24" t="str">
        <f t="shared" si="2"/>
        <v>MN</v>
      </c>
      <c r="M24" s="266">
        <f t="shared" si="3"/>
        <v>0</v>
      </c>
      <c r="N24" s="266">
        <f t="shared" si="4"/>
        <v>0</v>
      </c>
      <c r="O24" s="266">
        <f t="shared" si="5"/>
        <v>0</v>
      </c>
      <c r="P24" s="266">
        <f t="shared" si="6"/>
        <v>116.67721653542478</v>
      </c>
      <c r="Q24" s="266">
        <f t="shared" si="7"/>
        <v>0</v>
      </c>
      <c r="R24" s="266">
        <f t="shared" si="8"/>
        <v>0</v>
      </c>
      <c r="S24" s="266">
        <f t="shared" si="9"/>
        <v>0</v>
      </c>
    </row>
    <row r="25" spans="1:19">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c r="I25" s="268"/>
      <c r="J25" s="6">
        <f t="shared" si="1"/>
        <v>6.1172537438020802</v>
      </c>
      <c r="L25" t="str">
        <f t="shared" si="2"/>
        <v>MS</v>
      </c>
      <c r="M25" s="266">
        <f t="shared" si="3"/>
        <v>0</v>
      </c>
      <c r="N25" s="266">
        <f t="shared" si="4"/>
        <v>0</v>
      </c>
      <c r="O25" s="266">
        <f t="shared" si="5"/>
        <v>0</v>
      </c>
      <c r="P25" s="266">
        <f t="shared" si="6"/>
        <v>24</v>
      </c>
      <c r="Q25" s="266">
        <f t="shared" si="7"/>
        <v>0</v>
      </c>
      <c r="R25" s="266">
        <f t="shared" si="8"/>
        <v>0</v>
      </c>
      <c r="S25" s="266">
        <f t="shared" si="9"/>
        <v>0</v>
      </c>
    </row>
    <row r="26" spans="1:19">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c r="I26" s="268"/>
      <c r="J26" s="6">
        <f t="shared" si="1"/>
        <v>85.211741381191445</v>
      </c>
      <c r="L26" t="str">
        <f t="shared" si="2"/>
        <v>MO</v>
      </c>
      <c r="M26" s="266">
        <f t="shared" si="3"/>
        <v>0</v>
      </c>
      <c r="N26" s="266">
        <f t="shared" si="4"/>
        <v>0</v>
      </c>
      <c r="O26" s="266">
        <f t="shared" si="5"/>
        <v>0</v>
      </c>
      <c r="P26" s="266">
        <f t="shared" si="6"/>
        <v>85.211741381191445</v>
      </c>
      <c r="Q26" s="266">
        <f t="shared" si="7"/>
        <v>0</v>
      </c>
      <c r="R26" s="266">
        <f t="shared" si="8"/>
        <v>0</v>
      </c>
      <c r="S26" s="266">
        <f t="shared" si="9"/>
        <v>0</v>
      </c>
    </row>
    <row r="27" spans="1:19">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c r="I27" s="268"/>
      <c r="J27" s="6">
        <f t="shared" si="1"/>
        <v>14.366116049117158</v>
      </c>
      <c r="L27" t="str">
        <f t="shared" si="2"/>
        <v>MT</v>
      </c>
      <c r="M27" s="266">
        <f t="shared" si="3"/>
        <v>0</v>
      </c>
      <c r="N27" s="266">
        <f t="shared" si="4"/>
        <v>0</v>
      </c>
      <c r="O27" s="266">
        <f t="shared" si="5"/>
        <v>0</v>
      </c>
      <c r="P27" s="266">
        <f t="shared" si="6"/>
        <v>24</v>
      </c>
      <c r="Q27" s="266">
        <f t="shared" si="7"/>
        <v>0</v>
      </c>
      <c r="R27" s="266">
        <f t="shared" si="8"/>
        <v>0</v>
      </c>
      <c r="S27" s="266">
        <f t="shared" si="9"/>
        <v>0</v>
      </c>
    </row>
    <row r="28" spans="1:19">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c r="I28" s="268"/>
      <c r="J28" s="6">
        <f t="shared" si="1"/>
        <v>16.374036658346196</v>
      </c>
      <c r="L28" t="str">
        <f t="shared" si="2"/>
        <v>NE</v>
      </c>
      <c r="M28" s="266">
        <f t="shared" si="3"/>
        <v>0</v>
      </c>
      <c r="N28" s="266">
        <f t="shared" si="4"/>
        <v>0</v>
      </c>
      <c r="O28" s="266">
        <f t="shared" si="5"/>
        <v>0</v>
      </c>
      <c r="P28" s="266">
        <f t="shared" si="6"/>
        <v>24</v>
      </c>
      <c r="Q28" s="266">
        <f t="shared" si="7"/>
        <v>0</v>
      </c>
      <c r="R28" s="266">
        <f t="shared" si="8"/>
        <v>0</v>
      </c>
      <c r="S28" s="266">
        <f t="shared" si="9"/>
        <v>0</v>
      </c>
    </row>
    <row r="29" spans="1:19">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c r="I29" s="268"/>
      <c r="J29" s="6">
        <f t="shared" si="1"/>
        <v>161.08055601188099</v>
      </c>
      <c r="L29" t="str">
        <f t="shared" si="2"/>
        <v>NV</v>
      </c>
      <c r="M29" s="266">
        <f t="shared" si="3"/>
        <v>0</v>
      </c>
      <c r="N29" s="266">
        <f t="shared" si="4"/>
        <v>0</v>
      </c>
      <c r="O29" s="266">
        <f t="shared" si="5"/>
        <v>0</v>
      </c>
      <c r="P29" s="266">
        <f t="shared" si="6"/>
        <v>161.08055601188099</v>
      </c>
      <c r="Q29" s="266">
        <f t="shared" si="7"/>
        <v>0</v>
      </c>
      <c r="R29" s="266">
        <f t="shared" si="8"/>
        <v>0</v>
      </c>
      <c r="S29" s="266">
        <f t="shared" si="9"/>
        <v>0</v>
      </c>
    </row>
    <row r="30" spans="1:19">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c r="I30" s="268"/>
      <c r="J30" s="6">
        <f t="shared" si="1"/>
        <v>5.8185356703615785</v>
      </c>
      <c r="L30" t="str">
        <f t="shared" si="2"/>
        <v>NH</v>
      </c>
      <c r="M30" s="266">
        <f t="shared" si="3"/>
        <v>0</v>
      </c>
      <c r="N30" s="266">
        <f t="shared" si="4"/>
        <v>0</v>
      </c>
      <c r="O30" s="266">
        <f t="shared" si="5"/>
        <v>0</v>
      </c>
      <c r="P30" s="266">
        <f t="shared" si="6"/>
        <v>24</v>
      </c>
      <c r="Q30" s="266">
        <f t="shared" si="7"/>
        <v>0</v>
      </c>
      <c r="R30" s="266">
        <f t="shared" si="8"/>
        <v>0</v>
      </c>
      <c r="S30" s="266">
        <f t="shared" si="9"/>
        <v>0</v>
      </c>
    </row>
    <row r="31" spans="1:19">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c r="I31" s="268"/>
      <c r="J31" s="6">
        <f t="shared" si="1"/>
        <v>143.52003781672593</v>
      </c>
      <c r="L31" t="str">
        <f t="shared" si="2"/>
        <v>NJ</v>
      </c>
      <c r="M31" s="266">
        <f t="shared" si="3"/>
        <v>0</v>
      </c>
      <c r="N31" s="266">
        <f t="shared" si="4"/>
        <v>0</v>
      </c>
      <c r="O31" s="266">
        <f t="shared" si="5"/>
        <v>0</v>
      </c>
      <c r="P31" s="266">
        <f t="shared" si="6"/>
        <v>143.52003781672593</v>
      </c>
      <c r="Q31" s="266">
        <f t="shared" si="7"/>
        <v>0</v>
      </c>
      <c r="R31" s="266">
        <f t="shared" si="8"/>
        <v>0</v>
      </c>
      <c r="S31" s="266">
        <f t="shared" si="9"/>
        <v>0</v>
      </c>
    </row>
    <row r="32" spans="1:19">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c r="I32" s="268"/>
      <c r="J32" s="6">
        <f t="shared" si="1"/>
        <v>17.162690614603346</v>
      </c>
      <c r="L32" t="str">
        <f t="shared" si="2"/>
        <v>NM</v>
      </c>
      <c r="M32" s="266">
        <f t="shared" si="3"/>
        <v>0</v>
      </c>
      <c r="N32" s="266">
        <f t="shared" si="4"/>
        <v>0</v>
      </c>
      <c r="O32" s="266">
        <f t="shared" si="5"/>
        <v>0</v>
      </c>
      <c r="P32" s="266">
        <f t="shared" si="6"/>
        <v>24</v>
      </c>
      <c r="Q32" s="266">
        <f t="shared" si="7"/>
        <v>0</v>
      </c>
      <c r="R32" s="266">
        <f t="shared" si="8"/>
        <v>0</v>
      </c>
      <c r="S32" s="266">
        <f t="shared" si="9"/>
        <v>0</v>
      </c>
    </row>
    <row r="33" spans="1:19">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c r="I33" s="268"/>
      <c r="J33" s="6">
        <f t="shared" si="1"/>
        <v>329.46702070638628</v>
      </c>
      <c r="L33" t="str">
        <f t="shared" si="2"/>
        <v>NY</v>
      </c>
      <c r="M33" s="266">
        <f t="shared" si="3"/>
        <v>0</v>
      </c>
      <c r="N33" s="266">
        <f t="shared" si="4"/>
        <v>0</v>
      </c>
      <c r="O33" s="266">
        <f t="shared" si="5"/>
        <v>0</v>
      </c>
      <c r="P33" s="266">
        <f t="shared" si="6"/>
        <v>329.46702070638628</v>
      </c>
      <c r="Q33" s="266">
        <f t="shared" si="7"/>
        <v>0</v>
      </c>
      <c r="R33" s="266">
        <f t="shared" si="8"/>
        <v>0</v>
      </c>
      <c r="S33" s="266">
        <f t="shared" si="9"/>
        <v>0</v>
      </c>
    </row>
    <row r="34" spans="1:19">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c r="I34" s="268"/>
      <c r="J34" s="6">
        <f t="shared" si="1"/>
        <v>203.71807761157814</v>
      </c>
      <c r="L34" t="str">
        <f t="shared" si="2"/>
        <v>NC</v>
      </c>
      <c r="M34" s="266">
        <f t="shared" si="3"/>
        <v>0</v>
      </c>
      <c r="N34" s="266">
        <f t="shared" si="4"/>
        <v>0</v>
      </c>
      <c r="O34" s="266">
        <f t="shared" si="5"/>
        <v>0</v>
      </c>
      <c r="P34" s="266">
        <f t="shared" si="6"/>
        <v>203.71807761157814</v>
      </c>
      <c r="Q34" s="266">
        <f t="shared" si="7"/>
        <v>0</v>
      </c>
      <c r="R34" s="266">
        <f t="shared" si="8"/>
        <v>0</v>
      </c>
      <c r="S34" s="266">
        <f t="shared" si="9"/>
        <v>0</v>
      </c>
    </row>
    <row r="35" spans="1:19">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c r="I35" s="268"/>
      <c r="J35" s="6">
        <f t="shared" si="1"/>
        <v>7.1603323155283469</v>
      </c>
      <c r="L35" t="str">
        <f t="shared" si="2"/>
        <v>ND</v>
      </c>
      <c r="M35" s="266">
        <f t="shared" si="3"/>
        <v>0</v>
      </c>
      <c r="N35" s="266">
        <f t="shared" si="4"/>
        <v>0</v>
      </c>
      <c r="O35" s="266">
        <f t="shared" si="5"/>
        <v>0</v>
      </c>
      <c r="P35" s="266">
        <f t="shared" si="6"/>
        <v>24</v>
      </c>
      <c r="Q35" s="266">
        <f t="shared" si="7"/>
        <v>0</v>
      </c>
      <c r="R35" s="266">
        <f t="shared" si="8"/>
        <v>0</v>
      </c>
      <c r="S35" s="266">
        <f t="shared" si="9"/>
        <v>0</v>
      </c>
    </row>
    <row r="36" spans="1:19">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c r="I36" s="268"/>
      <c r="J36" s="6">
        <f t="shared" si="1"/>
        <v>63.189834554842932</v>
      </c>
      <c r="L36" t="str">
        <f t="shared" si="2"/>
        <v>OH</v>
      </c>
      <c r="M36" s="266">
        <f t="shared" si="3"/>
        <v>0</v>
      </c>
      <c r="N36" s="266">
        <f t="shared" si="4"/>
        <v>0</v>
      </c>
      <c r="O36" s="266">
        <f t="shared" si="5"/>
        <v>0</v>
      </c>
      <c r="P36" s="266">
        <f t="shared" si="6"/>
        <v>63.189834554842932</v>
      </c>
      <c r="Q36" s="266">
        <f t="shared" si="7"/>
        <v>0</v>
      </c>
      <c r="R36" s="266">
        <f t="shared" si="8"/>
        <v>0</v>
      </c>
      <c r="S36" s="266">
        <f t="shared" si="9"/>
        <v>0</v>
      </c>
    </row>
    <row r="37" spans="1:19">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c r="I37" s="268"/>
      <c r="J37" s="6">
        <f t="shared" si="1"/>
        <v>22.169466571238047</v>
      </c>
      <c r="L37" t="str">
        <f t="shared" si="2"/>
        <v>OK</v>
      </c>
      <c r="M37" s="266">
        <f t="shared" si="3"/>
        <v>0</v>
      </c>
      <c r="N37" s="266">
        <f t="shared" si="4"/>
        <v>0</v>
      </c>
      <c r="O37" s="266">
        <f t="shared" si="5"/>
        <v>0</v>
      </c>
      <c r="P37" s="266">
        <f t="shared" si="6"/>
        <v>24</v>
      </c>
      <c r="Q37" s="266">
        <f t="shared" si="7"/>
        <v>0</v>
      </c>
      <c r="R37" s="266">
        <f t="shared" si="8"/>
        <v>0</v>
      </c>
      <c r="S37" s="266">
        <f t="shared" si="9"/>
        <v>0</v>
      </c>
    </row>
    <row r="38" spans="1:19">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c r="I38" s="268"/>
      <c r="J38" s="6">
        <f t="shared" si="1"/>
        <v>67.84500632237912</v>
      </c>
      <c r="L38" t="str">
        <f t="shared" si="2"/>
        <v>OR</v>
      </c>
      <c r="M38" s="266">
        <f t="shared" si="3"/>
        <v>0</v>
      </c>
      <c r="N38" s="266">
        <f t="shared" si="4"/>
        <v>0</v>
      </c>
      <c r="O38" s="266">
        <f t="shared" si="5"/>
        <v>0</v>
      </c>
      <c r="P38" s="266">
        <f t="shared" si="6"/>
        <v>67.84500632237912</v>
      </c>
      <c r="Q38" s="266">
        <f t="shared" si="7"/>
        <v>0</v>
      </c>
      <c r="R38" s="266">
        <f t="shared" si="8"/>
        <v>0</v>
      </c>
      <c r="S38" s="266">
        <f t="shared" si="9"/>
        <v>0</v>
      </c>
    </row>
    <row r="39" spans="1:19">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c r="I39" s="268"/>
      <c r="J39" s="6">
        <f t="shared" si="1"/>
        <v>134.80099027093405</v>
      </c>
      <c r="L39" t="str">
        <f t="shared" si="2"/>
        <v>PA</v>
      </c>
      <c r="M39" s="266">
        <f t="shared" si="3"/>
        <v>0</v>
      </c>
      <c r="N39" s="266">
        <f t="shared" si="4"/>
        <v>0</v>
      </c>
      <c r="O39" s="266">
        <f t="shared" si="5"/>
        <v>0</v>
      </c>
      <c r="P39" s="266">
        <f t="shared" si="6"/>
        <v>134.80099027093405</v>
      </c>
      <c r="Q39" s="266">
        <f t="shared" si="7"/>
        <v>0</v>
      </c>
      <c r="R39" s="266">
        <f t="shared" si="8"/>
        <v>0</v>
      </c>
      <c r="S39" s="266">
        <f t="shared" si="9"/>
        <v>0</v>
      </c>
    </row>
    <row r="40" spans="1:19">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c r="I40" s="268"/>
      <c r="J40" s="6">
        <f t="shared" si="1"/>
        <v>11.907238275146844</v>
      </c>
      <c r="L40" t="str">
        <f t="shared" si="2"/>
        <v>RI</v>
      </c>
      <c r="M40" s="266">
        <f t="shared" si="3"/>
        <v>0</v>
      </c>
      <c r="N40" s="266">
        <f t="shared" si="4"/>
        <v>0</v>
      </c>
      <c r="O40" s="266">
        <f t="shared" si="5"/>
        <v>0</v>
      </c>
      <c r="P40" s="266">
        <f t="shared" si="6"/>
        <v>24</v>
      </c>
      <c r="Q40" s="266">
        <f t="shared" si="7"/>
        <v>0</v>
      </c>
      <c r="R40" s="266">
        <f t="shared" si="8"/>
        <v>0</v>
      </c>
      <c r="S40" s="266">
        <f t="shared" si="9"/>
        <v>0</v>
      </c>
    </row>
    <row r="41" spans="1:19">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c r="I41" s="268"/>
      <c r="J41" s="6">
        <f t="shared" si="1"/>
        <v>34.068088435670788</v>
      </c>
      <c r="L41" t="str">
        <f t="shared" si="2"/>
        <v>SC</v>
      </c>
      <c r="M41" s="266">
        <f t="shared" si="3"/>
        <v>0</v>
      </c>
      <c r="N41" s="266">
        <f t="shared" si="4"/>
        <v>0</v>
      </c>
      <c r="O41" s="266">
        <f t="shared" si="5"/>
        <v>0</v>
      </c>
      <c r="P41" s="266">
        <f t="shared" si="6"/>
        <v>34.068088435670788</v>
      </c>
      <c r="Q41" s="266">
        <f t="shared" si="7"/>
        <v>0</v>
      </c>
      <c r="R41" s="266">
        <f t="shared" si="8"/>
        <v>0</v>
      </c>
      <c r="S41" s="266">
        <f t="shared" si="9"/>
        <v>0</v>
      </c>
    </row>
    <row r="42" spans="1:19">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c r="I42" s="268"/>
      <c r="J42" s="6">
        <f t="shared" si="1"/>
        <v>5.7910059115258958</v>
      </c>
      <c r="L42" t="str">
        <f t="shared" si="2"/>
        <v>SD</v>
      </c>
      <c r="M42" s="266">
        <f t="shared" si="3"/>
        <v>0</v>
      </c>
      <c r="N42" s="266">
        <f t="shared" si="4"/>
        <v>0</v>
      </c>
      <c r="O42" s="266">
        <f t="shared" si="5"/>
        <v>0</v>
      </c>
      <c r="P42" s="266">
        <f t="shared" si="6"/>
        <v>24</v>
      </c>
      <c r="Q42" s="266">
        <f t="shared" si="7"/>
        <v>0</v>
      </c>
      <c r="R42" s="266">
        <f t="shared" si="8"/>
        <v>0</v>
      </c>
      <c r="S42" s="266">
        <f t="shared" si="9"/>
        <v>0</v>
      </c>
    </row>
    <row r="43" spans="1:19">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c r="I43" s="268"/>
      <c r="J43" s="6">
        <f t="shared" si="1"/>
        <v>78.839118839078381</v>
      </c>
      <c r="L43" t="str">
        <f t="shared" si="2"/>
        <v>TN</v>
      </c>
      <c r="M43" s="266">
        <f t="shared" si="3"/>
        <v>0</v>
      </c>
      <c r="N43" s="266">
        <f t="shared" si="4"/>
        <v>0</v>
      </c>
      <c r="O43" s="266">
        <f t="shared" si="5"/>
        <v>0</v>
      </c>
      <c r="P43" s="266">
        <f t="shared" si="6"/>
        <v>78.839118839078381</v>
      </c>
      <c r="Q43" s="266">
        <f t="shared" si="7"/>
        <v>0</v>
      </c>
      <c r="R43" s="266">
        <f t="shared" si="8"/>
        <v>0</v>
      </c>
      <c r="S43" s="266">
        <f t="shared" si="9"/>
        <v>0</v>
      </c>
    </row>
    <row r="44" spans="1:19">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c r="I44" s="268"/>
      <c r="J44" s="6">
        <f t="shared" si="1"/>
        <v>544.27615287801837</v>
      </c>
      <c r="L44" t="str">
        <f t="shared" si="2"/>
        <v>TX</v>
      </c>
      <c r="M44" s="266">
        <f t="shared" si="3"/>
        <v>0</v>
      </c>
      <c r="N44" s="266">
        <f t="shared" si="4"/>
        <v>0</v>
      </c>
      <c r="O44" s="266">
        <f t="shared" si="5"/>
        <v>0</v>
      </c>
      <c r="P44" s="266">
        <f t="shared" si="6"/>
        <v>544.27615287801837</v>
      </c>
      <c r="Q44" s="266">
        <f t="shared" si="7"/>
        <v>0</v>
      </c>
      <c r="R44" s="266">
        <f t="shared" si="8"/>
        <v>0</v>
      </c>
      <c r="S44" s="266">
        <f t="shared" si="9"/>
        <v>0</v>
      </c>
    </row>
    <row r="45" spans="1:19">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c r="I45" s="268"/>
      <c r="J45" s="6">
        <f t="shared" si="1"/>
        <v>78.26304260214819</v>
      </c>
      <c r="L45" t="str">
        <f t="shared" si="2"/>
        <v>UT</v>
      </c>
      <c r="M45" s="266">
        <f t="shared" si="3"/>
        <v>0</v>
      </c>
      <c r="N45" s="266">
        <f t="shared" si="4"/>
        <v>0</v>
      </c>
      <c r="O45" s="266">
        <f t="shared" si="5"/>
        <v>0</v>
      </c>
      <c r="P45" s="266">
        <f t="shared" si="6"/>
        <v>78.26304260214819</v>
      </c>
      <c r="Q45" s="266">
        <f t="shared" si="7"/>
        <v>0</v>
      </c>
      <c r="R45" s="266">
        <f t="shared" si="8"/>
        <v>0</v>
      </c>
      <c r="S45" s="266">
        <f t="shared" si="9"/>
        <v>0</v>
      </c>
    </row>
    <row r="46" spans="1:19">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c r="I46" s="268"/>
      <c r="J46" s="6">
        <f t="shared" si="1"/>
        <v>4.1157880197875345</v>
      </c>
      <c r="L46" t="str">
        <f t="shared" si="2"/>
        <v>VT</v>
      </c>
      <c r="M46" s="266">
        <f t="shared" si="3"/>
        <v>0</v>
      </c>
      <c r="N46" s="266">
        <f t="shared" si="4"/>
        <v>0</v>
      </c>
      <c r="O46" s="266">
        <f t="shared" si="5"/>
        <v>0</v>
      </c>
      <c r="P46" s="266">
        <f t="shared" si="6"/>
        <v>24</v>
      </c>
      <c r="Q46" s="266">
        <f t="shared" si="7"/>
        <v>0</v>
      </c>
      <c r="R46" s="266">
        <f t="shared" si="8"/>
        <v>0</v>
      </c>
      <c r="S46" s="266">
        <f t="shared" si="9"/>
        <v>0</v>
      </c>
    </row>
    <row r="47" spans="1:19">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c r="I47" s="268"/>
      <c r="J47" s="6">
        <f t="shared" si="1"/>
        <v>170.82561557916324</v>
      </c>
      <c r="L47" t="str">
        <f t="shared" si="2"/>
        <v>VA</v>
      </c>
      <c r="M47" s="266">
        <f t="shared" si="3"/>
        <v>0</v>
      </c>
      <c r="N47" s="266">
        <f t="shared" si="4"/>
        <v>0</v>
      </c>
      <c r="O47" s="266">
        <f t="shared" si="5"/>
        <v>0</v>
      </c>
      <c r="P47" s="266">
        <f t="shared" si="6"/>
        <v>170.82561557916324</v>
      </c>
      <c r="Q47" s="266">
        <f t="shared" si="7"/>
        <v>0</v>
      </c>
      <c r="R47" s="266">
        <f t="shared" si="8"/>
        <v>0</v>
      </c>
      <c r="S47" s="266">
        <f t="shared" si="9"/>
        <v>0</v>
      </c>
    </row>
    <row r="48" spans="1:19">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c r="I48" s="268"/>
      <c r="J48" s="6">
        <f t="shared" si="1"/>
        <v>168.98513599881463</v>
      </c>
      <c r="L48" t="str">
        <f t="shared" si="2"/>
        <v>WA</v>
      </c>
      <c r="M48" s="266">
        <f t="shared" si="3"/>
        <v>0</v>
      </c>
      <c r="N48" s="266">
        <f t="shared" si="4"/>
        <v>0</v>
      </c>
      <c r="O48" s="266">
        <f t="shared" si="5"/>
        <v>0</v>
      </c>
      <c r="P48" s="266">
        <f t="shared" si="6"/>
        <v>168.98513599881463</v>
      </c>
      <c r="Q48" s="266">
        <f t="shared" si="7"/>
        <v>0</v>
      </c>
      <c r="R48" s="266">
        <f t="shared" si="8"/>
        <v>0</v>
      </c>
      <c r="S48" s="266">
        <f t="shared" si="9"/>
        <v>0</v>
      </c>
    </row>
    <row r="49" spans="1:19">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c r="I49" s="268"/>
      <c r="J49" s="6">
        <f t="shared" si="1"/>
        <v>2.4021496061193073</v>
      </c>
      <c r="L49" t="str">
        <f t="shared" si="2"/>
        <v>WV</v>
      </c>
      <c r="M49" s="266">
        <f t="shared" si="3"/>
        <v>0</v>
      </c>
      <c r="N49" s="266">
        <f t="shared" si="4"/>
        <v>0</v>
      </c>
      <c r="O49" s="266">
        <f t="shared" si="5"/>
        <v>0</v>
      </c>
      <c r="P49" s="266">
        <f t="shared" si="6"/>
        <v>24</v>
      </c>
      <c r="Q49" s="266">
        <f t="shared" si="7"/>
        <v>0</v>
      </c>
      <c r="R49" s="266">
        <f t="shared" si="8"/>
        <v>0</v>
      </c>
      <c r="S49" s="266">
        <f t="shared" si="9"/>
        <v>0</v>
      </c>
    </row>
    <row r="50" spans="1:19">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c r="I50" s="268"/>
      <c r="J50" s="6">
        <f t="shared" si="1"/>
        <v>33.020817454596383</v>
      </c>
      <c r="L50" t="str">
        <f t="shared" si="2"/>
        <v>WI</v>
      </c>
      <c r="M50" s="266">
        <f t="shared" si="3"/>
        <v>0</v>
      </c>
      <c r="N50" s="266">
        <f t="shared" si="4"/>
        <v>0</v>
      </c>
      <c r="O50" s="266">
        <f t="shared" si="5"/>
        <v>0</v>
      </c>
      <c r="P50" s="266">
        <f t="shared" si="6"/>
        <v>33.020817454596383</v>
      </c>
      <c r="Q50" s="266">
        <f t="shared" si="7"/>
        <v>0</v>
      </c>
      <c r="R50" s="266">
        <f t="shared" si="8"/>
        <v>0</v>
      </c>
      <c r="S50" s="266">
        <f t="shared" si="9"/>
        <v>0</v>
      </c>
    </row>
    <row r="51" spans="1:19">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c r="I51" s="268"/>
      <c r="J51" s="6">
        <f t="shared" si="1"/>
        <v>4.0963996111165892</v>
      </c>
      <c r="L51" t="str">
        <f t="shared" si="2"/>
        <v>WY</v>
      </c>
      <c r="M51" s="266">
        <f t="shared" si="3"/>
        <v>0</v>
      </c>
      <c r="N51" s="266">
        <f t="shared" si="4"/>
        <v>0</v>
      </c>
      <c r="O51" s="266">
        <f t="shared" si="5"/>
        <v>0</v>
      </c>
      <c r="P51" s="266">
        <f t="shared" si="6"/>
        <v>24</v>
      </c>
      <c r="Q51" s="266">
        <f t="shared" si="7"/>
        <v>0</v>
      </c>
      <c r="R51" s="266">
        <f t="shared" si="8"/>
        <v>0</v>
      </c>
      <c r="S51" s="266">
        <f t="shared" si="9"/>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T51"/>
  <sheetViews>
    <sheetView topLeftCell="E1" workbookViewId="0">
      <selection activeCell="M2" sqref="M2"/>
    </sheetView>
  </sheetViews>
  <sheetFormatPr defaultRowHeight="15"/>
  <cols>
    <col min="1" max="1" width="7.42578125" customWidth="1"/>
    <col min="2" max="8" width="13" customWidth="1"/>
    <col min="9" max="9" width="5.42578125" customWidth="1"/>
    <col min="10" max="10" width="14.42578125" bestFit="1" customWidth="1"/>
    <col min="13" max="19" width="9.140625" style="3"/>
  </cols>
  <sheetData>
    <row r="1" spans="1:20" ht="60">
      <c r="A1" s="7" t="s">
        <v>60</v>
      </c>
      <c r="B1" s="5" t="s">
        <v>10</v>
      </c>
      <c r="C1" s="5" t="s">
        <v>11</v>
      </c>
      <c r="D1" s="5" t="s">
        <v>12</v>
      </c>
      <c r="E1" s="5" t="s">
        <v>13</v>
      </c>
      <c r="F1" s="5" t="s">
        <v>14</v>
      </c>
      <c r="G1" s="5" t="s">
        <v>52</v>
      </c>
      <c r="H1" s="5" t="s">
        <v>53</v>
      </c>
      <c r="J1" s="264" t="str">
        <f>"AVL="&amp;AVL!B5</f>
        <v>AVL=34</v>
      </c>
      <c r="K1" s="272">
        <v>34</v>
      </c>
      <c r="L1" s="7" t="s">
        <v>60</v>
      </c>
      <c r="M1" s="265" t="s">
        <v>10</v>
      </c>
      <c r="N1" s="265" t="s">
        <v>11</v>
      </c>
      <c r="O1" s="265" t="s">
        <v>12</v>
      </c>
      <c r="P1" s="265" t="s">
        <v>13</v>
      </c>
      <c r="Q1" s="265" t="s">
        <v>14</v>
      </c>
      <c r="R1" s="265" t="s">
        <v>52</v>
      </c>
      <c r="S1" s="265" t="s">
        <v>53</v>
      </c>
    </row>
    <row r="2" spans="1:20">
      <c r="A2" s="161" t="s">
        <v>147</v>
      </c>
      <c r="B2" s="6">
        <f>'US-syvbt-psgr'!$B$5*SUMIFS('% by state 2019'!W:W,'% by state 2019'!O:O,$A2)</f>
        <v>0</v>
      </c>
      <c r="C2" s="6">
        <v>0</v>
      </c>
      <c r="D2" s="6">
        <v>0</v>
      </c>
      <c r="E2" s="6">
        <f>'US-syvbt-psgr'!$E$5*SUMIFS('% by state 2019'!V:V,'% by state 2019'!O:O,$A2)</f>
        <v>0</v>
      </c>
      <c r="F2" s="6">
        <v>0</v>
      </c>
      <c r="G2" s="6">
        <v>0</v>
      </c>
      <c r="H2" s="6">
        <v>0</v>
      </c>
      <c r="J2" s="271">
        <f>SUM(B2:H2)</f>
        <v>0</v>
      </c>
      <c r="L2" s="161" t="s">
        <v>147</v>
      </c>
      <c r="M2" s="273">
        <f>IF(B2=0,0,IF(SUM($B2:$H2)&lt;$K$1,B2*($K$1/SUM($B2:$H2)),B2))</f>
        <v>0</v>
      </c>
      <c r="N2" s="273">
        <f t="shared" ref="N2:S17" si="0">IF(C2=0,0,IF(SUM($B2:$H2)&lt;$K$1,C2*($K$1/SUM($B2:$H2)),C2))</f>
        <v>0</v>
      </c>
      <c r="O2" s="273">
        <f t="shared" si="0"/>
        <v>0</v>
      </c>
      <c r="P2" s="273">
        <f t="shared" si="0"/>
        <v>0</v>
      </c>
      <c r="Q2" s="273">
        <f t="shared" si="0"/>
        <v>0</v>
      </c>
      <c r="R2" s="273">
        <f t="shared" si="0"/>
        <v>0</v>
      </c>
      <c r="S2" s="273">
        <f t="shared" si="0"/>
        <v>0</v>
      </c>
      <c r="T2" s="6"/>
    </row>
    <row r="3" spans="1:20">
      <c r="A3" s="161" t="s">
        <v>149</v>
      </c>
      <c r="B3" s="6">
        <f>'US-syvbt-psgr'!$B$5*SUMIFS('% by state 2019'!W:W,'% by state 2019'!O:O,$A3)</f>
        <v>0</v>
      </c>
      <c r="C3" s="6">
        <v>0</v>
      </c>
      <c r="D3" s="6">
        <v>0</v>
      </c>
      <c r="E3" s="6">
        <f>'US-syvbt-psgr'!$E$5*SUMIFS('% by state 2019'!V:V,'% by state 2019'!O:O,$A3)</f>
        <v>0</v>
      </c>
      <c r="F3" s="6">
        <v>0</v>
      </c>
      <c r="G3" s="6">
        <v>0</v>
      </c>
      <c r="H3" s="6">
        <v>0</v>
      </c>
      <c r="J3" s="271">
        <f t="shared" ref="J3:J51" si="1">SUM(B3:H3)</f>
        <v>0</v>
      </c>
      <c r="L3" s="161" t="s">
        <v>149</v>
      </c>
      <c r="M3" s="273">
        <f t="shared" ref="M3:M51" si="2">IF(B3=0,0,IF(SUM($B3:$H3)&lt;$K$1,B3*($K$1/SUM($B3:$H3)),B3))</f>
        <v>0</v>
      </c>
      <c r="N3" s="273">
        <f t="shared" si="0"/>
        <v>0</v>
      </c>
      <c r="O3" s="273">
        <f t="shared" si="0"/>
        <v>0</v>
      </c>
      <c r="P3" s="273">
        <f t="shared" si="0"/>
        <v>0</v>
      </c>
      <c r="Q3" s="273">
        <f t="shared" si="0"/>
        <v>0</v>
      </c>
      <c r="R3" s="273">
        <f t="shared" si="0"/>
        <v>0</v>
      </c>
      <c r="S3" s="273">
        <f t="shared" si="0"/>
        <v>0</v>
      </c>
      <c r="T3" s="6"/>
    </row>
    <row r="4" spans="1:20">
      <c r="A4" s="161" t="s">
        <v>150</v>
      </c>
      <c r="B4" s="6">
        <f>'US-syvbt-psgr'!$B$5*SUMIFS('% by state 2019'!W:W,'% by state 2019'!O:O,$A4)</f>
        <v>17</v>
      </c>
      <c r="C4" s="6">
        <v>0</v>
      </c>
      <c r="D4" s="6">
        <v>0</v>
      </c>
      <c r="E4" s="6">
        <f>'US-syvbt-psgr'!$E$5*SUMIFS('% by state 2019'!V:V,'% by state 2019'!O:O,$A4)</f>
        <v>0</v>
      </c>
      <c r="F4" s="6">
        <v>0</v>
      </c>
      <c r="G4" s="6">
        <v>0</v>
      </c>
      <c r="H4" s="6">
        <v>0</v>
      </c>
      <c r="J4" s="271">
        <f t="shared" si="1"/>
        <v>17</v>
      </c>
      <c r="L4" s="161" t="s">
        <v>150</v>
      </c>
      <c r="M4" s="273">
        <f t="shared" si="2"/>
        <v>34</v>
      </c>
      <c r="N4" s="273">
        <f t="shared" si="0"/>
        <v>0</v>
      </c>
      <c r="O4" s="273">
        <f t="shared" si="0"/>
        <v>0</v>
      </c>
      <c r="P4" s="273">
        <f t="shared" si="0"/>
        <v>0</v>
      </c>
      <c r="Q4" s="273">
        <f t="shared" si="0"/>
        <v>0</v>
      </c>
      <c r="R4" s="273">
        <f t="shared" si="0"/>
        <v>0</v>
      </c>
      <c r="S4" s="273">
        <f t="shared" si="0"/>
        <v>0</v>
      </c>
      <c r="T4" s="6"/>
    </row>
    <row r="5" spans="1:20">
      <c r="A5" s="161" t="s">
        <v>151</v>
      </c>
      <c r="B5" s="6">
        <f>'US-syvbt-psgr'!$B$5*SUMIFS('% by state 2019'!W:W,'% by state 2019'!O:O,$A5)</f>
        <v>0</v>
      </c>
      <c r="C5" s="6">
        <v>0</v>
      </c>
      <c r="D5" s="6">
        <v>0</v>
      </c>
      <c r="E5" s="6">
        <f>'US-syvbt-psgr'!$E$5*SUMIFS('% by state 2019'!V:V,'% by state 2019'!O:O,$A5)</f>
        <v>0</v>
      </c>
      <c r="F5" s="6">
        <v>0</v>
      </c>
      <c r="G5" s="6">
        <v>0</v>
      </c>
      <c r="H5" s="6">
        <v>0</v>
      </c>
      <c r="J5" s="271">
        <f t="shared" si="1"/>
        <v>0</v>
      </c>
      <c r="L5" s="161" t="s">
        <v>151</v>
      </c>
      <c r="M5" s="273">
        <f t="shared" si="2"/>
        <v>0</v>
      </c>
      <c r="N5" s="273">
        <f t="shared" si="0"/>
        <v>0</v>
      </c>
      <c r="O5" s="273">
        <f t="shared" si="0"/>
        <v>0</v>
      </c>
      <c r="P5" s="273">
        <f t="shared" si="0"/>
        <v>0</v>
      </c>
      <c r="Q5" s="273">
        <f t="shared" si="0"/>
        <v>0</v>
      </c>
      <c r="R5" s="273">
        <f t="shared" si="0"/>
        <v>0</v>
      </c>
      <c r="S5" s="273">
        <f t="shared" si="0"/>
        <v>0</v>
      </c>
      <c r="T5" s="6"/>
    </row>
    <row r="6" spans="1:20">
      <c r="A6" s="161" t="s">
        <v>153</v>
      </c>
      <c r="B6" s="6">
        <f>'US-syvbt-psgr'!$B$5*SUMIFS('% by state 2019'!W:W,'% by state 2019'!O:O,$A6)</f>
        <v>421</v>
      </c>
      <c r="C6" s="6">
        <v>0</v>
      </c>
      <c r="D6" s="6">
        <v>0</v>
      </c>
      <c r="E6" s="6">
        <f>'US-syvbt-psgr'!$E$5*SUMIFS('% by state 2019'!V:V,'% by state 2019'!O:O,$A6)</f>
        <v>20</v>
      </c>
      <c r="F6" s="6">
        <v>0</v>
      </c>
      <c r="G6" s="6">
        <v>0</v>
      </c>
      <c r="H6" s="6">
        <v>0</v>
      </c>
      <c r="J6" s="271">
        <f t="shared" si="1"/>
        <v>441</v>
      </c>
      <c r="L6" s="161" t="s">
        <v>153</v>
      </c>
      <c r="M6" s="273">
        <f t="shared" si="2"/>
        <v>421</v>
      </c>
      <c r="N6" s="273">
        <f t="shared" si="0"/>
        <v>0</v>
      </c>
      <c r="O6" s="273">
        <f t="shared" si="0"/>
        <v>0</v>
      </c>
      <c r="P6" s="273">
        <f t="shared" si="0"/>
        <v>20</v>
      </c>
      <c r="Q6" s="273">
        <f t="shared" si="0"/>
        <v>0</v>
      </c>
      <c r="R6" s="273">
        <f t="shared" si="0"/>
        <v>0</v>
      </c>
      <c r="S6" s="273">
        <f t="shared" si="0"/>
        <v>0</v>
      </c>
      <c r="T6" s="6"/>
    </row>
    <row r="7" spans="1:20">
      <c r="A7" s="161" t="s">
        <v>155</v>
      </c>
      <c r="B7" s="6">
        <f>'US-syvbt-psgr'!$B$5*SUMIFS('% by state 2019'!W:W,'% by state 2019'!O:O,$A7)</f>
        <v>56.000000000000007</v>
      </c>
      <c r="C7" s="6">
        <v>0</v>
      </c>
      <c r="D7" s="6">
        <v>0</v>
      </c>
      <c r="E7" s="6">
        <f>'US-syvbt-psgr'!$E$5*SUMIFS('% by state 2019'!V:V,'% by state 2019'!O:O,$A7)</f>
        <v>0</v>
      </c>
      <c r="F7" s="6">
        <v>0</v>
      </c>
      <c r="G7" s="6">
        <v>0</v>
      </c>
      <c r="H7" s="6">
        <v>0</v>
      </c>
      <c r="J7" s="271">
        <f t="shared" si="1"/>
        <v>56.000000000000007</v>
      </c>
      <c r="L7" s="161" t="s">
        <v>155</v>
      </c>
      <c r="M7" s="273">
        <f t="shared" si="2"/>
        <v>56.000000000000007</v>
      </c>
      <c r="N7" s="273">
        <f t="shared" si="0"/>
        <v>0</v>
      </c>
      <c r="O7" s="273">
        <f t="shared" si="0"/>
        <v>0</v>
      </c>
      <c r="P7" s="273">
        <f t="shared" si="0"/>
        <v>0</v>
      </c>
      <c r="Q7" s="273">
        <f t="shared" si="0"/>
        <v>0</v>
      </c>
      <c r="R7" s="273">
        <f t="shared" si="0"/>
        <v>0</v>
      </c>
      <c r="S7" s="273">
        <f t="shared" si="0"/>
        <v>0</v>
      </c>
      <c r="T7" s="6"/>
    </row>
    <row r="8" spans="1:20">
      <c r="A8" s="161" t="s">
        <v>157</v>
      </c>
      <c r="B8" s="6">
        <f>'US-syvbt-psgr'!$B$5*SUMIFS('% by state 2019'!W:W,'% by state 2019'!O:O,$A8)</f>
        <v>0</v>
      </c>
      <c r="C8" s="6">
        <v>0</v>
      </c>
      <c r="D8" s="6">
        <v>0</v>
      </c>
      <c r="E8" s="6">
        <f>'US-syvbt-psgr'!$E$5*SUMIFS('% by state 2019'!V:V,'% by state 2019'!O:O,$A8)</f>
        <v>5</v>
      </c>
      <c r="F8" s="6">
        <v>0</v>
      </c>
      <c r="G8" s="6">
        <v>0</v>
      </c>
      <c r="H8" s="6">
        <v>0</v>
      </c>
      <c r="J8" s="271">
        <f t="shared" si="1"/>
        <v>5</v>
      </c>
      <c r="L8" s="161" t="s">
        <v>157</v>
      </c>
      <c r="M8" s="273">
        <f t="shared" si="2"/>
        <v>0</v>
      </c>
      <c r="N8" s="273">
        <f t="shared" si="0"/>
        <v>0</v>
      </c>
      <c r="O8" s="273">
        <f t="shared" si="0"/>
        <v>0</v>
      </c>
      <c r="P8" s="273">
        <f t="shared" si="0"/>
        <v>34</v>
      </c>
      <c r="Q8" s="273">
        <f t="shared" si="0"/>
        <v>0</v>
      </c>
      <c r="R8" s="273">
        <f t="shared" si="0"/>
        <v>0</v>
      </c>
      <c r="S8" s="273">
        <f t="shared" si="0"/>
        <v>0</v>
      </c>
      <c r="T8" s="6"/>
    </row>
    <row r="9" spans="1:20">
      <c r="A9" s="161" t="s">
        <v>159</v>
      </c>
      <c r="B9" s="6">
        <f>'US-syvbt-psgr'!$B$5*SUMIFS('% by state 2019'!W:W,'% by state 2019'!O:O,$A9)</f>
        <v>0</v>
      </c>
      <c r="C9" s="6">
        <v>0</v>
      </c>
      <c r="D9" s="6">
        <v>0</v>
      </c>
      <c r="E9" s="6">
        <f>'US-syvbt-psgr'!$E$5*SUMIFS('% by state 2019'!V:V,'% by state 2019'!O:O,$A9)</f>
        <v>0</v>
      </c>
      <c r="F9" s="6">
        <v>0</v>
      </c>
      <c r="G9" s="6">
        <v>0</v>
      </c>
      <c r="H9" s="6">
        <v>0</v>
      </c>
      <c r="J9" s="271">
        <f t="shared" si="1"/>
        <v>0</v>
      </c>
      <c r="L9" s="161" t="s">
        <v>159</v>
      </c>
      <c r="M9" s="273">
        <f t="shared" si="2"/>
        <v>0</v>
      </c>
      <c r="N9" s="273">
        <f t="shared" si="0"/>
        <v>0</v>
      </c>
      <c r="O9" s="273">
        <f t="shared" si="0"/>
        <v>0</v>
      </c>
      <c r="P9" s="273">
        <f t="shared" si="0"/>
        <v>0</v>
      </c>
      <c r="Q9" s="273">
        <f t="shared" si="0"/>
        <v>0</v>
      </c>
      <c r="R9" s="273">
        <f t="shared" si="0"/>
        <v>0</v>
      </c>
      <c r="S9" s="273">
        <f t="shared" si="0"/>
        <v>0</v>
      </c>
      <c r="T9" s="6"/>
    </row>
    <row r="10" spans="1:20">
      <c r="A10" s="161" t="s">
        <v>161</v>
      </c>
      <c r="B10" s="6">
        <f>'US-syvbt-psgr'!$B$5*SUMIFS('% by state 2019'!W:W,'% by state 2019'!O:O,$A10)</f>
        <v>9</v>
      </c>
      <c r="C10" s="6">
        <v>0</v>
      </c>
      <c r="D10" s="6">
        <v>0</v>
      </c>
      <c r="E10" s="6">
        <f>'US-syvbt-psgr'!$E$5*SUMIFS('% by state 2019'!V:V,'% by state 2019'!O:O,$A10)</f>
        <v>26</v>
      </c>
      <c r="F10" s="6">
        <v>0</v>
      </c>
      <c r="G10" s="6">
        <v>0</v>
      </c>
      <c r="H10" s="6">
        <v>0</v>
      </c>
      <c r="J10" s="271">
        <f t="shared" si="1"/>
        <v>35</v>
      </c>
      <c r="L10" s="161" t="s">
        <v>161</v>
      </c>
      <c r="M10" s="273">
        <f t="shared" si="2"/>
        <v>9</v>
      </c>
      <c r="N10" s="273">
        <f t="shared" si="0"/>
        <v>0</v>
      </c>
      <c r="O10" s="273">
        <f t="shared" si="0"/>
        <v>0</v>
      </c>
      <c r="P10" s="273">
        <f t="shared" si="0"/>
        <v>26</v>
      </c>
      <c r="Q10" s="273">
        <f t="shared" si="0"/>
        <v>0</v>
      </c>
      <c r="R10" s="273">
        <f t="shared" si="0"/>
        <v>0</v>
      </c>
      <c r="S10" s="273">
        <f t="shared" si="0"/>
        <v>0</v>
      </c>
      <c r="T10" s="6"/>
    </row>
    <row r="11" spans="1:20">
      <c r="A11" s="161" t="s">
        <v>163</v>
      </c>
      <c r="B11" s="6">
        <f>'US-syvbt-psgr'!$B$5*SUMIFS('% by state 2019'!W:W,'% by state 2019'!O:O,$A11)</f>
        <v>39</v>
      </c>
      <c r="C11" s="6">
        <v>0</v>
      </c>
      <c r="D11" s="6">
        <v>0</v>
      </c>
      <c r="E11" s="6">
        <f>'US-syvbt-psgr'!$E$5*SUMIFS('% by state 2019'!V:V,'% by state 2019'!O:O,$A11)</f>
        <v>0</v>
      </c>
      <c r="F11" s="6">
        <v>0</v>
      </c>
      <c r="G11" s="6">
        <v>0</v>
      </c>
      <c r="H11" s="6">
        <v>0</v>
      </c>
      <c r="J11" s="271">
        <f t="shared" si="1"/>
        <v>39</v>
      </c>
      <c r="L11" s="161" t="s">
        <v>163</v>
      </c>
      <c r="M11" s="273">
        <f t="shared" si="2"/>
        <v>39</v>
      </c>
      <c r="N11" s="273">
        <f t="shared" si="0"/>
        <v>0</v>
      </c>
      <c r="O11" s="273">
        <f t="shared" si="0"/>
        <v>0</v>
      </c>
      <c r="P11" s="273">
        <f t="shared" si="0"/>
        <v>0</v>
      </c>
      <c r="Q11" s="273">
        <f t="shared" si="0"/>
        <v>0</v>
      </c>
      <c r="R11" s="273">
        <f t="shared" si="0"/>
        <v>0</v>
      </c>
      <c r="S11" s="273">
        <f t="shared" si="0"/>
        <v>0</v>
      </c>
      <c r="T11" s="6"/>
    </row>
    <row r="12" spans="1:20">
      <c r="A12" s="161" t="s">
        <v>164</v>
      </c>
      <c r="B12" s="6">
        <f>'US-syvbt-psgr'!$B$5*SUMIFS('% by state 2019'!W:W,'% by state 2019'!O:O,$A12)</f>
        <v>0</v>
      </c>
      <c r="C12" s="6">
        <v>0</v>
      </c>
      <c r="D12" s="6">
        <v>0</v>
      </c>
      <c r="E12" s="6">
        <f>'US-syvbt-psgr'!$E$5*SUMIFS('% by state 2019'!V:V,'% by state 2019'!O:O,$A12)</f>
        <v>0</v>
      </c>
      <c r="F12" s="6">
        <v>0</v>
      </c>
      <c r="G12" s="6">
        <v>0</v>
      </c>
      <c r="H12" s="6">
        <v>0</v>
      </c>
      <c r="J12" s="271">
        <f t="shared" si="1"/>
        <v>0</v>
      </c>
      <c r="L12" s="161" t="s">
        <v>164</v>
      </c>
      <c r="M12" s="273">
        <f t="shared" si="2"/>
        <v>0</v>
      </c>
      <c r="N12" s="273">
        <f t="shared" si="0"/>
        <v>0</v>
      </c>
      <c r="O12" s="273">
        <f t="shared" si="0"/>
        <v>0</v>
      </c>
      <c r="P12" s="273">
        <f t="shared" si="0"/>
        <v>0</v>
      </c>
      <c r="Q12" s="273">
        <f t="shared" si="0"/>
        <v>0</v>
      </c>
      <c r="R12" s="273">
        <f t="shared" si="0"/>
        <v>0</v>
      </c>
      <c r="S12" s="273">
        <f t="shared" si="0"/>
        <v>0</v>
      </c>
      <c r="T12" s="6"/>
    </row>
    <row r="13" spans="1:20">
      <c r="A13" s="161" t="s">
        <v>165</v>
      </c>
      <c r="B13" s="6">
        <f>'US-syvbt-psgr'!$B$5*SUMIFS('% by state 2019'!W:W,'% by state 2019'!O:O,$A13)</f>
        <v>0</v>
      </c>
      <c r="C13" s="6">
        <v>0</v>
      </c>
      <c r="D13" s="6">
        <v>0</v>
      </c>
      <c r="E13" s="6">
        <f>'US-syvbt-psgr'!$E$5*SUMIFS('% by state 2019'!V:V,'% by state 2019'!O:O,$A13)</f>
        <v>0</v>
      </c>
      <c r="F13" s="6">
        <v>0</v>
      </c>
      <c r="G13" s="6">
        <v>0</v>
      </c>
      <c r="H13" s="6">
        <v>0</v>
      </c>
      <c r="J13" s="271">
        <f t="shared" si="1"/>
        <v>0</v>
      </c>
      <c r="L13" s="161" t="s">
        <v>165</v>
      </c>
      <c r="M13" s="273">
        <f t="shared" si="2"/>
        <v>0</v>
      </c>
      <c r="N13" s="273">
        <f t="shared" si="0"/>
        <v>0</v>
      </c>
      <c r="O13" s="273">
        <f t="shared" si="0"/>
        <v>0</v>
      </c>
      <c r="P13" s="273">
        <f t="shared" si="0"/>
        <v>0</v>
      </c>
      <c r="Q13" s="273">
        <f t="shared" si="0"/>
        <v>0</v>
      </c>
      <c r="R13" s="273">
        <f t="shared" si="0"/>
        <v>0</v>
      </c>
      <c r="S13" s="273">
        <f t="shared" si="0"/>
        <v>0</v>
      </c>
      <c r="T13" s="6"/>
    </row>
    <row r="14" spans="1:20">
      <c r="A14" s="161" t="s">
        <v>167</v>
      </c>
      <c r="B14" s="6">
        <f>'US-syvbt-psgr'!$B$5*SUMIFS('% by state 2019'!W:W,'% by state 2019'!O:O,$A14)</f>
        <v>233</v>
      </c>
      <c r="C14" s="6">
        <v>0</v>
      </c>
      <c r="D14" s="6">
        <v>0</v>
      </c>
      <c r="E14" s="6">
        <f>'US-syvbt-psgr'!$E$5*SUMIFS('% by state 2019'!V:V,'% by state 2019'!O:O,$A14)</f>
        <v>18</v>
      </c>
      <c r="F14" s="6">
        <v>0</v>
      </c>
      <c r="G14" s="6">
        <v>0</v>
      </c>
      <c r="H14" s="6">
        <v>0</v>
      </c>
      <c r="J14" s="271">
        <f t="shared" si="1"/>
        <v>251</v>
      </c>
      <c r="L14" s="161" t="s">
        <v>167</v>
      </c>
      <c r="M14" s="273">
        <f t="shared" si="2"/>
        <v>233</v>
      </c>
      <c r="N14" s="273">
        <f t="shared" si="0"/>
        <v>0</v>
      </c>
      <c r="O14" s="273">
        <f t="shared" si="0"/>
        <v>0</v>
      </c>
      <c r="P14" s="273">
        <f t="shared" si="0"/>
        <v>18</v>
      </c>
      <c r="Q14" s="273">
        <f t="shared" si="0"/>
        <v>0</v>
      </c>
      <c r="R14" s="273">
        <f t="shared" si="0"/>
        <v>0</v>
      </c>
      <c r="S14" s="273">
        <f t="shared" si="0"/>
        <v>0</v>
      </c>
      <c r="T14" s="6"/>
    </row>
    <row r="15" spans="1:20">
      <c r="A15" s="161" t="s">
        <v>169</v>
      </c>
      <c r="B15" s="6">
        <f>'US-syvbt-psgr'!$B$5*SUMIFS('% by state 2019'!W:W,'% by state 2019'!O:O,$A15)</f>
        <v>17</v>
      </c>
      <c r="C15" s="6">
        <v>0</v>
      </c>
      <c r="D15" s="6">
        <v>0</v>
      </c>
      <c r="E15" s="6">
        <f>'US-syvbt-psgr'!$E$5*SUMIFS('% by state 2019'!V:V,'% by state 2019'!O:O,$A15)</f>
        <v>0</v>
      </c>
      <c r="F15" s="6">
        <v>0</v>
      </c>
      <c r="G15" s="6">
        <v>0</v>
      </c>
      <c r="H15" s="6">
        <v>0</v>
      </c>
      <c r="J15" s="271">
        <f t="shared" si="1"/>
        <v>17</v>
      </c>
      <c r="L15" s="161" t="s">
        <v>169</v>
      </c>
      <c r="M15" s="273">
        <f t="shared" si="2"/>
        <v>34</v>
      </c>
      <c r="N15" s="273">
        <f t="shared" si="0"/>
        <v>0</v>
      </c>
      <c r="O15" s="273">
        <f t="shared" si="0"/>
        <v>0</v>
      </c>
      <c r="P15" s="273">
        <f t="shared" si="0"/>
        <v>0</v>
      </c>
      <c r="Q15" s="273">
        <f t="shared" si="0"/>
        <v>0</v>
      </c>
      <c r="R15" s="273">
        <f t="shared" si="0"/>
        <v>0</v>
      </c>
      <c r="S15" s="273">
        <f t="shared" si="0"/>
        <v>0</v>
      </c>
      <c r="T15" s="6"/>
    </row>
    <row r="16" spans="1:20">
      <c r="A16" s="161" t="s">
        <v>171</v>
      </c>
      <c r="B16" s="6">
        <f>'US-syvbt-psgr'!$B$5*SUMIFS('% by state 2019'!W:W,'% by state 2019'!O:O,$A16)</f>
        <v>0</v>
      </c>
      <c r="C16" s="6">
        <v>0</v>
      </c>
      <c r="D16" s="6">
        <v>0</v>
      </c>
      <c r="E16" s="6">
        <f>'US-syvbt-psgr'!$E$5*SUMIFS('% by state 2019'!V:V,'% by state 2019'!O:O,$A16)</f>
        <v>0</v>
      </c>
      <c r="F16" s="6">
        <v>0</v>
      </c>
      <c r="G16" s="6">
        <v>0</v>
      </c>
      <c r="H16" s="6">
        <v>0</v>
      </c>
      <c r="J16" s="271">
        <f t="shared" si="1"/>
        <v>0</v>
      </c>
      <c r="L16" s="161" t="s">
        <v>171</v>
      </c>
      <c r="M16" s="273">
        <f t="shared" si="2"/>
        <v>0</v>
      </c>
      <c r="N16" s="273">
        <f t="shared" si="0"/>
        <v>0</v>
      </c>
      <c r="O16" s="273">
        <f t="shared" si="0"/>
        <v>0</v>
      </c>
      <c r="P16" s="273">
        <f t="shared" si="0"/>
        <v>0</v>
      </c>
      <c r="Q16" s="273">
        <f t="shared" si="0"/>
        <v>0</v>
      </c>
      <c r="R16" s="273">
        <f t="shared" si="0"/>
        <v>0</v>
      </c>
      <c r="S16" s="273">
        <f t="shared" si="0"/>
        <v>0</v>
      </c>
      <c r="T16" s="6"/>
    </row>
    <row r="17" spans="1:20">
      <c r="A17" s="161" t="s">
        <v>173</v>
      </c>
      <c r="B17" s="6">
        <f>'US-syvbt-psgr'!$B$5*SUMIFS('% by state 2019'!W:W,'% by state 2019'!O:O,$A17)</f>
        <v>0</v>
      </c>
      <c r="C17" s="6">
        <v>0</v>
      </c>
      <c r="D17" s="6">
        <v>0</v>
      </c>
      <c r="E17" s="6">
        <f>'US-syvbt-psgr'!$E$5*SUMIFS('% by state 2019'!V:V,'% by state 2019'!O:O,$A17)</f>
        <v>0</v>
      </c>
      <c r="F17" s="6">
        <v>0</v>
      </c>
      <c r="G17" s="6">
        <v>0</v>
      </c>
      <c r="H17" s="6">
        <v>0</v>
      </c>
      <c r="J17" s="271">
        <f t="shared" si="1"/>
        <v>0</v>
      </c>
      <c r="L17" s="161" t="s">
        <v>173</v>
      </c>
      <c r="M17" s="273">
        <f t="shared" si="2"/>
        <v>0</v>
      </c>
      <c r="N17" s="273">
        <f t="shared" si="0"/>
        <v>0</v>
      </c>
      <c r="O17" s="273">
        <f t="shared" si="0"/>
        <v>0</v>
      </c>
      <c r="P17" s="273">
        <f t="shared" si="0"/>
        <v>0</v>
      </c>
      <c r="Q17" s="273">
        <f t="shared" si="0"/>
        <v>0</v>
      </c>
      <c r="R17" s="273">
        <f t="shared" si="0"/>
        <v>0</v>
      </c>
      <c r="S17" s="273">
        <f t="shared" si="0"/>
        <v>0</v>
      </c>
      <c r="T17" s="6"/>
    </row>
    <row r="18" spans="1:20">
      <c r="A18" s="161" t="s">
        <v>174</v>
      </c>
      <c r="B18" s="6">
        <f>'US-syvbt-psgr'!$B$5*SUMIFS('% by state 2019'!W:W,'% by state 2019'!O:O,$A18)</f>
        <v>0</v>
      </c>
      <c r="C18" s="6">
        <v>0</v>
      </c>
      <c r="D18" s="6">
        <v>0</v>
      </c>
      <c r="E18" s="6">
        <f>'US-syvbt-psgr'!$E$5*SUMIFS('% by state 2019'!V:V,'% by state 2019'!O:O,$A18)</f>
        <v>0</v>
      </c>
      <c r="F18" s="6">
        <v>0</v>
      </c>
      <c r="G18" s="6">
        <v>0</v>
      </c>
      <c r="H18" s="6">
        <v>0</v>
      </c>
      <c r="J18" s="271">
        <f t="shared" si="1"/>
        <v>0</v>
      </c>
      <c r="L18" s="161" t="s">
        <v>174</v>
      </c>
      <c r="M18" s="273">
        <f t="shared" si="2"/>
        <v>0</v>
      </c>
      <c r="N18" s="273">
        <f t="shared" ref="N18:N51" si="3">IF(C18=0,0,IF(SUM($B18:$H18)&lt;$K$1,C18*($K$1/SUM($B18:$H18)),C18))</f>
        <v>0</v>
      </c>
      <c r="O18" s="273">
        <f t="shared" ref="O18:O51" si="4">IF(D18=0,0,IF(SUM($B18:$H18)&lt;$K$1,D18*($K$1/SUM($B18:$H18)),D18))</f>
        <v>0</v>
      </c>
      <c r="P18" s="273">
        <f t="shared" ref="P18:P51" si="5">IF(E18=0,0,IF(SUM($B18:$H18)&lt;$K$1,E18*($K$1/SUM($B18:$H18)),E18))</f>
        <v>0</v>
      </c>
      <c r="Q18" s="273">
        <f t="shared" ref="Q18:Q51" si="6">IF(F18=0,0,IF(SUM($B18:$H18)&lt;$K$1,F18*($K$1/SUM($B18:$H18)),F18))</f>
        <v>0</v>
      </c>
      <c r="R18" s="273">
        <f t="shared" ref="R18:R51" si="7">IF(G18=0,0,IF(SUM($B18:$H18)&lt;$K$1,G18*($K$1/SUM($B18:$H18)),G18))</f>
        <v>0</v>
      </c>
      <c r="S18" s="273">
        <f t="shared" ref="S18:S51" si="8">IF(H18=0,0,IF(SUM($B18:$H18)&lt;$K$1,H18*($K$1/SUM($B18:$H18)),H18))</f>
        <v>0</v>
      </c>
      <c r="T18" s="6"/>
    </row>
    <row r="19" spans="1:20">
      <c r="A19" s="161" t="s">
        <v>175</v>
      </c>
      <c r="B19" s="6">
        <f>'US-syvbt-psgr'!$B$5*SUMIFS('% by state 2019'!W:W,'% by state 2019'!O:O,$A19)</f>
        <v>0</v>
      </c>
      <c r="C19" s="6">
        <v>0</v>
      </c>
      <c r="D19" s="6">
        <v>0</v>
      </c>
      <c r="E19" s="6">
        <f>'US-syvbt-psgr'!$E$5*SUMIFS('% by state 2019'!V:V,'% by state 2019'!O:O,$A19)</f>
        <v>0</v>
      </c>
      <c r="F19" s="6">
        <v>0</v>
      </c>
      <c r="G19" s="6">
        <v>0</v>
      </c>
      <c r="H19" s="6">
        <v>0</v>
      </c>
      <c r="J19" s="271">
        <f t="shared" si="1"/>
        <v>0</v>
      </c>
      <c r="L19" s="161" t="s">
        <v>175</v>
      </c>
      <c r="M19" s="273">
        <f t="shared" si="2"/>
        <v>0</v>
      </c>
      <c r="N19" s="273">
        <f t="shared" si="3"/>
        <v>0</v>
      </c>
      <c r="O19" s="273">
        <f t="shared" si="4"/>
        <v>0</v>
      </c>
      <c r="P19" s="273">
        <f t="shared" si="5"/>
        <v>0</v>
      </c>
      <c r="Q19" s="273">
        <f t="shared" si="6"/>
        <v>0</v>
      </c>
      <c r="R19" s="273">
        <f t="shared" si="7"/>
        <v>0</v>
      </c>
      <c r="S19" s="273">
        <f t="shared" si="8"/>
        <v>0</v>
      </c>
      <c r="T19" s="6"/>
    </row>
    <row r="20" spans="1:20">
      <c r="A20" s="161" t="s">
        <v>177</v>
      </c>
      <c r="B20" s="6">
        <f>'US-syvbt-psgr'!$B$5*SUMIFS('% by state 2019'!W:W,'% by state 2019'!O:O,$A20)</f>
        <v>0</v>
      </c>
      <c r="C20" s="6">
        <v>0</v>
      </c>
      <c r="D20" s="6">
        <v>0</v>
      </c>
      <c r="E20" s="6">
        <f>'US-syvbt-psgr'!$E$5*SUMIFS('% by state 2019'!V:V,'% by state 2019'!O:O,$A20)</f>
        <v>0</v>
      </c>
      <c r="F20" s="6">
        <v>0</v>
      </c>
      <c r="G20" s="6">
        <v>0</v>
      </c>
      <c r="H20" s="6">
        <v>0</v>
      </c>
      <c r="J20" s="271">
        <f t="shared" si="1"/>
        <v>0</v>
      </c>
      <c r="L20" s="161" t="s">
        <v>177</v>
      </c>
      <c r="M20" s="273">
        <f t="shared" si="2"/>
        <v>0</v>
      </c>
      <c r="N20" s="273">
        <f t="shared" si="3"/>
        <v>0</v>
      </c>
      <c r="O20" s="273">
        <f t="shared" si="4"/>
        <v>0</v>
      </c>
      <c r="P20" s="273">
        <f t="shared" si="5"/>
        <v>0</v>
      </c>
      <c r="Q20" s="273">
        <f t="shared" si="6"/>
        <v>0</v>
      </c>
      <c r="R20" s="273">
        <f t="shared" si="7"/>
        <v>0</v>
      </c>
      <c r="S20" s="273">
        <f t="shared" si="8"/>
        <v>0</v>
      </c>
      <c r="T20" s="6"/>
    </row>
    <row r="21" spans="1:20">
      <c r="A21" s="161" t="s">
        <v>178</v>
      </c>
      <c r="B21" s="6">
        <f>'US-syvbt-psgr'!$B$5*SUMIFS('% by state 2019'!W:W,'% by state 2019'!O:O,$A21)</f>
        <v>43</v>
      </c>
      <c r="C21" s="6">
        <v>0</v>
      </c>
      <c r="D21" s="6">
        <v>0</v>
      </c>
      <c r="E21" s="6">
        <f>'US-syvbt-psgr'!$E$5*SUMIFS('% by state 2019'!V:V,'% by state 2019'!O:O,$A21)</f>
        <v>12</v>
      </c>
      <c r="F21" s="6">
        <v>0</v>
      </c>
      <c r="G21" s="6">
        <v>0</v>
      </c>
      <c r="H21" s="6">
        <v>0</v>
      </c>
      <c r="J21" s="271">
        <f t="shared" si="1"/>
        <v>55</v>
      </c>
      <c r="L21" s="161" t="s">
        <v>178</v>
      </c>
      <c r="M21" s="273">
        <f t="shared" si="2"/>
        <v>43</v>
      </c>
      <c r="N21" s="273">
        <f t="shared" si="3"/>
        <v>0</v>
      </c>
      <c r="O21" s="273">
        <f t="shared" si="4"/>
        <v>0</v>
      </c>
      <c r="P21" s="273">
        <f t="shared" si="5"/>
        <v>12</v>
      </c>
      <c r="Q21" s="273">
        <f t="shared" si="6"/>
        <v>0</v>
      </c>
      <c r="R21" s="273">
        <f t="shared" si="7"/>
        <v>0</v>
      </c>
      <c r="S21" s="273">
        <f t="shared" si="8"/>
        <v>0</v>
      </c>
      <c r="T21" s="6"/>
    </row>
    <row r="22" spans="1:20">
      <c r="A22" s="161" t="s">
        <v>180</v>
      </c>
      <c r="B22" s="6">
        <f>'US-syvbt-psgr'!$B$5*SUMIFS('% by state 2019'!W:W,'% by state 2019'!O:O,$A22)</f>
        <v>181</v>
      </c>
      <c r="C22" s="6">
        <v>0</v>
      </c>
      <c r="D22" s="6">
        <v>0</v>
      </c>
      <c r="E22" s="6">
        <f>'US-syvbt-psgr'!$E$5*SUMIFS('% by state 2019'!V:V,'% by state 2019'!O:O,$A22)</f>
        <v>28</v>
      </c>
      <c r="F22" s="6">
        <v>0</v>
      </c>
      <c r="G22" s="6">
        <v>0</v>
      </c>
      <c r="H22" s="6">
        <v>0</v>
      </c>
      <c r="J22" s="271">
        <f t="shared" si="1"/>
        <v>209</v>
      </c>
      <c r="L22" s="161" t="s">
        <v>180</v>
      </c>
      <c r="M22" s="273">
        <f t="shared" si="2"/>
        <v>181</v>
      </c>
      <c r="N22" s="273">
        <f t="shared" si="3"/>
        <v>0</v>
      </c>
      <c r="O22" s="273">
        <f t="shared" si="4"/>
        <v>0</v>
      </c>
      <c r="P22" s="273">
        <f t="shared" si="5"/>
        <v>28</v>
      </c>
      <c r="Q22" s="273">
        <f t="shared" si="6"/>
        <v>0</v>
      </c>
      <c r="R22" s="273">
        <f t="shared" si="7"/>
        <v>0</v>
      </c>
      <c r="S22" s="273">
        <f t="shared" si="8"/>
        <v>0</v>
      </c>
      <c r="T22" s="6"/>
    </row>
    <row r="23" spans="1:20">
      <c r="A23" s="161" t="s">
        <v>182</v>
      </c>
      <c r="B23" s="6">
        <f>'US-syvbt-psgr'!$B$5*SUMIFS('% by state 2019'!W:W,'% by state 2019'!O:O,$A23)</f>
        <v>0</v>
      </c>
      <c r="C23" s="6">
        <v>0</v>
      </c>
      <c r="D23" s="6">
        <v>0</v>
      </c>
      <c r="E23" s="6">
        <f>'US-syvbt-psgr'!$E$5*SUMIFS('% by state 2019'!V:V,'% by state 2019'!O:O,$A23)</f>
        <v>0</v>
      </c>
      <c r="F23" s="6">
        <v>0</v>
      </c>
      <c r="G23" s="6">
        <v>0</v>
      </c>
      <c r="H23" s="6">
        <v>0</v>
      </c>
      <c r="J23" s="271">
        <f t="shared" si="1"/>
        <v>0</v>
      </c>
      <c r="L23" s="161" t="s">
        <v>182</v>
      </c>
      <c r="M23" s="273">
        <f t="shared" si="2"/>
        <v>0</v>
      </c>
      <c r="N23" s="273">
        <f t="shared" si="3"/>
        <v>0</v>
      </c>
      <c r="O23" s="273">
        <f t="shared" si="4"/>
        <v>0</v>
      </c>
      <c r="P23" s="273">
        <f t="shared" si="5"/>
        <v>0</v>
      </c>
      <c r="Q23" s="273">
        <f t="shared" si="6"/>
        <v>0</v>
      </c>
      <c r="R23" s="273">
        <f t="shared" si="7"/>
        <v>0</v>
      </c>
      <c r="S23" s="273">
        <f t="shared" si="8"/>
        <v>0</v>
      </c>
      <c r="T23" s="6"/>
    </row>
    <row r="24" spans="1:20">
      <c r="A24" s="161" t="s">
        <v>184</v>
      </c>
      <c r="B24" s="6">
        <f>'US-syvbt-psgr'!$B$5*SUMIFS('% by state 2019'!W:W,'% by state 2019'!O:O,$A24)</f>
        <v>27</v>
      </c>
      <c r="C24" s="6">
        <v>0</v>
      </c>
      <c r="D24" s="6">
        <v>0</v>
      </c>
      <c r="E24" s="6">
        <f>'US-syvbt-psgr'!$E$5*SUMIFS('% by state 2019'!V:V,'% by state 2019'!O:O,$A24)</f>
        <v>0</v>
      </c>
      <c r="F24" s="6">
        <v>0</v>
      </c>
      <c r="G24" s="6">
        <v>0</v>
      </c>
      <c r="H24" s="6">
        <v>0</v>
      </c>
      <c r="J24" s="271">
        <f t="shared" si="1"/>
        <v>27</v>
      </c>
      <c r="L24" s="161" t="s">
        <v>184</v>
      </c>
      <c r="M24" s="273">
        <f t="shared" si="2"/>
        <v>34</v>
      </c>
      <c r="N24" s="273">
        <f t="shared" si="3"/>
        <v>0</v>
      </c>
      <c r="O24" s="273">
        <f t="shared" si="4"/>
        <v>0</v>
      </c>
      <c r="P24" s="273">
        <f t="shared" si="5"/>
        <v>0</v>
      </c>
      <c r="Q24" s="273">
        <f t="shared" si="6"/>
        <v>0</v>
      </c>
      <c r="R24" s="273">
        <f t="shared" si="7"/>
        <v>0</v>
      </c>
      <c r="S24" s="273">
        <f t="shared" si="8"/>
        <v>0</v>
      </c>
      <c r="T24" s="6"/>
    </row>
    <row r="25" spans="1:20">
      <c r="A25" s="161" t="s">
        <v>186</v>
      </c>
      <c r="B25" s="6">
        <f>'US-syvbt-psgr'!$B$5*SUMIFS('% by state 2019'!W:W,'% by state 2019'!O:O,$A25)</f>
        <v>0</v>
      </c>
      <c r="C25" s="6">
        <v>0</v>
      </c>
      <c r="D25" s="6">
        <v>0</v>
      </c>
      <c r="E25" s="6">
        <f>'US-syvbt-psgr'!$E$5*SUMIFS('% by state 2019'!V:V,'% by state 2019'!O:O,$A25)</f>
        <v>0</v>
      </c>
      <c r="F25" s="6">
        <v>0</v>
      </c>
      <c r="G25" s="6">
        <v>0</v>
      </c>
      <c r="H25" s="6">
        <v>0</v>
      </c>
      <c r="J25" s="271">
        <f t="shared" si="1"/>
        <v>0</v>
      </c>
      <c r="L25" s="161" t="s">
        <v>186</v>
      </c>
      <c r="M25" s="273">
        <f t="shared" si="2"/>
        <v>0</v>
      </c>
      <c r="N25" s="273">
        <f t="shared" si="3"/>
        <v>0</v>
      </c>
      <c r="O25" s="273">
        <f t="shared" si="4"/>
        <v>0</v>
      </c>
      <c r="P25" s="273">
        <f t="shared" si="5"/>
        <v>0</v>
      </c>
      <c r="Q25" s="273">
        <f t="shared" si="6"/>
        <v>0</v>
      </c>
      <c r="R25" s="273">
        <f t="shared" si="7"/>
        <v>0</v>
      </c>
      <c r="S25" s="273">
        <f t="shared" si="8"/>
        <v>0</v>
      </c>
      <c r="T25" s="6"/>
    </row>
    <row r="26" spans="1:20">
      <c r="A26" s="161" t="s">
        <v>188</v>
      </c>
      <c r="B26" s="6">
        <f>'US-syvbt-psgr'!$B$5*SUMIFS('% by state 2019'!W:W,'% by state 2019'!O:O,$A26)</f>
        <v>25.000000000000004</v>
      </c>
      <c r="C26" s="6">
        <v>0</v>
      </c>
      <c r="D26" s="6">
        <v>0</v>
      </c>
      <c r="E26" s="6">
        <f>'US-syvbt-psgr'!$E$5*SUMIFS('% by state 2019'!V:V,'% by state 2019'!O:O,$A26)</f>
        <v>0</v>
      </c>
      <c r="F26" s="6">
        <v>0</v>
      </c>
      <c r="G26" s="6">
        <v>0</v>
      </c>
      <c r="H26" s="6">
        <v>0</v>
      </c>
      <c r="J26" s="271">
        <f t="shared" si="1"/>
        <v>25.000000000000004</v>
      </c>
      <c r="L26" s="161" t="s">
        <v>188</v>
      </c>
      <c r="M26" s="273">
        <f t="shared" si="2"/>
        <v>34</v>
      </c>
      <c r="N26" s="273">
        <f t="shared" si="3"/>
        <v>0</v>
      </c>
      <c r="O26" s="273">
        <f t="shared" si="4"/>
        <v>0</v>
      </c>
      <c r="P26" s="273">
        <f t="shared" si="5"/>
        <v>0</v>
      </c>
      <c r="Q26" s="273">
        <f t="shared" si="6"/>
        <v>0</v>
      </c>
      <c r="R26" s="273">
        <f t="shared" si="7"/>
        <v>0</v>
      </c>
      <c r="S26" s="273">
        <f t="shared" si="8"/>
        <v>0</v>
      </c>
      <c r="T26" s="6"/>
    </row>
    <row r="27" spans="1:20">
      <c r="A27" s="161" t="s">
        <v>190</v>
      </c>
      <c r="B27" s="6">
        <f>'US-syvbt-psgr'!$B$5*SUMIFS('% by state 2019'!W:W,'% by state 2019'!O:O,$A27)</f>
        <v>0</v>
      </c>
      <c r="C27" s="6">
        <v>0</v>
      </c>
      <c r="D27" s="6">
        <v>0</v>
      </c>
      <c r="E27" s="6">
        <f>'US-syvbt-psgr'!$E$5*SUMIFS('% by state 2019'!V:V,'% by state 2019'!O:O,$A27)</f>
        <v>0</v>
      </c>
      <c r="F27" s="6">
        <v>0</v>
      </c>
      <c r="G27" s="6">
        <v>0</v>
      </c>
      <c r="H27" s="6">
        <v>0</v>
      </c>
      <c r="J27" s="271">
        <f t="shared" si="1"/>
        <v>0</v>
      </c>
      <c r="L27" s="161" t="s">
        <v>190</v>
      </c>
      <c r="M27" s="273">
        <f t="shared" si="2"/>
        <v>0</v>
      </c>
      <c r="N27" s="273">
        <f t="shared" si="3"/>
        <v>0</v>
      </c>
      <c r="O27" s="273">
        <f t="shared" si="4"/>
        <v>0</v>
      </c>
      <c r="P27" s="273">
        <f t="shared" si="5"/>
        <v>0</v>
      </c>
      <c r="Q27" s="273">
        <f t="shared" si="6"/>
        <v>0</v>
      </c>
      <c r="R27" s="273">
        <f t="shared" si="7"/>
        <v>0</v>
      </c>
      <c r="S27" s="273">
        <f t="shared" si="8"/>
        <v>0</v>
      </c>
      <c r="T27" s="6"/>
    </row>
    <row r="28" spans="1:20">
      <c r="A28" s="161" t="s">
        <v>191</v>
      </c>
      <c r="B28" s="6">
        <f>'US-syvbt-psgr'!$B$5*SUMIFS('% by state 2019'!W:W,'% by state 2019'!O:O,$A28)</f>
        <v>0</v>
      </c>
      <c r="C28" s="6">
        <v>0</v>
      </c>
      <c r="D28" s="6">
        <v>0</v>
      </c>
      <c r="E28" s="6">
        <f>'US-syvbt-psgr'!$E$5*SUMIFS('% by state 2019'!V:V,'% by state 2019'!O:O,$A28)</f>
        <v>0</v>
      </c>
      <c r="F28" s="6">
        <v>0</v>
      </c>
      <c r="G28" s="6">
        <v>0</v>
      </c>
      <c r="H28" s="6">
        <v>0</v>
      </c>
      <c r="J28" s="271">
        <f t="shared" si="1"/>
        <v>0</v>
      </c>
      <c r="L28" s="161" t="s">
        <v>191</v>
      </c>
      <c r="M28" s="273">
        <f t="shared" si="2"/>
        <v>0</v>
      </c>
      <c r="N28" s="273">
        <f t="shared" si="3"/>
        <v>0</v>
      </c>
      <c r="O28" s="273">
        <f t="shared" si="4"/>
        <v>0</v>
      </c>
      <c r="P28" s="273">
        <f t="shared" si="5"/>
        <v>0</v>
      </c>
      <c r="Q28" s="273">
        <f t="shared" si="6"/>
        <v>0</v>
      </c>
      <c r="R28" s="273">
        <f t="shared" si="7"/>
        <v>0</v>
      </c>
      <c r="S28" s="273">
        <f t="shared" si="8"/>
        <v>0</v>
      </c>
      <c r="T28" s="6"/>
    </row>
    <row r="29" spans="1:20">
      <c r="A29" s="161" t="s">
        <v>193</v>
      </c>
      <c r="B29" s="6">
        <f>'US-syvbt-psgr'!$B$5*SUMIFS('% by state 2019'!W:W,'% by state 2019'!O:O,$A29)</f>
        <v>0</v>
      </c>
      <c r="C29" s="6">
        <v>0</v>
      </c>
      <c r="D29" s="6">
        <v>0</v>
      </c>
      <c r="E29" s="6">
        <f>'US-syvbt-psgr'!$E$5*SUMIFS('% by state 2019'!V:V,'% by state 2019'!O:O,$A29)</f>
        <v>0</v>
      </c>
      <c r="F29" s="6">
        <v>0</v>
      </c>
      <c r="G29" s="6">
        <v>0</v>
      </c>
      <c r="H29" s="6">
        <v>0</v>
      </c>
      <c r="J29" s="271">
        <f t="shared" si="1"/>
        <v>0</v>
      </c>
      <c r="L29" s="161" t="s">
        <v>193</v>
      </c>
      <c r="M29" s="273">
        <f t="shared" si="2"/>
        <v>0</v>
      </c>
      <c r="N29" s="273">
        <f t="shared" si="3"/>
        <v>0</v>
      </c>
      <c r="O29" s="273">
        <f t="shared" si="4"/>
        <v>0</v>
      </c>
      <c r="P29" s="273">
        <f t="shared" si="5"/>
        <v>0</v>
      </c>
      <c r="Q29" s="273">
        <f t="shared" si="6"/>
        <v>0</v>
      </c>
      <c r="R29" s="273">
        <f t="shared" si="7"/>
        <v>0</v>
      </c>
      <c r="S29" s="273">
        <f t="shared" si="8"/>
        <v>0</v>
      </c>
      <c r="T29" s="6"/>
    </row>
    <row r="30" spans="1:20">
      <c r="A30" s="161" t="s">
        <v>194</v>
      </c>
      <c r="B30" s="6">
        <f>'US-syvbt-psgr'!$B$5*SUMIFS('% by state 2019'!W:W,'% by state 2019'!O:O,$A30)</f>
        <v>0</v>
      </c>
      <c r="C30" s="6">
        <v>0</v>
      </c>
      <c r="D30" s="6">
        <v>0</v>
      </c>
      <c r="E30" s="6">
        <f>'US-syvbt-psgr'!$E$5*SUMIFS('% by state 2019'!V:V,'% by state 2019'!O:O,$A30)</f>
        <v>0</v>
      </c>
      <c r="F30" s="6">
        <v>0</v>
      </c>
      <c r="G30" s="6">
        <v>0</v>
      </c>
      <c r="H30" s="6">
        <v>0</v>
      </c>
      <c r="J30" s="271">
        <f t="shared" si="1"/>
        <v>0</v>
      </c>
      <c r="L30" s="161" t="s">
        <v>194</v>
      </c>
      <c r="M30" s="273">
        <f t="shared" si="2"/>
        <v>0</v>
      </c>
      <c r="N30" s="273">
        <f t="shared" si="3"/>
        <v>0</v>
      </c>
      <c r="O30" s="273">
        <f t="shared" si="4"/>
        <v>0</v>
      </c>
      <c r="P30" s="273">
        <f t="shared" si="5"/>
        <v>0</v>
      </c>
      <c r="Q30" s="273">
        <f t="shared" si="6"/>
        <v>0</v>
      </c>
      <c r="R30" s="273">
        <f t="shared" si="7"/>
        <v>0</v>
      </c>
      <c r="S30" s="273">
        <f t="shared" si="8"/>
        <v>0</v>
      </c>
      <c r="T30" s="6"/>
    </row>
    <row r="31" spans="1:20">
      <c r="A31" s="161" t="s">
        <v>196</v>
      </c>
      <c r="B31" s="6">
        <f>'US-syvbt-psgr'!$B$5*SUMIFS('% by state 2019'!W:W,'% by state 2019'!O:O,$A31)</f>
        <v>169</v>
      </c>
      <c r="C31" s="6">
        <v>0</v>
      </c>
      <c r="D31" s="6">
        <v>0</v>
      </c>
      <c r="E31" s="6">
        <f>'US-syvbt-psgr'!$E$5*SUMIFS('% by state 2019'!V:V,'% by state 2019'!O:O,$A31)</f>
        <v>15</v>
      </c>
      <c r="F31" s="6">
        <v>0</v>
      </c>
      <c r="G31" s="6">
        <v>0</v>
      </c>
      <c r="H31" s="6">
        <v>0</v>
      </c>
      <c r="J31" s="271">
        <f t="shared" si="1"/>
        <v>184</v>
      </c>
      <c r="L31" s="161" t="s">
        <v>196</v>
      </c>
      <c r="M31" s="273">
        <f t="shared" si="2"/>
        <v>169</v>
      </c>
      <c r="N31" s="273">
        <f t="shared" si="3"/>
        <v>0</v>
      </c>
      <c r="O31" s="273">
        <f t="shared" si="4"/>
        <v>0</v>
      </c>
      <c r="P31" s="273">
        <f t="shared" si="5"/>
        <v>15</v>
      </c>
      <c r="Q31" s="273">
        <f t="shared" si="6"/>
        <v>0</v>
      </c>
      <c r="R31" s="273">
        <f t="shared" si="7"/>
        <v>0</v>
      </c>
      <c r="S31" s="273">
        <f t="shared" si="8"/>
        <v>0</v>
      </c>
      <c r="T31" s="6"/>
    </row>
    <row r="32" spans="1:20">
      <c r="A32" s="161" t="s">
        <v>197</v>
      </c>
      <c r="B32" s="6">
        <f>'US-syvbt-psgr'!$B$5*SUMIFS('% by state 2019'!W:W,'% by state 2019'!O:O,$A32)</f>
        <v>0</v>
      </c>
      <c r="C32" s="6">
        <v>0</v>
      </c>
      <c r="D32" s="6">
        <v>0</v>
      </c>
      <c r="E32" s="6">
        <f>'US-syvbt-psgr'!$E$5*SUMIFS('% by state 2019'!V:V,'% by state 2019'!O:O,$A32)</f>
        <v>7</v>
      </c>
      <c r="F32" s="6">
        <v>0</v>
      </c>
      <c r="G32" s="6">
        <v>0</v>
      </c>
      <c r="H32" s="6">
        <v>0</v>
      </c>
      <c r="J32" s="271">
        <f t="shared" si="1"/>
        <v>7</v>
      </c>
      <c r="L32" s="161" t="s">
        <v>197</v>
      </c>
      <c r="M32" s="273">
        <f t="shared" si="2"/>
        <v>0</v>
      </c>
      <c r="N32" s="273">
        <f t="shared" si="3"/>
        <v>0</v>
      </c>
      <c r="O32" s="273">
        <f t="shared" si="4"/>
        <v>0</v>
      </c>
      <c r="P32" s="273">
        <f t="shared" si="5"/>
        <v>34</v>
      </c>
      <c r="Q32" s="273">
        <f t="shared" si="6"/>
        <v>0</v>
      </c>
      <c r="R32" s="273">
        <f t="shared" si="7"/>
        <v>0</v>
      </c>
      <c r="S32" s="273">
        <f t="shared" si="8"/>
        <v>0</v>
      </c>
      <c r="T32" s="6"/>
    </row>
    <row r="33" spans="1:20">
      <c r="A33" s="161" t="s">
        <v>199</v>
      </c>
      <c r="B33" s="6">
        <f>'US-syvbt-psgr'!$B$5*SUMIFS('% by state 2019'!W:W,'% by state 2019'!O:O,$A33)</f>
        <v>786</v>
      </c>
      <c r="C33" s="6">
        <v>0</v>
      </c>
      <c r="D33" s="6">
        <v>0</v>
      </c>
      <c r="E33" s="6">
        <f>'US-syvbt-psgr'!$E$5*SUMIFS('% by state 2019'!V:V,'% by state 2019'!O:O,$A33)</f>
        <v>1</v>
      </c>
      <c r="F33" s="6">
        <v>0</v>
      </c>
      <c r="G33" s="6">
        <v>0</v>
      </c>
      <c r="H33" s="6">
        <v>0</v>
      </c>
      <c r="J33" s="271">
        <f t="shared" si="1"/>
        <v>787</v>
      </c>
      <c r="L33" s="161" t="s">
        <v>199</v>
      </c>
      <c r="M33" s="273">
        <f t="shared" si="2"/>
        <v>786</v>
      </c>
      <c r="N33" s="273">
        <f t="shared" si="3"/>
        <v>0</v>
      </c>
      <c r="O33" s="273">
        <f t="shared" si="4"/>
        <v>0</v>
      </c>
      <c r="P33" s="273">
        <f t="shared" si="5"/>
        <v>1</v>
      </c>
      <c r="Q33" s="273">
        <f t="shared" si="6"/>
        <v>0</v>
      </c>
      <c r="R33" s="273">
        <f t="shared" si="7"/>
        <v>0</v>
      </c>
      <c r="S33" s="273">
        <f t="shared" si="8"/>
        <v>0</v>
      </c>
      <c r="T33" s="6"/>
    </row>
    <row r="34" spans="1:20">
      <c r="A34" s="161" t="s">
        <v>200</v>
      </c>
      <c r="B34" s="6">
        <f>'US-syvbt-psgr'!$B$5*SUMIFS('% by state 2019'!W:W,'% by state 2019'!O:O,$A34)</f>
        <v>16</v>
      </c>
      <c r="C34" s="6">
        <v>0</v>
      </c>
      <c r="D34" s="6">
        <v>0</v>
      </c>
      <c r="E34" s="6">
        <f>'US-syvbt-psgr'!$E$5*SUMIFS('% by state 2019'!V:V,'% by state 2019'!O:O,$A34)</f>
        <v>0</v>
      </c>
      <c r="F34" s="6">
        <v>0</v>
      </c>
      <c r="G34" s="6">
        <v>0</v>
      </c>
      <c r="H34" s="6">
        <v>0</v>
      </c>
      <c r="J34" s="271">
        <f t="shared" si="1"/>
        <v>16</v>
      </c>
      <c r="L34" s="161" t="s">
        <v>200</v>
      </c>
      <c r="M34" s="273">
        <f t="shared" si="2"/>
        <v>34</v>
      </c>
      <c r="N34" s="273">
        <f t="shared" si="3"/>
        <v>0</v>
      </c>
      <c r="O34" s="273">
        <f t="shared" si="4"/>
        <v>0</v>
      </c>
      <c r="P34" s="273">
        <f t="shared" si="5"/>
        <v>0</v>
      </c>
      <c r="Q34" s="273">
        <f t="shared" si="6"/>
        <v>0</v>
      </c>
      <c r="R34" s="273">
        <f t="shared" si="7"/>
        <v>0</v>
      </c>
      <c r="S34" s="273">
        <f t="shared" si="8"/>
        <v>0</v>
      </c>
      <c r="T34" s="6"/>
    </row>
    <row r="35" spans="1:20">
      <c r="A35" s="161" t="s">
        <v>201</v>
      </c>
      <c r="B35" s="6">
        <f>'US-syvbt-psgr'!$B$5*SUMIFS('% by state 2019'!W:W,'% by state 2019'!O:O,$A35)</f>
        <v>0</v>
      </c>
      <c r="C35" s="6">
        <v>0</v>
      </c>
      <c r="D35" s="6">
        <v>0</v>
      </c>
      <c r="E35" s="6">
        <f>'US-syvbt-psgr'!$E$5*SUMIFS('% by state 2019'!V:V,'% by state 2019'!O:O,$A35)</f>
        <v>0</v>
      </c>
      <c r="F35" s="6">
        <v>0</v>
      </c>
      <c r="G35" s="6">
        <v>0</v>
      </c>
      <c r="H35" s="6">
        <v>0</v>
      </c>
      <c r="J35" s="271">
        <f t="shared" si="1"/>
        <v>0</v>
      </c>
      <c r="L35" s="161" t="s">
        <v>201</v>
      </c>
      <c r="M35" s="273">
        <f t="shared" si="2"/>
        <v>0</v>
      </c>
      <c r="N35" s="273">
        <f t="shared" si="3"/>
        <v>0</v>
      </c>
      <c r="O35" s="273">
        <f t="shared" si="4"/>
        <v>0</v>
      </c>
      <c r="P35" s="273">
        <f t="shared" si="5"/>
        <v>0</v>
      </c>
      <c r="Q35" s="273">
        <f t="shared" si="6"/>
        <v>0</v>
      </c>
      <c r="R35" s="273">
        <f t="shared" si="7"/>
        <v>0</v>
      </c>
      <c r="S35" s="273">
        <f t="shared" si="8"/>
        <v>0</v>
      </c>
      <c r="T35" s="6"/>
    </row>
    <row r="36" spans="1:20">
      <c r="A36" s="161" t="s">
        <v>202</v>
      </c>
      <c r="B36" s="6">
        <f>'US-syvbt-psgr'!$B$5*SUMIFS('% by state 2019'!W:W,'% by state 2019'!O:O,$A36)</f>
        <v>14.000000000000002</v>
      </c>
      <c r="C36" s="6">
        <v>0</v>
      </c>
      <c r="D36" s="6">
        <v>0</v>
      </c>
      <c r="E36" s="6">
        <f>'US-syvbt-psgr'!$E$5*SUMIFS('% by state 2019'!V:V,'% by state 2019'!O:O,$A36)</f>
        <v>0</v>
      </c>
      <c r="F36" s="6">
        <v>0</v>
      </c>
      <c r="G36" s="6">
        <v>0</v>
      </c>
      <c r="H36" s="6">
        <v>0</v>
      </c>
      <c r="J36" s="271">
        <f t="shared" si="1"/>
        <v>14.000000000000002</v>
      </c>
      <c r="L36" s="161" t="s">
        <v>202</v>
      </c>
      <c r="M36" s="273">
        <f t="shared" si="2"/>
        <v>34</v>
      </c>
      <c r="N36" s="273">
        <f t="shared" si="3"/>
        <v>0</v>
      </c>
      <c r="O36" s="273">
        <f t="shared" si="4"/>
        <v>0</v>
      </c>
      <c r="P36" s="273">
        <f t="shared" si="5"/>
        <v>0</v>
      </c>
      <c r="Q36" s="273">
        <f t="shared" si="6"/>
        <v>0</v>
      </c>
      <c r="R36" s="273">
        <f t="shared" si="7"/>
        <v>0</v>
      </c>
      <c r="S36" s="273">
        <f t="shared" si="8"/>
        <v>0</v>
      </c>
      <c r="T36" s="6"/>
    </row>
    <row r="37" spans="1:20">
      <c r="A37" s="161" t="s">
        <v>204</v>
      </c>
      <c r="B37" s="6">
        <f>'US-syvbt-psgr'!$B$5*SUMIFS('% by state 2019'!W:W,'% by state 2019'!O:O,$A37)</f>
        <v>0</v>
      </c>
      <c r="C37" s="6">
        <v>0</v>
      </c>
      <c r="D37" s="6">
        <v>0</v>
      </c>
      <c r="E37" s="6">
        <f>'US-syvbt-psgr'!$E$5*SUMIFS('% by state 2019'!V:V,'% by state 2019'!O:O,$A37)</f>
        <v>0</v>
      </c>
      <c r="F37" s="6">
        <v>0</v>
      </c>
      <c r="G37" s="6">
        <v>0</v>
      </c>
      <c r="H37" s="6">
        <v>0</v>
      </c>
      <c r="J37" s="271">
        <f t="shared" si="1"/>
        <v>0</v>
      </c>
      <c r="L37" s="161" t="s">
        <v>204</v>
      </c>
      <c r="M37" s="273">
        <f t="shared" si="2"/>
        <v>0</v>
      </c>
      <c r="N37" s="273">
        <f t="shared" si="3"/>
        <v>0</v>
      </c>
      <c r="O37" s="273">
        <f t="shared" si="4"/>
        <v>0</v>
      </c>
      <c r="P37" s="273">
        <f t="shared" si="5"/>
        <v>0</v>
      </c>
      <c r="Q37" s="273">
        <f t="shared" si="6"/>
        <v>0</v>
      </c>
      <c r="R37" s="273">
        <f t="shared" si="7"/>
        <v>0</v>
      </c>
      <c r="S37" s="273">
        <f t="shared" si="8"/>
        <v>0</v>
      </c>
      <c r="T37" s="6"/>
    </row>
    <row r="38" spans="1:20">
      <c r="A38" s="161" t="s">
        <v>206</v>
      </c>
      <c r="B38" s="6">
        <f>'US-syvbt-psgr'!$B$5*SUMIFS('% by state 2019'!W:W,'% by state 2019'!O:O,$A38)</f>
        <v>55</v>
      </c>
      <c r="C38" s="6">
        <v>0</v>
      </c>
      <c r="D38" s="6">
        <v>0</v>
      </c>
      <c r="E38" s="6">
        <f>'US-syvbt-psgr'!$E$5*SUMIFS('% by state 2019'!V:V,'% by state 2019'!O:O,$A38)</f>
        <v>0</v>
      </c>
      <c r="F38" s="6">
        <v>0</v>
      </c>
      <c r="G38" s="6">
        <v>0</v>
      </c>
      <c r="H38" s="6">
        <v>0</v>
      </c>
      <c r="J38" s="271">
        <f t="shared" si="1"/>
        <v>55</v>
      </c>
      <c r="L38" s="161" t="s">
        <v>206</v>
      </c>
      <c r="M38" s="273">
        <f t="shared" si="2"/>
        <v>55</v>
      </c>
      <c r="N38" s="273">
        <f t="shared" si="3"/>
        <v>0</v>
      </c>
      <c r="O38" s="273">
        <f t="shared" si="4"/>
        <v>0</v>
      </c>
      <c r="P38" s="273">
        <f t="shared" si="5"/>
        <v>0</v>
      </c>
      <c r="Q38" s="273">
        <f t="shared" si="6"/>
        <v>0</v>
      </c>
      <c r="R38" s="273">
        <f t="shared" si="7"/>
        <v>0</v>
      </c>
      <c r="S38" s="273">
        <f t="shared" si="8"/>
        <v>0</v>
      </c>
      <c r="T38" s="6"/>
    </row>
    <row r="39" spans="1:20">
      <c r="A39" s="161" t="s">
        <v>207</v>
      </c>
      <c r="B39" s="6">
        <f>'US-syvbt-psgr'!$B$5*SUMIFS('% by state 2019'!W:W,'% by state 2019'!O:O,$A39)</f>
        <v>176.00000000000003</v>
      </c>
      <c r="C39" s="6">
        <v>0</v>
      </c>
      <c r="D39" s="6">
        <v>0</v>
      </c>
      <c r="E39" s="6">
        <f>'US-syvbt-psgr'!$E$5*SUMIFS('% by state 2019'!V:V,'% by state 2019'!O:O,$A39)</f>
        <v>0</v>
      </c>
      <c r="F39" s="6">
        <v>0</v>
      </c>
      <c r="G39" s="6">
        <v>0</v>
      </c>
      <c r="H39" s="6">
        <v>0</v>
      </c>
      <c r="J39" s="271">
        <f t="shared" si="1"/>
        <v>176.00000000000003</v>
      </c>
      <c r="L39" s="161" t="s">
        <v>207</v>
      </c>
      <c r="M39" s="273">
        <f t="shared" si="2"/>
        <v>176.00000000000003</v>
      </c>
      <c r="N39" s="273">
        <f t="shared" si="3"/>
        <v>0</v>
      </c>
      <c r="O39" s="273">
        <f t="shared" si="4"/>
        <v>0</v>
      </c>
      <c r="P39" s="273">
        <f t="shared" si="5"/>
        <v>0</v>
      </c>
      <c r="Q39" s="273">
        <f t="shared" si="6"/>
        <v>0</v>
      </c>
      <c r="R39" s="273">
        <f t="shared" si="7"/>
        <v>0</v>
      </c>
      <c r="S39" s="273">
        <f t="shared" si="8"/>
        <v>0</v>
      </c>
      <c r="T39" s="6"/>
    </row>
    <row r="40" spans="1:20">
      <c r="A40" s="161" t="s">
        <v>209</v>
      </c>
      <c r="B40" s="6">
        <f>'US-syvbt-psgr'!$B$5*SUMIFS('% by state 2019'!W:W,'% by state 2019'!O:O,$A40)</f>
        <v>0</v>
      </c>
      <c r="C40" s="6">
        <v>0</v>
      </c>
      <c r="D40" s="6">
        <v>0</v>
      </c>
      <c r="E40" s="6">
        <f>'US-syvbt-psgr'!$E$5*SUMIFS('% by state 2019'!V:V,'% by state 2019'!O:O,$A40)</f>
        <v>0</v>
      </c>
      <c r="F40" s="6">
        <v>0</v>
      </c>
      <c r="G40" s="6">
        <v>0</v>
      </c>
      <c r="H40" s="6">
        <v>0</v>
      </c>
      <c r="J40" s="271">
        <f t="shared" si="1"/>
        <v>0</v>
      </c>
      <c r="L40" s="161" t="s">
        <v>209</v>
      </c>
      <c r="M40" s="273">
        <f t="shared" si="2"/>
        <v>0</v>
      </c>
      <c r="N40" s="273">
        <f t="shared" si="3"/>
        <v>0</v>
      </c>
      <c r="O40" s="273">
        <f t="shared" si="4"/>
        <v>0</v>
      </c>
      <c r="P40" s="273">
        <f t="shared" si="5"/>
        <v>0</v>
      </c>
      <c r="Q40" s="273">
        <f t="shared" si="6"/>
        <v>0</v>
      </c>
      <c r="R40" s="273">
        <f t="shared" si="7"/>
        <v>0</v>
      </c>
      <c r="S40" s="273">
        <f t="shared" si="8"/>
        <v>0</v>
      </c>
      <c r="T40" s="6"/>
    </row>
    <row r="41" spans="1:20">
      <c r="A41" s="161" t="s">
        <v>210</v>
      </c>
      <c r="B41" s="6">
        <f>'US-syvbt-psgr'!$B$5*SUMIFS('% by state 2019'!W:W,'% by state 2019'!O:O,$A41)</f>
        <v>0</v>
      </c>
      <c r="C41" s="6">
        <v>0</v>
      </c>
      <c r="D41" s="6">
        <v>0</v>
      </c>
      <c r="E41" s="6">
        <f>'US-syvbt-psgr'!$E$5*SUMIFS('% by state 2019'!V:V,'% by state 2019'!O:O,$A41)</f>
        <v>0</v>
      </c>
      <c r="F41" s="6">
        <v>0</v>
      </c>
      <c r="G41" s="6">
        <v>0</v>
      </c>
      <c r="H41" s="6">
        <v>0</v>
      </c>
      <c r="J41" s="271">
        <f t="shared" si="1"/>
        <v>0</v>
      </c>
      <c r="L41" s="161" t="s">
        <v>210</v>
      </c>
      <c r="M41" s="273">
        <f t="shared" si="2"/>
        <v>0</v>
      </c>
      <c r="N41" s="273">
        <f t="shared" si="3"/>
        <v>0</v>
      </c>
      <c r="O41" s="273">
        <f t="shared" si="4"/>
        <v>0</v>
      </c>
      <c r="P41" s="273">
        <f t="shared" si="5"/>
        <v>0</v>
      </c>
      <c r="Q41" s="273">
        <f t="shared" si="6"/>
        <v>0</v>
      </c>
      <c r="R41" s="273">
        <f t="shared" si="7"/>
        <v>0</v>
      </c>
      <c r="S41" s="273">
        <f t="shared" si="8"/>
        <v>0</v>
      </c>
      <c r="T41" s="6"/>
    </row>
    <row r="42" spans="1:20">
      <c r="A42" s="161" t="s">
        <v>212</v>
      </c>
      <c r="B42" s="6">
        <f>'US-syvbt-psgr'!$B$5*SUMIFS('% by state 2019'!W:W,'% by state 2019'!O:O,$A42)</f>
        <v>0</v>
      </c>
      <c r="C42" s="6">
        <v>0</v>
      </c>
      <c r="D42" s="6">
        <v>0</v>
      </c>
      <c r="E42" s="6">
        <f>'US-syvbt-psgr'!$E$5*SUMIFS('% by state 2019'!V:V,'% by state 2019'!O:O,$A42)</f>
        <v>0</v>
      </c>
      <c r="F42" s="6">
        <v>0</v>
      </c>
      <c r="G42" s="6">
        <v>0</v>
      </c>
      <c r="H42" s="6">
        <v>0</v>
      </c>
      <c r="J42" s="271">
        <f t="shared" si="1"/>
        <v>0</v>
      </c>
      <c r="L42" s="161" t="s">
        <v>212</v>
      </c>
      <c r="M42" s="273">
        <f t="shared" si="2"/>
        <v>0</v>
      </c>
      <c r="N42" s="273">
        <f t="shared" si="3"/>
        <v>0</v>
      </c>
      <c r="O42" s="273">
        <f t="shared" si="4"/>
        <v>0</v>
      </c>
      <c r="P42" s="273">
        <f t="shared" si="5"/>
        <v>0</v>
      </c>
      <c r="Q42" s="273">
        <f t="shared" si="6"/>
        <v>0</v>
      </c>
      <c r="R42" s="273">
        <f t="shared" si="7"/>
        <v>0</v>
      </c>
      <c r="S42" s="273">
        <f t="shared" si="8"/>
        <v>0</v>
      </c>
      <c r="T42" s="6"/>
    </row>
    <row r="43" spans="1:20">
      <c r="A43" s="161" t="s">
        <v>214</v>
      </c>
      <c r="B43" s="6">
        <f>'US-syvbt-psgr'!$B$5*SUMIFS('% by state 2019'!W:W,'% by state 2019'!O:O,$A43)</f>
        <v>0</v>
      </c>
      <c r="C43" s="6">
        <v>0</v>
      </c>
      <c r="D43" s="6">
        <v>0</v>
      </c>
      <c r="E43" s="6">
        <f>'US-syvbt-psgr'!$E$5*SUMIFS('% by state 2019'!V:V,'% by state 2019'!O:O,$A43)</f>
        <v>2</v>
      </c>
      <c r="F43" s="6">
        <v>0</v>
      </c>
      <c r="G43" s="6">
        <v>0</v>
      </c>
      <c r="H43" s="6">
        <v>0</v>
      </c>
      <c r="J43" s="271">
        <f t="shared" si="1"/>
        <v>2</v>
      </c>
      <c r="L43" s="161" t="s">
        <v>214</v>
      </c>
      <c r="M43" s="273">
        <f t="shared" si="2"/>
        <v>0</v>
      </c>
      <c r="N43" s="273">
        <f t="shared" si="3"/>
        <v>0</v>
      </c>
      <c r="O43" s="273">
        <f t="shared" si="4"/>
        <v>0</v>
      </c>
      <c r="P43" s="273">
        <f t="shared" si="5"/>
        <v>34</v>
      </c>
      <c r="Q43" s="273">
        <f t="shared" si="6"/>
        <v>0</v>
      </c>
      <c r="R43" s="273">
        <f t="shared" si="7"/>
        <v>0</v>
      </c>
      <c r="S43" s="273">
        <f t="shared" si="8"/>
        <v>0</v>
      </c>
      <c r="T43" s="6"/>
    </row>
    <row r="44" spans="1:20">
      <c r="A44" s="161" t="s">
        <v>216</v>
      </c>
      <c r="B44" s="6">
        <f>'US-syvbt-psgr'!$B$5*SUMIFS('% by state 2019'!W:W,'% by state 2019'!O:O,$A44)</f>
        <v>67</v>
      </c>
      <c r="C44" s="6">
        <v>0</v>
      </c>
      <c r="D44" s="6">
        <v>0</v>
      </c>
      <c r="E44" s="6">
        <f>'US-syvbt-psgr'!$E$5*SUMIFS('% by state 2019'!V:V,'% by state 2019'!O:O,$A44)</f>
        <v>14</v>
      </c>
      <c r="F44" s="6">
        <v>0</v>
      </c>
      <c r="G44" s="6">
        <v>0</v>
      </c>
      <c r="H44" s="6">
        <v>0</v>
      </c>
      <c r="J44" s="271">
        <f t="shared" si="1"/>
        <v>81</v>
      </c>
      <c r="L44" s="161" t="s">
        <v>216</v>
      </c>
      <c r="M44" s="273">
        <f t="shared" si="2"/>
        <v>67</v>
      </c>
      <c r="N44" s="273">
        <f t="shared" si="3"/>
        <v>0</v>
      </c>
      <c r="O44" s="273">
        <f t="shared" si="4"/>
        <v>0</v>
      </c>
      <c r="P44" s="273">
        <f t="shared" si="5"/>
        <v>14</v>
      </c>
      <c r="Q44" s="273">
        <f t="shared" si="6"/>
        <v>0</v>
      </c>
      <c r="R44" s="273">
        <f t="shared" si="7"/>
        <v>0</v>
      </c>
      <c r="S44" s="273">
        <f t="shared" si="8"/>
        <v>0</v>
      </c>
      <c r="T44" s="6"/>
    </row>
    <row r="45" spans="1:20">
      <c r="A45" s="161" t="s">
        <v>217</v>
      </c>
      <c r="B45" s="6">
        <f>'US-syvbt-psgr'!$B$5*SUMIFS('% by state 2019'!W:W,'% by state 2019'!O:O,$A45)</f>
        <v>27</v>
      </c>
      <c r="C45" s="6">
        <v>0</v>
      </c>
      <c r="D45" s="6">
        <v>0</v>
      </c>
      <c r="E45" s="6">
        <f>'US-syvbt-psgr'!$E$5*SUMIFS('% by state 2019'!V:V,'% by state 2019'!O:O,$A45)</f>
        <v>4</v>
      </c>
      <c r="F45" s="6">
        <v>0</v>
      </c>
      <c r="G45" s="6">
        <v>0</v>
      </c>
      <c r="H45" s="6">
        <v>0</v>
      </c>
      <c r="J45" s="271">
        <f t="shared" si="1"/>
        <v>31</v>
      </c>
      <c r="L45" s="161" t="s">
        <v>217</v>
      </c>
      <c r="M45" s="273">
        <f t="shared" si="2"/>
        <v>29.612903225806448</v>
      </c>
      <c r="N45" s="273">
        <f t="shared" si="3"/>
        <v>0</v>
      </c>
      <c r="O45" s="273">
        <f t="shared" si="4"/>
        <v>0</v>
      </c>
      <c r="P45" s="273">
        <f t="shared" si="5"/>
        <v>4.387096774193548</v>
      </c>
      <c r="Q45" s="273">
        <f t="shared" si="6"/>
        <v>0</v>
      </c>
      <c r="R45" s="273">
        <f t="shared" si="7"/>
        <v>0</v>
      </c>
      <c r="S45" s="273">
        <f t="shared" si="8"/>
        <v>0</v>
      </c>
      <c r="T45" s="6"/>
    </row>
    <row r="46" spans="1:20">
      <c r="A46" s="161" t="s">
        <v>219</v>
      </c>
      <c r="B46" s="6">
        <f>'US-syvbt-psgr'!$B$5*SUMIFS('% by state 2019'!W:W,'% by state 2019'!O:O,$A46)</f>
        <v>0</v>
      </c>
      <c r="C46" s="6">
        <v>0</v>
      </c>
      <c r="D46" s="6">
        <v>0</v>
      </c>
      <c r="E46" s="6">
        <f>'US-syvbt-psgr'!$E$5*SUMIFS('% by state 2019'!V:V,'% by state 2019'!O:O,$A46)</f>
        <v>0</v>
      </c>
      <c r="F46" s="6">
        <v>0</v>
      </c>
      <c r="G46" s="6">
        <v>0</v>
      </c>
      <c r="H46" s="6">
        <v>0</v>
      </c>
      <c r="J46" s="271">
        <f t="shared" si="1"/>
        <v>0</v>
      </c>
      <c r="L46" s="161" t="s">
        <v>219</v>
      </c>
      <c r="M46" s="273">
        <f t="shared" si="2"/>
        <v>0</v>
      </c>
      <c r="N46" s="273">
        <f t="shared" si="3"/>
        <v>0</v>
      </c>
      <c r="O46" s="273">
        <f t="shared" si="4"/>
        <v>0</v>
      </c>
      <c r="P46" s="273">
        <f t="shared" si="5"/>
        <v>0</v>
      </c>
      <c r="Q46" s="273">
        <f t="shared" si="6"/>
        <v>0</v>
      </c>
      <c r="R46" s="273">
        <f t="shared" si="7"/>
        <v>0</v>
      </c>
      <c r="S46" s="273">
        <f t="shared" si="8"/>
        <v>0</v>
      </c>
      <c r="T46" s="6"/>
    </row>
    <row r="47" spans="1:20">
      <c r="A47" s="161" t="s">
        <v>220</v>
      </c>
      <c r="B47" s="6">
        <f>'US-syvbt-psgr'!$B$5*SUMIFS('% by state 2019'!W:W,'% by state 2019'!O:O,$A47)</f>
        <v>19</v>
      </c>
      <c r="C47" s="6">
        <v>0</v>
      </c>
      <c r="D47" s="6">
        <v>0</v>
      </c>
      <c r="E47" s="6">
        <f>'US-syvbt-psgr'!$E$5*SUMIFS('% by state 2019'!V:V,'% by state 2019'!O:O,$A47)</f>
        <v>19</v>
      </c>
      <c r="F47" s="6">
        <v>0</v>
      </c>
      <c r="G47" s="6">
        <v>0</v>
      </c>
      <c r="H47" s="6">
        <v>0</v>
      </c>
      <c r="J47" s="271">
        <f t="shared" si="1"/>
        <v>38</v>
      </c>
      <c r="L47" s="161" t="s">
        <v>220</v>
      </c>
      <c r="M47" s="273">
        <f t="shared" si="2"/>
        <v>19</v>
      </c>
      <c r="N47" s="273">
        <f t="shared" si="3"/>
        <v>0</v>
      </c>
      <c r="O47" s="273">
        <f t="shared" si="4"/>
        <v>0</v>
      </c>
      <c r="P47" s="273">
        <f t="shared" si="5"/>
        <v>19</v>
      </c>
      <c r="Q47" s="273">
        <f t="shared" si="6"/>
        <v>0</v>
      </c>
      <c r="R47" s="273">
        <f t="shared" si="7"/>
        <v>0</v>
      </c>
      <c r="S47" s="273">
        <f t="shared" si="8"/>
        <v>0</v>
      </c>
      <c r="T47" s="6"/>
    </row>
    <row r="48" spans="1:20">
      <c r="A48" s="161" t="s">
        <v>222</v>
      </c>
      <c r="B48" s="6">
        <f>'US-syvbt-psgr'!$B$5*SUMIFS('% by state 2019'!W:W,'% by state 2019'!O:O,$A48)</f>
        <v>37</v>
      </c>
      <c r="C48" s="6">
        <v>0</v>
      </c>
      <c r="D48" s="6">
        <v>0</v>
      </c>
      <c r="E48" s="6">
        <f>'US-syvbt-psgr'!$E$5*SUMIFS('% by state 2019'!V:V,'% by state 2019'!O:O,$A48)</f>
        <v>3</v>
      </c>
      <c r="F48" s="6">
        <v>0</v>
      </c>
      <c r="G48" s="6">
        <v>0</v>
      </c>
      <c r="H48" s="6">
        <v>0</v>
      </c>
      <c r="J48" s="271">
        <f t="shared" si="1"/>
        <v>40</v>
      </c>
      <c r="L48" s="161" t="s">
        <v>222</v>
      </c>
      <c r="M48" s="273">
        <f t="shared" si="2"/>
        <v>37</v>
      </c>
      <c r="N48" s="273">
        <f t="shared" si="3"/>
        <v>0</v>
      </c>
      <c r="O48" s="273">
        <f t="shared" si="4"/>
        <v>0</v>
      </c>
      <c r="P48" s="273">
        <f t="shared" si="5"/>
        <v>3</v>
      </c>
      <c r="Q48" s="273">
        <f t="shared" si="6"/>
        <v>0</v>
      </c>
      <c r="R48" s="273">
        <f t="shared" si="7"/>
        <v>0</v>
      </c>
      <c r="S48" s="273">
        <f t="shared" si="8"/>
        <v>0</v>
      </c>
      <c r="T48" s="6"/>
    </row>
    <row r="49" spans="1:20">
      <c r="A49" s="161" t="s">
        <v>224</v>
      </c>
      <c r="B49" s="6">
        <f>'US-syvbt-psgr'!$B$5*SUMIFS('% by state 2019'!W:W,'% by state 2019'!O:O,$A49)</f>
        <v>0</v>
      </c>
      <c r="C49" s="6">
        <v>0</v>
      </c>
      <c r="D49" s="6">
        <v>0</v>
      </c>
      <c r="E49" s="6">
        <f>'US-syvbt-psgr'!$E$5*SUMIFS('% by state 2019'!V:V,'% by state 2019'!O:O,$A49)</f>
        <v>0</v>
      </c>
      <c r="F49" s="6">
        <v>0</v>
      </c>
      <c r="G49" s="6">
        <v>0</v>
      </c>
      <c r="H49" s="6">
        <v>0</v>
      </c>
      <c r="J49" s="271">
        <f t="shared" si="1"/>
        <v>0</v>
      </c>
      <c r="L49" s="161" t="s">
        <v>224</v>
      </c>
      <c r="M49" s="273">
        <f t="shared" si="2"/>
        <v>0</v>
      </c>
      <c r="N49" s="273">
        <f t="shared" si="3"/>
        <v>0</v>
      </c>
      <c r="O49" s="273">
        <f t="shared" si="4"/>
        <v>0</v>
      </c>
      <c r="P49" s="273">
        <f t="shared" si="5"/>
        <v>0</v>
      </c>
      <c r="Q49" s="273">
        <f t="shared" si="6"/>
        <v>0</v>
      </c>
      <c r="R49" s="273">
        <f t="shared" si="7"/>
        <v>0</v>
      </c>
      <c r="S49" s="273">
        <f t="shared" si="8"/>
        <v>0</v>
      </c>
      <c r="T49" s="6"/>
    </row>
    <row r="50" spans="1:20">
      <c r="A50" s="161" t="s">
        <v>226</v>
      </c>
      <c r="B50" s="6">
        <f>'US-syvbt-psgr'!$B$5*SUMIFS('% by state 2019'!W:W,'% by state 2019'!O:O,$A50)</f>
        <v>0</v>
      </c>
      <c r="C50" s="6">
        <v>0</v>
      </c>
      <c r="D50" s="6">
        <v>0</v>
      </c>
      <c r="E50" s="6">
        <f>'US-syvbt-psgr'!$E$5*SUMIFS('% by state 2019'!V:V,'% by state 2019'!O:O,$A50)</f>
        <v>0</v>
      </c>
      <c r="F50" s="6">
        <v>0</v>
      </c>
      <c r="G50" s="6">
        <v>0</v>
      </c>
      <c r="H50" s="6">
        <v>0</v>
      </c>
      <c r="J50" s="271">
        <f t="shared" si="1"/>
        <v>0</v>
      </c>
      <c r="L50" s="161" t="s">
        <v>226</v>
      </c>
      <c r="M50" s="273">
        <f t="shared" si="2"/>
        <v>0</v>
      </c>
      <c r="N50" s="273">
        <f t="shared" si="3"/>
        <v>0</v>
      </c>
      <c r="O50" s="273">
        <f t="shared" si="4"/>
        <v>0</v>
      </c>
      <c r="P50" s="273">
        <f t="shared" si="5"/>
        <v>0</v>
      </c>
      <c r="Q50" s="273">
        <f t="shared" si="6"/>
        <v>0</v>
      </c>
      <c r="R50" s="273">
        <f t="shared" si="7"/>
        <v>0</v>
      </c>
      <c r="S50" s="273">
        <f t="shared" si="8"/>
        <v>0</v>
      </c>
      <c r="T50" s="6"/>
    </row>
    <row r="51" spans="1:20">
      <c r="A51" s="161" t="s">
        <v>228</v>
      </c>
      <c r="B51" s="6">
        <f>'US-syvbt-psgr'!$B$5*SUMIFS('% by state 2019'!W:W,'% by state 2019'!O:O,$A51)</f>
        <v>0</v>
      </c>
      <c r="C51" s="6">
        <v>0</v>
      </c>
      <c r="D51" s="6">
        <v>0</v>
      </c>
      <c r="E51" s="6">
        <f>'US-syvbt-psgr'!$E$5*SUMIFS('% by state 2019'!V:V,'% by state 2019'!O:O,$A51)</f>
        <v>0</v>
      </c>
      <c r="F51" s="6">
        <v>0</v>
      </c>
      <c r="G51" s="6">
        <v>0</v>
      </c>
      <c r="H51" s="6">
        <v>0</v>
      </c>
      <c r="J51" s="271">
        <f t="shared" si="1"/>
        <v>0</v>
      </c>
      <c r="L51" s="161" t="s">
        <v>228</v>
      </c>
      <c r="M51" s="273">
        <f t="shared" si="2"/>
        <v>0</v>
      </c>
      <c r="N51" s="273">
        <f t="shared" si="3"/>
        <v>0</v>
      </c>
      <c r="O51" s="273">
        <f t="shared" si="4"/>
        <v>0</v>
      </c>
      <c r="P51" s="273">
        <f t="shared" si="5"/>
        <v>0</v>
      </c>
      <c r="Q51" s="273">
        <f t="shared" si="6"/>
        <v>0</v>
      </c>
      <c r="R51" s="273">
        <f t="shared" si="7"/>
        <v>0</v>
      </c>
      <c r="S51" s="273">
        <f t="shared" si="8"/>
        <v>0</v>
      </c>
      <c r="T51" s="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J1" sqref="J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S51"/>
  <sheetViews>
    <sheetView workbookViewId="0">
      <selection activeCell="E2" sqref="E2"/>
    </sheetView>
  </sheetViews>
  <sheetFormatPr defaultRowHeight="15"/>
  <cols>
    <col min="1" max="1" width="16.85546875" customWidth="1"/>
    <col min="2" max="8" width="9.42578125" customWidth="1"/>
    <col min="9" max="9" width="10" bestFit="1" customWidth="1"/>
    <col min="10" max="10" width="14.42578125" bestFit="1" customWidth="1"/>
    <col min="12" max="12" width="16.85546875" customWidth="1"/>
    <col min="13" max="19" width="9.42578125" style="3" customWidth="1"/>
  </cols>
  <sheetData>
    <row r="1" spans="1:19" ht="30">
      <c r="A1" s="7" t="s">
        <v>60</v>
      </c>
      <c r="B1" s="5" t="s">
        <v>10</v>
      </c>
      <c r="C1" s="5" t="s">
        <v>11</v>
      </c>
      <c r="D1" s="5" t="s">
        <v>12</v>
      </c>
      <c r="E1" s="5" t="s">
        <v>13</v>
      </c>
      <c r="F1" s="5" t="s">
        <v>14</v>
      </c>
      <c r="G1" s="5" t="s">
        <v>52</v>
      </c>
      <c r="H1" s="5" t="s">
        <v>53</v>
      </c>
      <c r="J1" s="264" t="str">
        <f>"AVL="&amp;AVL!B4</f>
        <v>AVL=24</v>
      </c>
      <c r="L1" s="7" t="s">
        <v>60</v>
      </c>
      <c r="M1" s="265" t="s">
        <v>10</v>
      </c>
      <c r="N1" s="265" t="s">
        <v>11</v>
      </c>
      <c r="O1" s="265" t="s">
        <v>12</v>
      </c>
      <c r="P1" s="265" t="s">
        <v>13</v>
      </c>
      <c r="Q1" s="265" t="s">
        <v>14</v>
      </c>
      <c r="R1" s="265" t="s">
        <v>52</v>
      </c>
      <c r="S1" s="265" t="s">
        <v>53</v>
      </c>
    </row>
    <row r="2" spans="1:19">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c r="L2" s="161" t="s">
        <v>147</v>
      </c>
      <c r="M2" s="266">
        <v>0</v>
      </c>
      <c r="N2" s="266">
        <v>0</v>
      </c>
      <c r="O2" s="266">
        <v>0</v>
      </c>
      <c r="P2" s="266">
        <f>IF(E2=0,0,MAX(E2,24))</f>
        <v>24</v>
      </c>
      <c r="Q2" s="266">
        <v>0</v>
      </c>
      <c r="R2" s="266">
        <v>0</v>
      </c>
      <c r="S2" s="266">
        <v>0</v>
      </c>
    </row>
    <row r="3" spans="1:19">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c r="L3" s="161" t="s">
        <v>149</v>
      </c>
      <c r="M3" s="266">
        <v>0</v>
      </c>
      <c r="N3" s="266">
        <v>0</v>
      </c>
      <c r="O3" s="266">
        <v>0</v>
      </c>
      <c r="P3" s="266">
        <f t="shared" ref="P3:P51" si="0">IF(E3=0,0,MAX(E3,24))</f>
        <v>116.85888169906603</v>
      </c>
      <c r="Q3" s="266">
        <v>0</v>
      </c>
      <c r="R3" s="266">
        <v>0</v>
      </c>
      <c r="S3" s="266">
        <v>0</v>
      </c>
    </row>
    <row r="4" spans="1:19">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c r="L4" s="161" t="s">
        <v>150</v>
      </c>
      <c r="M4" s="266">
        <v>0</v>
      </c>
      <c r="N4" s="266">
        <v>0</v>
      </c>
      <c r="O4" s="266">
        <v>0</v>
      </c>
      <c r="P4" s="266">
        <f t="shared" si="0"/>
        <v>24</v>
      </c>
      <c r="Q4" s="266">
        <v>0</v>
      </c>
      <c r="R4" s="266">
        <v>0</v>
      </c>
      <c r="S4" s="266">
        <v>0</v>
      </c>
    </row>
    <row r="5" spans="1:19">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c r="L5" s="161" t="s">
        <v>151</v>
      </c>
      <c r="M5" s="266">
        <v>0</v>
      </c>
      <c r="N5" s="266">
        <v>0</v>
      </c>
      <c r="O5" s="266">
        <v>0</v>
      </c>
      <c r="P5" s="266">
        <f t="shared" si="0"/>
        <v>24</v>
      </c>
      <c r="Q5" s="266">
        <v>0</v>
      </c>
      <c r="R5" s="266">
        <v>0</v>
      </c>
      <c r="S5" s="266">
        <v>0</v>
      </c>
    </row>
    <row r="6" spans="1:19">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c r="L6" s="161" t="s">
        <v>153</v>
      </c>
      <c r="M6" s="266">
        <v>0</v>
      </c>
      <c r="N6" s="266">
        <v>0</v>
      </c>
      <c r="O6" s="266">
        <v>0</v>
      </c>
      <c r="P6" s="266">
        <f t="shared" si="0"/>
        <v>127.92609854842728</v>
      </c>
      <c r="Q6" s="266">
        <v>0</v>
      </c>
      <c r="R6" s="266">
        <v>0</v>
      </c>
      <c r="S6" s="266">
        <v>0</v>
      </c>
    </row>
    <row r="7" spans="1:19">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c r="L7" s="161" t="s">
        <v>155</v>
      </c>
      <c r="M7" s="266">
        <v>0</v>
      </c>
      <c r="N7" s="266">
        <v>0</v>
      </c>
      <c r="O7" s="266">
        <v>0</v>
      </c>
      <c r="P7" s="266">
        <f t="shared" si="0"/>
        <v>24</v>
      </c>
      <c r="Q7" s="266">
        <v>0</v>
      </c>
      <c r="R7" s="266">
        <v>0</v>
      </c>
      <c r="S7" s="266">
        <v>0</v>
      </c>
    </row>
    <row r="8" spans="1:19">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c r="L8" s="161" t="s">
        <v>157</v>
      </c>
      <c r="M8" s="266">
        <v>0</v>
      </c>
      <c r="N8" s="266">
        <v>0</v>
      </c>
      <c r="O8" s="266">
        <v>0</v>
      </c>
      <c r="P8" s="266">
        <f t="shared" si="0"/>
        <v>24</v>
      </c>
      <c r="Q8" s="266">
        <v>0</v>
      </c>
      <c r="R8" s="266">
        <v>0</v>
      </c>
      <c r="S8" s="266">
        <v>0</v>
      </c>
    </row>
    <row r="9" spans="1:19">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c r="L9" s="161" t="s">
        <v>159</v>
      </c>
      <c r="M9" s="266">
        <v>0</v>
      </c>
      <c r="N9" s="266">
        <v>0</v>
      </c>
      <c r="O9" s="266">
        <v>0</v>
      </c>
      <c r="P9" s="266">
        <f t="shared" si="0"/>
        <v>0</v>
      </c>
      <c r="Q9" s="266">
        <v>0</v>
      </c>
      <c r="R9" s="266">
        <v>0</v>
      </c>
      <c r="S9" s="266">
        <v>0</v>
      </c>
    </row>
    <row r="10" spans="1:19">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c r="L10" s="161" t="s">
        <v>161</v>
      </c>
      <c r="M10" s="266">
        <v>0</v>
      </c>
      <c r="N10" s="266">
        <v>0</v>
      </c>
      <c r="O10" s="266">
        <v>0</v>
      </c>
      <c r="P10" s="266">
        <f t="shared" si="0"/>
        <v>83.169232071851781</v>
      </c>
      <c r="Q10" s="266">
        <v>0</v>
      </c>
      <c r="R10" s="266">
        <v>0</v>
      </c>
      <c r="S10" s="266">
        <v>0</v>
      </c>
    </row>
    <row r="11" spans="1:19">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c r="L11" s="161" t="s">
        <v>163</v>
      </c>
      <c r="M11" s="266">
        <v>0</v>
      </c>
      <c r="N11" s="266">
        <v>0</v>
      </c>
      <c r="O11" s="266">
        <v>0</v>
      </c>
      <c r="P11" s="266">
        <f t="shared" si="0"/>
        <v>24</v>
      </c>
      <c r="Q11" s="266">
        <v>0</v>
      </c>
      <c r="R11" s="266">
        <v>0</v>
      </c>
      <c r="S11" s="266">
        <v>0</v>
      </c>
    </row>
    <row r="12" spans="1:19">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c r="L12" s="161" t="s">
        <v>164</v>
      </c>
      <c r="M12" s="266">
        <v>0</v>
      </c>
      <c r="N12" s="266">
        <v>0</v>
      </c>
      <c r="O12" s="266">
        <v>0</v>
      </c>
      <c r="P12" s="266">
        <f t="shared" si="0"/>
        <v>24.272426729877001</v>
      </c>
      <c r="Q12" s="266">
        <v>0</v>
      </c>
      <c r="R12" s="266">
        <v>0</v>
      </c>
      <c r="S12" s="266">
        <v>0</v>
      </c>
    </row>
    <row r="13" spans="1:19">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c r="L13" s="161" t="s">
        <v>165</v>
      </c>
      <c r="M13" s="266">
        <v>0</v>
      </c>
      <c r="N13" s="266">
        <v>0</v>
      </c>
      <c r="O13" s="266">
        <v>0</v>
      </c>
      <c r="P13" s="266">
        <f t="shared" si="0"/>
        <v>24</v>
      </c>
      <c r="Q13" s="266">
        <v>0</v>
      </c>
      <c r="R13" s="266">
        <v>0</v>
      </c>
      <c r="S13" s="266">
        <v>0</v>
      </c>
    </row>
    <row r="14" spans="1:19">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c r="L14" s="161" t="s">
        <v>167</v>
      </c>
      <c r="M14" s="266">
        <v>0</v>
      </c>
      <c r="N14" s="266">
        <v>0</v>
      </c>
      <c r="O14" s="266">
        <v>0</v>
      </c>
      <c r="P14" s="266">
        <f t="shared" si="0"/>
        <v>57.408231801878856</v>
      </c>
      <c r="Q14" s="266">
        <v>0</v>
      </c>
      <c r="R14" s="266">
        <v>0</v>
      </c>
      <c r="S14" s="266">
        <v>0</v>
      </c>
    </row>
    <row r="15" spans="1:19">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c r="L15" s="161" t="s">
        <v>169</v>
      </c>
      <c r="M15" s="266">
        <v>0</v>
      </c>
      <c r="N15" s="266">
        <v>0</v>
      </c>
      <c r="O15" s="266">
        <v>0</v>
      </c>
      <c r="P15" s="266">
        <f t="shared" si="0"/>
        <v>35.532189605755498</v>
      </c>
      <c r="Q15" s="266">
        <v>0</v>
      </c>
      <c r="R15" s="266">
        <v>0</v>
      </c>
      <c r="S15" s="266">
        <v>0</v>
      </c>
    </row>
    <row r="16" spans="1:19">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c r="L16" s="161" t="s">
        <v>171</v>
      </c>
      <c r="M16" s="266">
        <v>0</v>
      </c>
      <c r="N16" s="266">
        <v>0</v>
      </c>
      <c r="O16" s="266">
        <v>0</v>
      </c>
      <c r="P16" s="266">
        <f t="shared" si="0"/>
        <v>24</v>
      </c>
      <c r="Q16" s="266">
        <v>0</v>
      </c>
      <c r="R16" s="266">
        <v>0</v>
      </c>
      <c r="S16" s="266">
        <v>0</v>
      </c>
    </row>
    <row r="17" spans="1:19">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c r="L17" s="161" t="s">
        <v>173</v>
      </c>
      <c r="M17" s="266">
        <v>0</v>
      </c>
      <c r="N17" s="266">
        <v>0</v>
      </c>
      <c r="O17" s="266">
        <v>0</v>
      </c>
      <c r="P17" s="266">
        <f t="shared" si="0"/>
        <v>24</v>
      </c>
      <c r="Q17" s="266">
        <v>0</v>
      </c>
      <c r="R17" s="266">
        <v>0</v>
      </c>
      <c r="S17" s="266">
        <v>0</v>
      </c>
    </row>
    <row r="18" spans="1:19">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c r="L18" s="161" t="s">
        <v>174</v>
      </c>
      <c r="M18" s="266">
        <v>0</v>
      </c>
      <c r="N18" s="266">
        <v>0</v>
      </c>
      <c r="O18" s="266">
        <v>0</v>
      </c>
      <c r="P18" s="266">
        <f t="shared" si="0"/>
        <v>144.97949848117528</v>
      </c>
      <c r="Q18" s="266">
        <v>0</v>
      </c>
      <c r="R18" s="266">
        <v>0</v>
      </c>
      <c r="S18" s="266">
        <v>0</v>
      </c>
    </row>
    <row r="19" spans="1:19">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c r="L19" s="161" t="s">
        <v>175</v>
      </c>
      <c r="M19" s="266">
        <v>0</v>
      </c>
      <c r="N19" s="266">
        <v>0</v>
      </c>
      <c r="O19" s="266">
        <v>0</v>
      </c>
      <c r="P19" s="266">
        <f t="shared" si="0"/>
        <v>24</v>
      </c>
      <c r="Q19" s="266">
        <v>0</v>
      </c>
      <c r="R19" s="266">
        <v>0</v>
      </c>
      <c r="S19" s="266">
        <v>0</v>
      </c>
    </row>
    <row r="20" spans="1:19">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c r="L20" s="161" t="s">
        <v>177</v>
      </c>
      <c r="M20" s="266">
        <v>0</v>
      </c>
      <c r="N20" s="266">
        <v>0</v>
      </c>
      <c r="O20" s="266">
        <v>0</v>
      </c>
      <c r="P20" s="266">
        <f t="shared" si="0"/>
        <v>24</v>
      </c>
      <c r="Q20" s="266">
        <v>0</v>
      </c>
      <c r="R20" s="266">
        <v>0</v>
      </c>
      <c r="S20" s="266">
        <v>0</v>
      </c>
    </row>
    <row r="21" spans="1:19">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c r="L21" s="161" t="s">
        <v>178</v>
      </c>
      <c r="M21" s="266">
        <v>0</v>
      </c>
      <c r="N21" s="266">
        <v>0</v>
      </c>
      <c r="O21" s="266">
        <v>0</v>
      </c>
      <c r="P21" s="266">
        <f t="shared" si="0"/>
        <v>24</v>
      </c>
      <c r="Q21" s="266">
        <v>0</v>
      </c>
      <c r="R21" s="266">
        <v>0</v>
      </c>
      <c r="S21" s="266">
        <v>0</v>
      </c>
    </row>
    <row r="22" spans="1:19">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c r="L22" s="161" t="s">
        <v>180</v>
      </c>
      <c r="M22" s="266">
        <v>0</v>
      </c>
      <c r="N22" s="266">
        <v>0</v>
      </c>
      <c r="O22" s="266">
        <v>0</v>
      </c>
      <c r="P22" s="266">
        <f t="shared" si="0"/>
        <v>24</v>
      </c>
      <c r="Q22" s="266">
        <v>0</v>
      </c>
      <c r="R22" s="266">
        <v>0</v>
      </c>
      <c r="S22" s="266">
        <v>0</v>
      </c>
    </row>
    <row r="23" spans="1:19">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c r="L23" s="161" t="s">
        <v>182</v>
      </c>
      <c r="M23" s="266">
        <v>0</v>
      </c>
      <c r="N23" s="266">
        <v>0</v>
      </c>
      <c r="O23" s="266">
        <v>0</v>
      </c>
      <c r="P23" s="266">
        <f t="shared" si="0"/>
        <v>24</v>
      </c>
      <c r="Q23" s="266">
        <v>0</v>
      </c>
      <c r="R23" s="266">
        <v>0</v>
      </c>
      <c r="S23" s="266">
        <v>0</v>
      </c>
    </row>
    <row r="24" spans="1:19">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c r="L24" s="161" t="s">
        <v>184</v>
      </c>
      <c r="M24" s="266">
        <v>0</v>
      </c>
      <c r="N24" s="266">
        <v>0</v>
      </c>
      <c r="O24" s="266">
        <v>0</v>
      </c>
      <c r="P24" s="266">
        <f t="shared" si="0"/>
        <v>24</v>
      </c>
      <c r="Q24" s="266">
        <v>0</v>
      </c>
      <c r="R24" s="266">
        <v>0</v>
      </c>
      <c r="S24" s="266">
        <v>0</v>
      </c>
    </row>
    <row r="25" spans="1:19">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c r="L25" s="161" t="s">
        <v>186</v>
      </c>
      <c r="M25" s="266">
        <v>0</v>
      </c>
      <c r="N25" s="266">
        <v>0</v>
      </c>
      <c r="O25" s="266">
        <v>0</v>
      </c>
      <c r="P25" s="266">
        <f t="shared" si="0"/>
        <v>24</v>
      </c>
      <c r="Q25" s="266">
        <v>0</v>
      </c>
      <c r="R25" s="266">
        <v>0</v>
      </c>
      <c r="S25" s="266">
        <v>0</v>
      </c>
    </row>
    <row r="26" spans="1:19">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c r="L26" s="161" t="s">
        <v>188</v>
      </c>
      <c r="M26" s="266">
        <v>0</v>
      </c>
      <c r="N26" s="266">
        <v>0</v>
      </c>
      <c r="O26" s="266">
        <v>0</v>
      </c>
      <c r="P26" s="266">
        <f t="shared" si="0"/>
        <v>24</v>
      </c>
      <c r="Q26" s="266">
        <v>0</v>
      </c>
      <c r="R26" s="266">
        <v>0</v>
      </c>
      <c r="S26" s="266">
        <v>0</v>
      </c>
    </row>
    <row r="27" spans="1:19">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c r="L27" s="161" t="s">
        <v>190</v>
      </c>
      <c r="M27" s="266">
        <v>0</v>
      </c>
      <c r="N27" s="266">
        <v>0</v>
      </c>
      <c r="O27" s="266">
        <v>0</v>
      </c>
      <c r="P27" s="266">
        <f t="shared" si="0"/>
        <v>24</v>
      </c>
      <c r="Q27" s="266">
        <v>0</v>
      </c>
      <c r="R27" s="266">
        <v>0</v>
      </c>
      <c r="S27" s="266">
        <v>0</v>
      </c>
    </row>
    <row r="28" spans="1:19">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c r="L28" s="161" t="s">
        <v>191</v>
      </c>
      <c r="M28" s="266">
        <v>0</v>
      </c>
      <c r="N28" s="266">
        <v>0</v>
      </c>
      <c r="O28" s="266">
        <v>0</v>
      </c>
      <c r="P28" s="266">
        <f t="shared" si="0"/>
        <v>24</v>
      </c>
      <c r="Q28" s="266">
        <v>0</v>
      </c>
      <c r="R28" s="266">
        <v>0</v>
      </c>
      <c r="S28" s="266">
        <v>0</v>
      </c>
    </row>
    <row r="29" spans="1:19">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c r="L29" s="161" t="s">
        <v>193</v>
      </c>
      <c r="M29" s="266">
        <v>0</v>
      </c>
      <c r="N29" s="266">
        <v>0</v>
      </c>
      <c r="O29" s="266">
        <v>0</v>
      </c>
      <c r="P29" s="266">
        <f t="shared" si="0"/>
        <v>24</v>
      </c>
      <c r="Q29" s="266">
        <v>0</v>
      </c>
      <c r="R29" s="266">
        <v>0</v>
      </c>
      <c r="S29" s="266">
        <v>0</v>
      </c>
    </row>
    <row r="30" spans="1:19">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c r="L30" s="161" t="s">
        <v>194</v>
      </c>
      <c r="M30" s="266">
        <v>0</v>
      </c>
      <c r="N30" s="266">
        <v>0</v>
      </c>
      <c r="O30" s="266">
        <v>0</v>
      </c>
      <c r="P30" s="266">
        <f t="shared" si="0"/>
        <v>24</v>
      </c>
      <c r="Q30" s="266">
        <v>0</v>
      </c>
      <c r="R30" s="266">
        <v>0</v>
      </c>
      <c r="S30" s="266">
        <v>0</v>
      </c>
    </row>
    <row r="31" spans="1:19">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c r="L31" s="161" t="s">
        <v>196</v>
      </c>
      <c r="M31" s="266">
        <v>0</v>
      </c>
      <c r="N31" s="266">
        <v>0</v>
      </c>
      <c r="O31" s="266">
        <v>0</v>
      </c>
      <c r="P31" s="266">
        <f t="shared" si="0"/>
        <v>24</v>
      </c>
      <c r="Q31" s="266">
        <v>0</v>
      </c>
      <c r="R31" s="266">
        <v>0</v>
      </c>
      <c r="S31" s="266">
        <v>0</v>
      </c>
    </row>
    <row r="32" spans="1:19">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c r="L32" s="161" t="s">
        <v>197</v>
      </c>
      <c r="M32" s="266">
        <v>0</v>
      </c>
      <c r="N32" s="266">
        <v>0</v>
      </c>
      <c r="O32" s="266">
        <v>0</v>
      </c>
      <c r="P32" s="266">
        <f t="shared" si="0"/>
        <v>24</v>
      </c>
      <c r="Q32" s="266">
        <v>0</v>
      </c>
      <c r="R32" s="266">
        <v>0</v>
      </c>
      <c r="S32" s="266">
        <v>0</v>
      </c>
    </row>
    <row r="33" spans="1:19">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c r="L33" s="161" t="s">
        <v>199</v>
      </c>
      <c r="M33" s="266">
        <v>0</v>
      </c>
      <c r="N33" s="266">
        <v>0</v>
      </c>
      <c r="O33" s="266">
        <v>0</v>
      </c>
      <c r="P33" s="266">
        <f t="shared" si="0"/>
        <v>29.802366313047504</v>
      </c>
      <c r="Q33" s="266">
        <v>0</v>
      </c>
      <c r="R33" s="266">
        <v>0</v>
      </c>
      <c r="S33" s="266">
        <v>0</v>
      </c>
    </row>
    <row r="34" spans="1:19">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c r="L34" s="161" t="s">
        <v>200</v>
      </c>
      <c r="M34" s="266">
        <v>0</v>
      </c>
      <c r="N34" s="266">
        <v>0</v>
      </c>
      <c r="O34" s="266">
        <v>0</v>
      </c>
      <c r="P34" s="266">
        <f t="shared" si="0"/>
        <v>24</v>
      </c>
      <c r="Q34" s="266">
        <v>0</v>
      </c>
      <c r="R34" s="266">
        <v>0</v>
      </c>
      <c r="S34" s="266">
        <v>0</v>
      </c>
    </row>
    <row r="35" spans="1:19">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c r="L35" s="161" t="s">
        <v>201</v>
      </c>
      <c r="M35" s="266">
        <v>0</v>
      </c>
      <c r="N35" s="266">
        <v>0</v>
      </c>
      <c r="O35" s="266">
        <v>0</v>
      </c>
      <c r="P35" s="266">
        <f t="shared" si="0"/>
        <v>24</v>
      </c>
      <c r="Q35" s="266">
        <v>0</v>
      </c>
      <c r="R35" s="266">
        <v>0</v>
      </c>
      <c r="S35" s="266">
        <v>0</v>
      </c>
    </row>
    <row r="36" spans="1:19">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c r="L36" s="161" t="s">
        <v>202</v>
      </c>
      <c r="M36" s="266">
        <v>0</v>
      </c>
      <c r="N36" s="266">
        <v>0</v>
      </c>
      <c r="O36" s="266">
        <v>0</v>
      </c>
      <c r="P36" s="266">
        <f t="shared" si="0"/>
        <v>24</v>
      </c>
      <c r="Q36" s="266">
        <v>0</v>
      </c>
      <c r="R36" s="266">
        <v>0</v>
      </c>
      <c r="S36" s="266">
        <v>0</v>
      </c>
    </row>
    <row r="37" spans="1:19">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c r="L37" s="161" t="s">
        <v>204</v>
      </c>
      <c r="M37" s="266">
        <v>0</v>
      </c>
      <c r="N37" s="266">
        <v>0</v>
      </c>
      <c r="O37" s="266">
        <v>0</v>
      </c>
      <c r="P37" s="266">
        <f t="shared" si="0"/>
        <v>24</v>
      </c>
      <c r="Q37" s="266">
        <v>0</v>
      </c>
      <c r="R37" s="266">
        <v>0</v>
      </c>
      <c r="S37" s="266">
        <v>0</v>
      </c>
    </row>
    <row r="38" spans="1:19">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c r="L38" s="161" t="s">
        <v>206</v>
      </c>
      <c r="M38" s="266">
        <v>0</v>
      </c>
      <c r="N38" s="266">
        <v>0</v>
      </c>
      <c r="O38" s="266">
        <v>0</v>
      </c>
      <c r="P38" s="266">
        <f t="shared" si="0"/>
        <v>24</v>
      </c>
      <c r="Q38" s="266">
        <v>0</v>
      </c>
      <c r="R38" s="266">
        <v>0</v>
      </c>
      <c r="S38" s="266">
        <v>0</v>
      </c>
    </row>
    <row r="39" spans="1:19">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c r="L39" s="161" t="s">
        <v>207</v>
      </c>
      <c r="M39" s="266">
        <v>0</v>
      </c>
      <c r="N39" s="266">
        <v>0</v>
      </c>
      <c r="O39" s="266">
        <v>0</v>
      </c>
      <c r="P39" s="266">
        <f t="shared" si="0"/>
        <v>28.19208284008339</v>
      </c>
      <c r="Q39" s="266">
        <v>0</v>
      </c>
      <c r="R39" s="266">
        <v>0</v>
      </c>
      <c r="S39" s="266">
        <v>0</v>
      </c>
    </row>
    <row r="40" spans="1:19">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c r="L40" s="161" t="s">
        <v>209</v>
      </c>
      <c r="M40" s="266">
        <v>0</v>
      </c>
      <c r="N40" s="266">
        <v>0</v>
      </c>
      <c r="O40" s="266">
        <v>0</v>
      </c>
      <c r="P40" s="266">
        <f t="shared" si="0"/>
        <v>24</v>
      </c>
      <c r="Q40" s="266">
        <v>0</v>
      </c>
      <c r="R40" s="266">
        <v>0</v>
      </c>
      <c r="S40" s="266">
        <v>0</v>
      </c>
    </row>
    <row r="41" spans="1:19">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c r="L41" s="161" t="s">
        <v>210</v>
      </c>
      <c r="M41" s="266">
        <v>0</v>
      </c>
      <c r="N41" s="266">
        <v>0</v>
      </c>
      <c r="O41" s="266">
        <v>0</v>
      </c>
      <c r="P41" s="266">
        <f t="shared" si="0"/>
        <v>24</v>
      </c>
      <c r="Q41" s="266">
        <v>0</v>
      </c>
      <c r="R41" s="266">
        <v>0</v>
      </c>
      <c r="S41" s="266">
        <v>0</v>
      </c>
    </row>
    <row r="42" spans="1:19">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c r="L42" s="161" t="s">
        <v>212</v>
      </c>
      <c r="M42" s="266">
        <v>0</v>
      </c>
      <c r="N42" s="266">
        <v>0</v>
      </c>
      <c r="O42" s="266">
        <v>0</v>
      </c>
      <c r="P42" s="266">
        <f t="shared" si="0"/>
        <v>24</v>
      </c>
      <c r="Q42" s="266">
        <v>0</v>
      </c>
      <c r="R42" s="266">
        <v>0</v>
      </c>
      <c r="S42" s="266">
        <v>0</v>
      </c>
    </row>
    <row r="43" spans="1:19">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c r="L43" s="161" t="s">
        <v>214</v>
      </c>
      <c r="M43" s="266">
        <v>0</v>
      </c>
      <c r="N43" s="266">
        <v>0</v>
      </c>
      <c r="O43" s="266">
        <v>0</v>
      </c>
      <c r="P43" s="266">
        <f t="shared" si="0"/>
        <v>158.54710956125166</v>
      </c>
      <c r="Q43" s="266">
        <v>0</v>
      </c>
      <c r="R43" s="266">
        <v>0</v>
      </c>
      <c r="S43" s="266">
        <v>0</v>
      </c>
    </row>
    <row r="44" spans="1:19">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c r="L44" s="161" t="s">
        <v>216</v>
      </c>
      <c r="M44" s="266">
        <v>0</v>
      </c>
      <c r="N44" s="266">
        <v>0</v>
      </c>
      <c r="O44" s="266">
        <v>0</v>
      </c>
      <c r="P44" s="266">
        <f t="shared" si="0"/>
        <v>74.693790344503313</v>
      </c>
      <c r="Q44" s="266">
        <v>0</v>
      </c>
      <c r="R44" s="266">
        <v>0</v>
      </c>
      <c r="S44" s="266">
        <v>0</v>
      </c>
    </row>
    <row r="45" spans="1:19">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c r="L45" s="161" t="s">
        <v>217</v>
      </c>
      <c r="M45" s="266">
        <v>0</v>
      </c>
      <c r="N45" s="266">
        <v>0</v>
      </c>
      <c r="O45" s="266">
        <v>0</v>
      </c>
      <c r="P45" s="266">
        <f t="shared" si="0"/>
        <v>24</v>
      </c>
      <c r="Q45" s="266">
        <v>0</v>
      </c>
      <c r="R45" s="266">
        <v>0</v>
      </c>
      <c r="S45" s="266">
        <v>0</v>
      </c>
    </row>
    <row r="46" spans="1:19">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c r="L46" s="161" t="s">
        <v>219</v>
      </c>
      <c r="M46" s="266">
        <v>0</v>
      </c>
      <c r="N46" s="266">
        <v>0</v>
      </c>
      <c r="O46" s="266">
        <v>0</v>
      </c>
      <c r="P46" s="266">
        <f t="shared" si="0"/>
        <v>0</v>
      </c>
      <c r="Q46" s="266">
        <v>0</v>
      </c>
      <c r="R46" s="266">
        <v>0</v>
      </c>
      <c r="S46" s="266">
        <v>0</v>
      </c>
    </row>
    <row r="47" spans="1:19">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c r="L47" s="161" t="s">
        <v>220</v>
      </c>
      <c r="M47" s="266">
        <v>0</v>
      </c>
      <c r="N47" s="266">
        <v>0</v>
      </c>
      <c r="O47" s="266">
        <v>0</v>
      </c>
      <c r="P47" s="266">
        <f t="shared" si="0"/>
        <v>24</v>
      </c>
      <c r="Q47" s="266">
        <v>0</v>
      </c>
      <c r="R47" s="266">
        <v>0</v>
      </c>
      <c r="S47" s="266">
        <v>0</v>
      </c>
    </row>
    <row r="48" spans="1:19">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c r="L48" s="161" t="s">
        <v>222</v>
      </c>
      <c r="M48" s="266">
        <v>0</v>
      </c>
      <c r="N48" s="266">
        <v>0</v>
      </c>
      <c r="O48" s="266">
        <v>0</v>
      </c>
      <c r="P48" s="266">
        <f t="shared" si="0"/>
        <v>25.239580705758389</v>
      </c>
      <c r="Q48" s="266">
        <v>0</v>
      </c>
      <c r="R48" s="266">
        <v>0</v>
      </c>
      <c r="S48" s="266">
        <v>0</v>
      </c>
    </row>
    <row r="49" spans="1:19">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c r="L49" s="161" t="s">
        <v>224</v>
      </c>
      <c r="M49" s="266">
        <v>0</v>
      </c>
      <c r="N49" s="266">
        <v>0</v>
      </c>
      <c r="O49" s="266">
        <v>0</v>
      </c>
      <c r="P49" s="266">
        <f t="shared" si="0"/>
        <v>0</v>
      </c>
      <c r="Q49" s="266">
        <v>0</v>
      </c>
      <c r="R49" s="266">
        <v>0</v>
      </c>
      <c r="S49" s="266">
        <v>0</v>
      </c>
    </row>
    <row r="50" spans="1:19">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c r="L50" s="161" t="s">
        <v>226</v>
      </c>
      <c r="M50" s="266">
        <v>0</v>
      </c>
      <c r="N50" s="266">
        <v>0</v>
      </c>
      <c r="O50" s="266">
        <v>0</v>
      </c>
      <c r="P50" s="266">
        <f t="shared" si="0"/>
        <v>24</v>
      </c>
      <c r="Q50" s="266">
        <v>0</v>
      </c>
      <c r="R50" s="266">
        <v>0</v>
      </c>
      <c r="S50" s="266">
        <v>0</v>
      </c>
    </row>
    <row r="51" spans="1:19">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c r="L51" s="161" t="s">
        <v>228</v>
      </c>
      <c r="M51" s="266">
        <v>0</v>
      </c>
      <c r="N51" s="266">
        <v>0</v>
      </c>
      <c r="O51" s="266">
        <v>0</v>
      </c>
      <c r="P51" s="266">
        <f t="shared" si="0"/>
        <v>0</v>
      </c>
      <c r="Q51" s="266">
        <v>0</v>
      </c>
      <c r="R51" s="266">
        <v>0</v>
      </c>
      <c r="S51" s="266">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S51"/>
  <sheetViews>
    <sheetView topLeftCell="F1" workbookViewId="0">
      <selection activeCell="P2" sqref="P2"/>
    </sheetView>
  </sheetViews>
  <sheetFormatPr defaultRowHeight="15"/>
  <cols>
    <col min="1" max="1" width="16.85546875" customWidth="1"/>
    <col min="2" max="8" width="10.28515625" customWidth="1"/>
    <col min="9" max="9" width="10" bestFit="1" customWidth="1"/>
    <col min="10" max="10" width="14.42578125" bestFit="1" customWidth="1"/>
    <col min="12" max="12" width="16.85546875" customWidth="1"/>
    <col min="13" max="19" width="10.28515625" customWidth="1"/>
  </cols>
  <sheetData>
    <row r="1" spans="1:19" ht="30">
      <c r="A1" s="7" t="s">
        <v>60</v>
      </c>
      <c r="B1" s="5" t="s">
        <v>10</v>
      </c>
      <c r="C1" s="5" t="s">
        <v>11</v>
      </c>
      <c r="D1" s="5" t="s">
        <v>12</v>
      </c>
      <c r="E1" s="5" t="s">
        <v>13</v>
      </c>
      <c r="F1" s="5" t="s">
        <v>14</v>
      </c>
      <c r="G1" s="5" t="s">
        <v>52</v>
      </c>
      <c r="H1" s="5" t="s">
        <v>53</v>
      </c>
      <c r="J1" s="264" t="str">
        <f>"AVL="&amp;AVL!B5</f>
        <v>AVL=34</v>
      </c>
      <c r="K1" s="6">
        <v>34</v>
      </c>
      <c r="L1" s="7" t="s">
        <v>60</v>
      </c>
      <c r="M1" s="265" t="s">
        <v>10</v>
      </c>
      <c r="N1" s="265" t="s">
        <v>11</v>
      </c>
      <c r="O1" s="265" t="s">
        <v>12</v>
      </c>
      <c r="P1" s="265" t="s">
        <v>13</v>
      </c>
      <c r="Q1" s="265" t="s">
        <v>14</v>
      </c>
      <c r="R1" s="265" t="s">
        <v>52</v>
      </c>
      <c r="S1" s="265" t="s">
        <v>53</v>
      </c>
    </row>
    <row r="2" spans="1:19">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c r="L2" s="161" t="s">
        <v>147</v>
      </c>
      <c r="M2" s="273">
        <f>IF(B2=0,0,IF(SUM($B2:$H2)&lt;$K$1,B2*($K$1/SUM($B2:$H2)),B2))</f>
        <v>0</v>
      </c>
      <c r="N2" s="273">
        <f t="shared" ref="N2:S2" si="0">IF(C2=0,0,IF(SUM($B2:$H2)&lt;$K$1,C2*($K$1/SUM($B2:$H2)),C2))</f>
        <v>0</v>
      </c>
      <c r="O2" s="273">
        <f t="shared" si="0"/>
        <v>0</v>
      </c>
      <c r="P2" s="273">
        <f t="shared" si="0"/>
        <v>376.68683982616136</v>
      </c>
      <c r="Q2" s="273">
        <f t="shared" si="0"/>
        <v>0</v>
      </c>
      <c r="R2" s="273">
        <f t="shared" si="0"/>
        <v>0</v>
      </c>
      <c r="S2" s="273">
        <f t="shared" si="0"/>
        <v>0</v>
      </c>
    </row>
    <row r="3" spans="1:19">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c r="L3" s="161" t="s">
        <v>149</v>
      </c>
      <c r="M3" s="273">
        <f t="shared" ref="M3:M51" si="1">IF(B3=0,0,IF(SUM($B3:$H3)&lt;$K$1,B3*($K$1/SUM($B3:$H3)),B3))</f>
        <v>0</v>
      </c>
      <c r="N3" s="273">
        <f t="shared" ref="N3:N51" si="2">IF(C3=0,0,IF(SUM($B3:$H3)&lt;$K$1,C3*($K$1/SUM($B3:$H3)),C3))</f>
        <v>0</v>
      </c>
      <c r="O3" s="273">
        <f t="shared" ref="O3:O51" si="3">IF(D3=0,0,IF(SUM($B3:$H3)&lt;$K$1,D3*($K$1/SUM($B3:$H3)),D3))</f>
        <v>0</v>
      </c>
      <c r="P3" s="273">
        <f t="shared" ref="P3:P51" si="4">IF(E3=0,0,IF(SUM($B3:$H3)&lt;$K$1,E3*($K$1/SUM($B3:$H3)),E3))</f>
        <v>0</v>
      </c>
      <c r="Q3" s="273">
        <f t="shared" ref="Q3:Q51" si="5">IF(F3=0,0,IF(SUM($B3:$H3)&lt;$K$1,F3*($K$1/SUM($B3:$H3)),F3))</f>
        <v>0</v>
      </c>
      <c r="R3" s="273">
        <f t="shared" ref="R3:R51" si="6">IF(G3=0,0,IF(SUM($B3:$H3)&lt;$K$1,G3*($K$1/SUM($B3:$H3)),G3))</f>
        <v>0</v>
      </c>
      <c r="S3" s="273">
        <f t="shared" ref="S3:S51" si="7">IF(H3=0,0,IF(SUM($B3:$H3)&lt;$K$1,H3*($K$1/SUM($B3:$H3)),H3))</f>
        <v>0</v>
      </c>
    </row>
    <row r="4" spans="1:19">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c r="L4" s="161" t="s">
        <v>150</v>
      </c>
      <c r="M4" s="273">
        <f t="shared" si="1"/>
        <v>0</v>
      </c>
      <c r="N4" s="273">
        <f t="shared" si="2"/>
        <v>0</v>
      </c>
      <c r="O4" s="273">
        <f t="shared" si="3"/>
        <v>0</v>
      </c>
      <c r="P4" s="273">
        <f t="shared" si="4"/>
        <v>193.55045680576274</v>
      </c>
      <c r="Q4" s="273">
        <f t="shared" si="5"/>
        <v>0</v>
      </c>
      <c r="R4" s="273">
        <f t="shared" si="6"/>
        <v>0</v>
      </c>
      <c r="S4" s="273">
        <f t="shared" si="7"/>
        <v>0</v>
      </c>
    </row>
    <row r="5" spans="1:19">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c r="L5" s="161" t="s">
        <v>151</v>
      </c>
      <c r="M5" s="273">
        <f t="shared" si="1"/>
        <v>0</v>
      </c>
      <c r="N5" s="273">
        <f t="shared" si="2"/>
        <v>0</v>
      </c>
      <c r="O5" s="273">
        <f t="shared" si="3"/>
        <v>0</v>
      </c>
      <c r="P5" s="273">
        <f t="shared" si="4"/>
        <v>274.23727634792135</v>
      </c>
      <c r="Q5" s="273">
        <f t="shared" si="5"/>
        <v>0</v>
      </c>
      <c r="R5" s="273">
        <f t="shared" si="6"/>
        <v>0</v>
      </c>
      <c r="S5" s="273">
        <f t="shared" si="7"/>
        <v>0</v>
      </c>
    </row>
    <row r="6" spans="1:19">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c r="L6" s="161" t="s">
        <v>153</v>
      </c>
      <c r="M6" s="273">
        <f t="shared" si="1"/>
        <v>0</v>
      </c>
      <c r="N6" s="273">
        <f t="shared" si="2"/>
        <v>0</v>
      </c>
      <c r="O6" s="273">
        <f t="shared" si="3"/>
        <v>0</v>
      </c>
      <c r="P6" s="273">
        <f t="shared" si="4"/>
        <v>3159.1582378379094</v>
      </c>
      <c r="Q6" s="273">
        <f t="shared" si="5"/>
        <v>0</v>
      </c>
      <c r="R6" s="273">
        <f t="shared" si="6"/>
        <v>0</v>
      </c>
      <c r="S6" s="273">
        <f t="shared" si="7"/>
        <v>0</v>
      </c>
    </row>
    <row r="7" spans="1:19">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c r="L7" s="161" t="s">
        <v>155</v>
      </c>
      <c r="M7" s="273">
        <f t="shared" si="1"/>
        <v>0</v>
      </c>
      <c r="N7" s="273">
        <f t="shared" si="2"/>
        <v>0</v>
      </c>
      <c r="O7" s="273">
        <f t="shared" si="3"/>
        <v>0</v>
      </c>
      <c r="P7" s="273">
        <f t="shared" si="4"/>
        <v>294.48686426390714</v>
      </c>
      <c r="Q7" s="273">
        <f t="shared" si="5"/>
        <v>0</v>
      </c>
      <c r="R7" s="273">
        <f t="shared" si="6"/>
        <v>0</v>
      </c>
      <c r="S7" s="273">
        <f t="shared" si="7"/>
        <v>0</v>
      </c>
    </row>
    <row r="8" spans="1:19">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c r="L8" s="161" t="s">
        <v>157</v>
      </c>
      <c r="M8" s="273">
        <f t="shared" si="1"/>
        <v>0</v>
      </c>
      <c r="N8" s="273">
        <f t="shared" si="2"/>
        <v>0</v>
      </c>
      <c r="O8" s="273">
        <f t="shared" si="3"/>
        <v>0</v>
      </c>
      <c r="P8" s="273">
        <f t="shared" si="4"/>
        <v>34</v>
      </c>
      <c r="Q8" s="273">
        <f t="shared" si="5"/>
        <v>0</v>
      </c>
      <c r="R8" s="273">
        <f t="shared" si="6"/>
        <v>0</v>
      </c>
      <c r="S8" s="273">
        <f t="shared" si="7"/>
        <v>0</v>
      </c>
    </row>
    <row r="9" spans="1:19">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c r="L9" s="161" t="s">
        <v>159</v>
      </c>
      <c r="M9" s="273">
        <f t="shared" si="1"/>
        <v>0</v>
      </c>
      <c r="N9" s="273">
        <f t="shared" si="2"/>
        <v>0</v>
      </c>
      <c r="O9" s="273">
        <f t="shared" si="3"/>
        <v>0</v>
      </c>
      <c r="P9" s="273">
        <f t="shared" si="4"/>
        <v>34</v>
      </c>
      <c r="Q9" s="273">
        <f t="shared" si="5"/>
        <v>0</v>
      </c>
      <c r="R9" s="273">
        <f t="shared" si="6"/>
        <v>0</v>
      </c>
      <c r="S9" s="273">
        <f t="shared" si="7"/>
        <v>0</v>
      </c>
    </row>
    <row r="10" spans="1:19">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c r="L10" s="161" t="s">
        <v>161</v>
      </c>
      <c r="M10" s="273">
        <f t="shared" si="1"/>
        <v>0</v>
      </c>
      <c r="N10" s="273">
        <f t="shared" si="2"/>
        <v>0</v>
      </c>
      <c r="O10" s="273">
        <f t="shared" si="3"/>
        <v>0</v>
      </c>
      <c r="P10" s="273">
        <f t="shared" si="4"/>
        <v>725.33578869172709</v>
      </c>
      <c r="Q10" s="273">
        <f t="shared" si="5"/>
        <v>0</v>
      </c>
      <c r="R10" s="273">
        <f t="shared" si="6"/>
        <v>0</v>
      </c>
      <c r="S10" s="273">
        <f t="shared" si="7"/>
        <v>0</v>
      </c>
    </row>
    <row r="11" spans="1:19">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c r="L11" s="161" t="s">
        <v>163</v>
      </c>
      <c r="M11" s="273">
        <f t="shared" si="1"/>
        <v>0</v>
      </c>
      <c r="N11" s="273">
        <f t="shared" si="2"/>
        <v>0</v>
      </c>
      <c r="O11" s="273">
        <f t="shared" si="3"/>
        <v>0</v>
      </c>
      <c r="P11" s="273">
        <f t="shared" si="4"/>
        <v>1089.1608023470753</v>
      </c>
      <c r="Q11" s="273">
        <f t="shared" si="5"/>
        <v>0</v>
      </c>
      <c r="R11" s="273">
        <f t="shared" si="6"/>
        <v>0</v>
      </c>
      <c r="S11" s="273">
        <f t="shared" si="7"/>
        <v>0</v>
      </c>
    </row>
    <row r="12" spans="1:19">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c r="L12" s="161" t="s">
        <v>164</v>
      </c>
      <c r="M12" s="273">
        <f t="shared" si="1"/>
        <v>0</v>
      </c>
      <c r="N12" s="273">
        <f t="shared" si="2"/>
        <v>0</v>
      </c>
      <c r="O12" s="273">
        <f t="shared" si="3"/>
        <v>0</v>
      </c>
      <c r="P12" s="273">
        <f t="shared" si="4"/>
        <v>0</v>
      </c>
      <c r="Q12" s="273">
        <f t="shared" si="5"/>
        <v>0</v>
      </c>
      <c r="R12" s="273">
        <f t="shared" si="6"/>
        <v>0</v>
      </c>
      <c r="S12" s="273">
        <f t="shared" si="7"/>
        <v>0</v>
      </c>
    </row>
    <row r="13" spans="1:19">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c r="L13" s="161" t="s">
        <v>165</v>
      </c>
      <c r="M13" s="273">
        <f t="shared" si="1"/>
        <v>0</v>
      </c>
      <c r="N13" s="273">
        <f t="shared" si="2"/>
        <v>0</v>
      </c>
      <c r="O13" s="273">
        <f t="shared" si="3"/>
        <v>0</v>
      </c>
      <c r="P13" s="273">
        <f t="shared" si="4"/>
        <v>86.961966566672885</v>
      </c>
      <c r="Q13" s="273">
        <f t="shared" si="5"/>
        <v>0</v>
      </c>
      <c r="R13" s="273">
        <f t="shared" si="6"/>
        <v>0</v>
      </c>
      <c r="S13" s="273">
        <f t="shared" si="7"/>
        <v>0</v>
      </c>
    </row>
    <row r="14" spans="1:19">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c r="L14" s="161" t="s">
        <v>167</v>
      </c>
      <c r="M14" s="273">
        <f t="shared" si="1"/>
        <v>0</v>
      </c>
      <c r="N14" s="273">
        <f t="shared" si="2"/>
        <v>0</v>
      </c>
      <c r="O14" s="273">
        <f t="shared" si="3"/>
        <v>0</v>
      </c>
      <c r="P14" s="273">
        <f t="shared" si="4"/>
        <v>3490.3168832947226</v>
      </c>
      <c r="Q14" s="273">
        <f t="shared" si="5"/>
        <v>0</v>
      </c>
      <c r="R14" s="273">
        <f t="shared" si="6"/>
        <v>0</v>
      </c>
      <c r="S14" s="273">
        <f t="shared" si="7"/>
        <v>0</v>
      </c>
    </row>
    <row r="15" spans="1:19">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c r="L15" s="161" t="s">
        <v>169</v>
      </c>
      <c r="M15" s="273">
        <f t="shared" si="1"/>
        <v>0</v>
      </c>
      <c r="N15" s="273">
        <f t="shared" si="2"/>
        <v>0</v>
      </c>
      <c r="O15" s="273">
        <f t="shared" si="3"/>
        <v>0</v>
      </c>
      <c r="P15" s="273">
        <f t="shared" si="4"/>
        <v>546.16031407687285</v>
      </c>
      <c r="Q15" s="273">
        <f t="shared" si="5"/>
        <v>0</v>
      </c>
      <c r="R15" s="273">
        <f t="shared" si="6"/>
        <v>0</v>
      </c>
      <c r="S15" s="273">
        <f t="shared" si="7"/>
        <v>0</v>
      </c>
    </row>
    <row r="16" spans="1:19">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c r="L16" s="161" t="s">
        <v>171</v>
      </c>
      <c r="M16" s="273">
        <f t="shared" si="1"/>
        <v>0</v>
      </c>
      <c r="N16" s="273">
        <f t="shared" si="2"/>
        <v>0</v>
      </c>
      <c r="O16" s="273">
        <f t="shared" si="3"/>
        <v>0</v>
      </c>
      <c r="P16" s="273">
        <f t="shared" si="4"/>
        <v>344.6435358711949</v>
      </c>
      <c r="Q16" s="273">
        <f t="shared" si="5"/>
        <v>0</v>
      </c>
      <c r="R16" s="273">
        <f t="shared" si="6"/>
        <v>0</v>
      </c>
      <c r="S16" s="273">
        <f t="shared" si="7"/>
        <v>0</v>
      </c>
    </row>
    <row r="17" spans="1:19">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c r="L17" s="161" t="s">
        <v>173</v>
      </c>
      <c r="M17" s="273">
        <f t="shared" si="1"/>
        <v>0</v>
      </c>
      <c r="N17" s="273">
        <f t="shared" si="2"/>
        <v>0</v>
      </c>
      <c r="O17" s="273">
        <f t="shared" si="3"/>
        <v>0</v>
      </c>
      <c r="P17" s="273">
        <f t="shared" si="4"/>
        <v>368.09745418267732</v>
      </c>
      <c r="Q17" s="273">
        <f t="shared" si="5"/>
        <v>0</v>
      </c>
      <c r="R17" s="273">
        <f t="shared" si="6"/>
        <v>0</v>
      </c>
      <c r="S17" s="273">
        <f t="shared" si="7"/>
        <v>0</v>
      </c>
    </row>
    <row r="18" spans="1:19">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c r="L18" s="161" t="s">
        <v>174</v>
      </c>
      <c r="M18" s="273">
        <f t="shared" si="1"/>
        <v>0</v>
      </c>
      <c r="N18" s="273">
        <f t="shared" si="2"/>
        <v>0</v>
      </c>
      <c r="O18" s="273">
        <f t="shared" si="3"/>
        <v>0</v>
      </c>
      <c r="P18" s="273">
        <f t="shared" si="4"/>
        <v>282.96017575788443</v>
      </c>
      <c r="Q18" s="273">
        <f t="shared" si="5"/>
        <v>0</v>
      </c>
      <c r="R18" s="273">
        <f t="shared" si="6"/>
        <v>0</v>
      </c>
      <c r="S18" s="273">
        <f t="shared" si="7"/>
        <v>0</v>
      </c>
    </row>
    <row r="19" spans="1:19">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c r="L19" s="161" t="s">
        <v>175</v>
      </c>
      <c r="M19" s="273">
        <f t="shared" si="1"/>
        <v>0</v>
      </c>
      <c r="N19" s="273">
        <f t="shared" si="2"/>
        <v>0</v>
      </c>
      <c r="O19" s="273">
        <f t="shared" si="3"/>
        <v>0</v>
      </c>
      <c r="P19" s="273">
        <f t="shared" si="4"/>
        <v>386.07730806851959</v>
      </c>
      <c r="Q19" s="273">
        <f t="shared" si="5"/>
        <v>0</v>
      </c>
      <c r="R19" s="273">
        <f t="shared" si="6"/>
        <v>0</v>
      </c>
      <c r="S19" s="273">
        <f t="shared" si="7"/>
        <v>0</v>
      </c>
    </row>
    <row r="20" spans="1:19">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c r="L20" s="161" t="s">
        <v>177</v>
      </c>
      <c r="M20" s="273">
        <f t="shared" si="1"/>
        <v>0</v>
      </c>
      <c r="N20" s="273">
        <f t="shared" si="2"/>
        <v>0</v>
      </c>
      <c r="O20" s="273">
        <f t="shared" si="3"/>
        <v>0</v>
      </c>
      <c r="P20" s="273">
        <f t="shared" si="4"/>
        <v>34</v>
      </c>
      <c r="Q20" s="273">
        <f t="shared" si="5"/>
        <v>0</v>
      </c>
      <c r="R20" s="273">
        <f t="shared" si="6"/>
        <v>0</v>
      </c>
      <c r="S20" s="273">
        <f t="shared" si="7"/>
        <v>0</v>
      </c>
    </row>
    <row r="21" spans="1:19">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c r="L21" s="161" t="s">
        <v>178</v>
      </c>
      <c r="M21" s="273">
        <f t="shared" si="1"/>
        <v>0</v>
      </c>
      <c r="N21" s="273">
        <f t="shared" si="2"/>
        <v>0</v>
      </c>
      <c r="O21" s="273">
        <f t="shared" si="3"/>
        <v>0</v>
      </c>
      <c r="P21" s="273">
        <f t="shared" si="4"/>
        <v>187.23080519242211</v>
      </c>
      <c r="Q21" s="273">
        <f t="shared" si="5"/>
        <v>0</v>
      </c>
      <c r="R21" s="273">
        <f t="shared" si="6"/>
        <v>0</v>
      </c>
      <c r="S21" s="273">
        <f t="shared" si="7"/>
        <v>0</v>
      </c>
    </row>
    <row r="22" spans="1:19">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c r="L22" s="161" t="s">
        <v>180</v>
      </c>
      <c r="M22" s="273">
        <f t="shared" si="1"/>
        <v>0</v>
      </c>
      <c r="N22" s="273">
        <f t="shared" si="2"/>
        <v>0</v>
      </c>
      <c r="O22" s="273">
        <f t="shared" si="3"/>
        <v>0</v>
      </c>
      <c r="P22" s="273">
        <f t="shared" si="4"/>
        <v>157.14570314581474</v>
      </c>
      <c r="Q22" s="273">
        <f t="shared" si="5"/>
        <v>0</v>
      </c>
      <c r="R22" s="273">
        <f t="shared" si="6"/>
        <v>0</v>
      </c>
      <c r="S22" s="273">
        <f t="shared" si="7"/>
        <v>0</v>
      </c>
    </row>
    <row r="23" spans="1:19">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c r="L23" s="161" t="s">
        <v>182</v>
      </c>
      <c r="M23" s="273">
        <f t="shared" si="1"/>
        <v>0</v>
      </c>
      <c r="N23" s="273">
        <f t="shared" si="2"/>
        <v>0</v>
      </c>
      <c r="O23" s="273">
        <f t="shared" si="3"/>
        <v>0</v>
      </c>
      <c r="P23" s="273">
        <f t="shared" si="4"/>
        <v>457.72969607893071</v>
      </c>
      <c r="Q23" s="273">
        <f t="shared" si="5"/>
        <v>0</v>
      </c>
      <c r="R23" s="273">
        <f t="shared" si="6"/>
        <v>0</v>
      </c>
      <c r="S23" s="273">
        <f t="shared" si="7"/>
        <v>0</v>
      </c>
    </row>
    <row r="24" spans="1:19">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c r="L24" s="161" t="s">
        <v>184</v>
      </c>
      <c r="M24" s="273">
        <f t="shared" si="1"/>
        <v>0</v>
      </c>
      <c r="N24" s="273">
        <f t="shared" si="2"/>
        <v>0</v>
      </c>
      <c r="O24" s="273">
        <f t="shared" si="3"/>
        <v>0</v>
      </c>
      <c r="P24" s="273">
        <f t="shared" si="4"/>
        <v>952.93225594964167</v>
      </c>
      <c r="Q24" s="273">
        <f t="shared" si="5"/>
        <v>0</v>
      </c>
      <c r="R24" s="273">
        <f t="shared" si="6"/>
        <v>0</v>
      </c>
      <c r="S24" s="273">
        <f t="shared" si="7"/>
        <v>0</v>
      </c>
    </row>
    <row r="25" spans="1:19">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c r="L25" s="161" t="s">
        <v>186</v>
      </c>
      <c r="M25" s="273">
        <f t="shared" si="1"/>
        <v>0</v>
      </c>
      <c r="N25" s="273">
        <f t="shared" si="2"/>
        <v>0</v>
      </c>
      <c r="O25" s="273">
        <f t="shared" si="3"/>
        <v>0</v>
      </c>
      <c r="P25" s="273">
        <f t="shared" si="4"/>
        <v>118.20418792276519</v>
      </c>
      <c r="Q25" s="273">
        <f t="shared" si="5"/>
        <v>0</v>
      </c>
      <c r="R25" s="273">
        <f t="shared" si="6"/>
        <v>0</v>
      </c>
      <c r="S25" s="273">
        <f t="shared" si="7"/>
        <v>0</v>
      </c>
    </row>
    <row r="26" spans="1:19">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c r="L26" s="161" t="s">
        <v>188</v>
      </c>
      <c r="M26" s="273">
        <f t="shared" si="1"/>
        <v>0</v>
      </c>
      <c r="N26" s="273">
        <f t="shared" si="2"/>
        <v>0</v>
      </c>
      <c r="O26" s="273">
        <f t="shared" si="3"/>
        <v>0</v>
      </c>
      <c r="P26" s="273">
        <f t="shared" si="4"/>
        <v>491.77570653108262</v>
      </c>
      <c r="Q26" s="273">
        <f t="shared" si="5"/>
        <v>0</v>
      </c>
      <c r="R26" s="273">
        <f t="shared" si="6"/>
        <v>0</v>
      </c>
      <c r="S26" s="273">
        <f t="shared" si="7"/>
        <v>0</v>
      </c>
    </row>
    <row r="27" spans="1:19">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c r="L27" s="161" t="s">
        <v>190</v>
      </c>
      <c r="M27" s="273">
        <f t="shared" si="1"/>
        <v>0</v>
      </c>
      <c r="N27" s="273">
        <f t="shared" si="2"/>
        <v>0</v>
      </c>
      <c r="O27" s="273">
        <f t="shared" si="3"/>
        <v>0</v>
      </c>
      <c r="P27" s="273">
        <f t="shared" si="4"/>
        <v>154.51993240506053</v>
      </c>
      <c r="Q27" s="273">
        <f t="shared" si="5"/>
        <v>0</v>
      </c>
      <c r="R27" s="273">
        <f t="shared" si="6"/>
        <v>0</v>
      </c>
      <c r="S27" s="273">
        <f t="shared" si="7"/>
        <v>0</v>
      </c>
    </row>
    <row r="28" spans="1:19">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c r="L28" s="161" t="s">
        <v>191</v>
      </c>
      <c r="M28" s="273">
        <f t="shared" si="1"/>
        <v>0</v>
      </c>
      <c r="N28" s="273">
        <f t="shared" si="2"/>
        <v>0</v>
      </c>
      <c r="O28" s="273">
        <f t="shared" si="3"/>
        <v>0</v>
      </c>
      <c r="P28" s="273">
        <f t="shared" si="4"/>
        <v>264.53527598377872</v>
      </c>
      <c r="Q28" s="273">
        <f t="shared" si="5"/>
        <v>0</v>
      </c>
      <c r="R28" s="273">
        <f t="shared" si="6"/>
        <v>0</v>
      </c>
      <c r="S28" s="273">
        <f t="shared" si="7"/>
        <v>0</v>
      </c>
    </row>
    <row r="29" spans="1:19">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c r="L29" s="161" t="s">
        <v>193</v>
      </c>
      <c r="M29" s="273">
        <f t="shared" si="1"/>
        <v>0</v>
      </c>
      <c r="N29" s="273">
        <f t="shared" si="2"/>
        <v>0</v>
      </c>
      <c r="O29" s="273">
        <f t="shared" si="3"/>
        <v>0</v>
      </c>
      <c r="P29" s="273">
        <f t="shared" si="4"/>
        <v>52.426405637431245</v>
      </c>
      <c r="Q29" s="273">
        <f t="shared" si="5"/>
        <v>0</v>
      </c>
      <c r="R29" s="273">
        <f t="shared" si="6"/>
        <v>0</v>
      </c>
      <c r="S29" s="273">
        <f t="shared" si="7"/>
        <v>0</v>
      </c>
    </row>
    <row r="30" spans="1:19">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c r="L30" s="161" t="s">
        <v>194</v>
      </c>
      <c r="M30" s="273">
        <f t="shared" si="1"/>
        <v>0</v>
      </c>
      <c r="N30" s="273">
        <f t="shared" si="2"/>
        <v>0</v>
      </c>
      <c r="O30" s="273">
        <f t="shared" si="3"/>
        <v>0</v>
      </c>
      <c r="P30" s="273">
        <f t="shared" si="4"/>
        <v>34</v>
      </c>
      <c r="Q30" s="273">
        <f t="shared" si="5"/>
        <v>0</v>
      </c>
      <c r="R30" s="273">
        <f t="shared" si="6"/>
        <v>0</v>
      </c>
      <c r="S30" s="273">
        <f t="shared" si="7"/>
        <v>0</v>
      </c>
    </row>
    <row r="31" spans="1:19">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c r="L31" s="161" t="s">
        <v>196</v>
      </c>
      <c r="M31" s="273">
        <f t="shared" si="1"/>
        <v>0</v>
      </c>
      <c r="N31" s="273">
        <f t="shared" si="2"/>
        <v>0</v>
      </c>
      <c r="O31" s="273">
        <f t="shared" si="3"/>
        <v>0</v>
      </c>
      <c r="P31" s="273">
        <f t="shared" si="4"/>
        <v>659.11296051812974</v>
      </c>
      <c r="Q31" s="273">
        <f t="shared" si="5"/>
        <v>0</v>
      </c>
      <c r="R31" s="273">
        <f t="shared" si="6"/>
        <v>0</v>
      </c>
      <c r="S31" s="273">
        <f t="shared" si="7"/>
        <v>0</v>
      </c>
    </row>
    <row r="32" spans="1:19">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c r="L32" s="161" t="s">
        <v>197</v>
      </c>
      <c r="M32" s="273">
        <f t="shared" si="1"/>
        <v>0</v>
      </c>
      <c r="N32" s="273">
        <f t="shared" si="2"/>
        <v>0</v>
      </c>
      <c r="O32" s="273">
        <f t="shared" si="3"/>
        <v>0</v>
      </c>
      <c r="P32" s="273">
        <f t="shared" si="4"/>
        <v>101.73749005701853</v>
      </c>
      <c r="Q32" s="273">
        <f t="shared" si="5"/>
        <v>0</v>
      </c>
      <c r="R32" s="273">
        <f t="shared" si="6"/>
        <v>0</v>
      </c>
      <c r="S32" s="273">
        <f t="shared" si="7"/>
        <v>0</v>
      </c>
    </row>
    <row r="33" spans="1:19">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c r="L33" s="161" t="s">
        <v>199</v>
      </c>
      <c r="M33" s="273">
        <f t="shared" si="1"/>
        <v>0</v>
      </c>
      <c r="N33" s="273">
        <f t="shared" si="2"/>
        <v>0</v>
      </c>
      <c r="O33" s="273">
        <f t="shared" si="3"/>
        <v>0</v>
      </c>
      <c r="P33" s="273">
        <f t="shared" si="4"/>
        <v>217.04887970607149</v>
      </c>
      <c r="Q33" s="273">
        <f t="shared" si="5"/>
        <v>0</v>
      </c>
      <c r="R33" s="273">
        <f t="shared" si="6"/>
        <v>0</v>
      </c>
      <c r="S33" s="273">
        <f t="shared" si="7"/>
        <v>0</v>
      </c>
    </row>
    <row r="34" spans="1:19">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c r="L34" s="161" t="s">
        <v>200</v>
      </c>
      <c r="M34" s="273">
        <f t="shared" si="1"/>
        <v>0</v>
      </c>
      <c r="N34" s="273">
        <f t="shared" si="2"/>
        <v>0</v>
      </c>
      <c r="O34" s="273">
        <f t="shared" si="3"/>
        <v>0</v>
      </c>
      <c r="P34" s="273">
        <f t="shared" si="4"/>
        <v>374.77314250662863</v>
      </c>
      <c r="Q34" s="273">
        <f t="shared" si="5"/>
        <v>0</v>
      </c>
      <c r="R34" s="273">
        <f t="shared" si="6"/>
        <v>0</v>
      </c>
      <c r="S34" s="273">
        <f t="shared" si="7"/>
        <v>0</v>
      </c>
    </row>
    <row r="35" spans="1:19">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c r="L35" s="161" t="s">
        <v>201</v>
      </c>
      <c r="M35" s="273">
        <f t="shared" si="1"/>
        <v>0</v>
      </c>
      <c r="N35" s="273">
        <f t="shared" si="2"/>
        <v>0</v>
      </c>
      <c r="O35" s="273">
        <f t="shared" si="3"/>
        <v>0</v>
      </c>
      <c r="P35" s="273">
        <f t="shared" si="4"/>
        <v>224.0361001518072</v>
      </c>
      <c r="Q35" s="273">
        <f t="shared" si="5"/>
        <v>0</v>
      </c>
      <c r="R35" s="273">
        <f t="shared" si="6"/>
        <v>0</v>
      </c>
      <c r="S35" s="273">
        <f t="shared" si="7"/>
        <v>0</v>
      </c>
    </row>
    <row r="36" spans="1:19">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c r="L36" s="161" t="s">
        <v>202</v>
      </c>
      <c r="M36" s="273">
        <f t="shared" si="1"/>
        <v>0</v>
      </c>
      <c r="N36" s="273">
        <f t="shared" si="2"/>
        <v>0</v>
      </c>
      <c r="O36" s="273">
        <f t="shared" si="3"/>
        <v>0</v>
      </c>
      <c r="P36" s="273">
        <f t="shared" si="4"/>
        <v>957.20469647697041</v>
      </c>
      <c r="Q36" s="273">
        <f t="shared" si="5"/>
        <v>0</v>
      </c>
      <c r="R36" s="273">
        <f t="shared" si="6"/>
        <v>0</v>
      </c>
      <c r="S36" s="273">
        <f t="shared" si="7"/>
        <v>0</v>
      </c>
    </row>
    <row r="37" spans="1:19">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c r="L37" s="161" t="s">
        <v>204</v>
      </c>
      <c r="M37" s="273">
        <f t="shared" si="1"/>
        <v>0</v>
      </c>
      <c r="N37" s="273">
        <f t="shared" si="2"/>
        <v>0</v>
      </c>
      <c r="O37" s="273">
        <f t="shared" si="3"/>
        <v>0</v>
      </c>
      <c r="P37" s="273">
        <f t="shared" si="4"/>
        <v>177.30628188414778</v>
      </c>
      <c r="Q37" s="273">
        <f t="shared" si="5"/>
        <v>0</v>
      </c>
      <c r="R37" s="273">
        <f t="shared" si="6"/>
        <v>0</v>
      </c>
      <c r="S37" s="273">
        <f t="shared" si="7"/>
        <v>0</v>
      </c>
    </row>
    <row r="38" spans="1:19">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c r="L38" s="161" t="s">
        <v>206</v>
      </c>
      <c r="M38" s="273">
        <f t="shared" si="1"/>
        <v>0</v>
      </c>
      <c r="N38" s="273">
        <f t="shared" si="2"/>
        <v>0</v>
      </c>
      <c r="O38" s="273">
        <f t="shared" si="3"/>
        <v>0</v>
      </c>
      <c r="P38" s="273">
        <f t="shared" si="4"/>
        <v>323.01430570159255</v>
      </c>
      <c r="Q38" s="273">
        <f t="shared" si="5"/>
        <v>0</v>
      </c>
      <c r="R38" s="273">
        <f t="shared" si="6"/>
        <v>0</v>
      </c>
      <c r="S38" s="273">
        <f t="shared" si="7"/>
        <v>0</v>
      </c>
    </row>
    <row r="39" spans="1:19">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c r="L39" s="161" t="s">
        <v>207</v>
      </c>
      <c r="M39" s="273">
        <f t="shared" si="1"/>
        <v>0</v>
      </c>
      <c r="N39" s="273">
        <f t="shared" si="2"/>
        <v>0</v>
      </c>
      <c r="O39" s="273">
        <f t="shared" si="3"/>
        <v>0</v>
      </c>
      <c r="P39" s="273">
        <f t="shared" si="4"/>
        <v>905.71288720489247</v>
      </c>
      <c r="Q39" s="273">
        <f t="shared" si="5"/>
        <v>0</v>
      </c>
      <c r="R39" s="273">
        <f t="shared" si="6"/>
        <v>0</v>
      </c>
      <c r="S39" s="273">
        <f t="shared" si="7"/>
        <v>0</v>
      </c>
    </row>
    <row r="40" spans="1:19">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c r="L40" s="161" t="s">
        <v>209</v>
      </c>
      <c r="M40" s="273">
        <f t="shared" si="1"/>
        <v>0</v>
      </c>
      <c r="N40" s="273">
        <f t="shared" si="2"/>
        <v>0</v>
      </c>
      <c r="O40" s="273">
        <f t="shared" si="3"/>
        <v>0</v>
      </c>
      <c r="P40" s="273">
        <f t="shared" si="4"/>
        <v>34</v>
      </c>
      <c r="Q40" s="273">
        <f t="shared" si="5"/>
        <v>0</v>
      </c>
      <c r="R40" s="273">
        <f t="shared" si="6"/>
        <v>0</v>
      </c>
      <c r="S40" s="273">
        <f t="shared" si="7"/>
        <v>0</v>
      </c>
    </row>
    <row r="41" spans="1:19">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c r="L41" s="161" t="s">
        <v>210</v>
      </c>
      <c r="M41" s="273">
        <f t="shared" si="1"/>
        <v>0</v>
      </c>
      <c r="N41" s="273">
        <f t="shared" si="2"/>
        <v>0</v>
      </c>
      <c r="O41" s="273">
        <f t="shared" si="3"/>
        <v>0</v>
      </c>
      <c r="P41" s="273">
        <f t="shared" si="4"/>
        <v>392.66398721481829</v>
      </c>
      <c r="Q41" s="273">
        <f t="shared" si="5"/>
        <v>0</v>
      </c>
      <c r="R41" s="273">
        <f t="shared" si="6"/>
        <v>0</v>
      </c>
      <c r="S41" s="273">
        <f t="shared" si="7"/>
        <v>0</v>
      </c>
    </row>
    <row r="42" spans="1:19">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c r="L42" s="161" t="s">
        <v>212</v>
      </c>
      <c r="M42" s="273">
        <f t="shared" si="1"/>
        <v>0</v>
      </c>
      <c r="N42" s="273">
        <f t="shared" si="2"/>
        <v>0</v>
      </c>
      <c r="O42" s="273">
        <f t="shared" si="3"/>
        <v>0</v>
      </c>
      <c r="P42" s="273">
        <f t="shared" si="4"/>
        <v>90.388819906301251</v>
      </c>
      <c r="Q42" s="273">
        <f t="shared" si="5"/>
        <v>0</v>
      </c>
      <c r="R42" s="273">
        <f t="shared" si="6"/>
        <v>0</v>
      </c>
      <c r="S42" s="273">
        <f t="shared" si="7"/>
        <v>0</v>
      </c>
    </row>
    <row r="43" spans="1:19">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c r="L43" s="161" t="s">
        <v>214</v>
      </c>
      <c r="M43" s="273">
        <f t="shared" si="1"/>
        <v>0</v>
      </c>
      <c r="N43" s="273">
        <f t="shared" si="2"/>
        <v>0</v>
      </c>
      <c r="O43" s="273">
        <f t="shared" si="3"/>
        <v>0</v>
      </c>
      <c r="P43" s="273">
        <f t="shared" si="4"/>
        <v>519.5020653698939</v>
      </c>
      <c r="Q43" s="273">
        <f t="shared" si="5"/>
        <v>0</v>
      </c>
      <c r="R43" s="273">
        <f t="shared" si="6"/>
        <v>0</v>
      </c>
      <c r="S43" s="273">
        <f t="shared" si="7"/>
        <v>0</v>
      </c>
    </row>
    <row r="44" spans="1:19">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c r="L44" s="161" t="s">
        <v>216</v>
      </c>
      <c r="M44" s="273">
        <f t="shared" si="1"/>
        <v>0</v>
      </c>
      <c r="N44" s="273">
        <f t="shared" si="2"/>
        <v>0</v>
      </c>
      <c r="O44" s="273">
        <f t="shared" si="3"/>
        <v>0</v>
      </c>
      <c r="P44" s="273">
        <f t="shared" si="4"/>
        <v>2241.785148360515</v>
      </c>
      <c r="Q44" s="273">
        <f t="shared" si="5"/>
        <v>0</v>
      </c>
      <c r="R44" s="273">
        <f t="shared" si="6"/>
        <v>0</v>
      </c>
      <c r="S44" s="273">
        <f t="shared" si="7"/>
        <v>0</v>
      </c>
    </row>
    <row r="45" spans="1:19">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c r="L45" s="161" t="s">
        <v>217</v>
      </c>
      <c r="M45" s="273">
        <f t="shared" si="1"/>
        <v>0</v>
      </c>
      <c r="N45" s="273">
        <f t="shared" si="2"/>
        <v>0</v>
      </c>
      <c r="O45" s="273">
        <f t="shared" si="3"/>
        <v>0</v>
      </c>
      <c r="P45" s="273">
        <f t="shared" si="4"/>
        <v>222.43393495405888</v>
      </c>
      <c r="Q45" s="273">
        <f t="shared" si="5"/>
        <v>0</v>
      </c>
      <c r="R45" s="273">
        <f t="shared" si="6"/>
        <v>0</v>
      </c>
      <c r="S45" s="273">
        <f t="shared" si="7"/>
        <v>0</v>
      </c>
    </row>
    <row r="46" spans="1:19">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c r="L46" s="161" t="s">
        <v>219</v>
      </c>
      <c r="M46" s="273">
        <f t="shared" si="1"/>
        <v>0</v>
      </c>
      <c r="N46" s="273">
        <f t="shared" si="2"/>
        <v>0</v>
      </c>
      <c r="O46" s="273">
        <f t="shared" si="3"/>
        <v>0</v>
      </c>
      <c r="P46" s="273">
        <f t="shared" si="4"/>
        <v>34</v>
      </c>
      <c r="Q46" s="273">
        <f t="shared" si="5"/>
        <v>0</v>
      </c>
      <c r="R46" s="273">
        <f t="shared" si="6"/>
        <v>0</v>
      </c>
      <c r="S46" s="273">
        <f t="shared" si="7"/>
        <v>0</v>
      </c>
    </row>
    <row r="47" spans="1:19">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c r="L47" s="161" t="s">
        <v>220</v>
      </c>
      <c r="M47" s="273">
        <f t="shared" si="1"/>
        <v>0</v>
      </c>
      <c r="N47" s="273">
        <f t="shared" si="2"/>
        <v>0</v>
      </c>
      <c r="O47" s="273">
        <f t="shared" si="3"/>
        <v>0</v>
      </c>
      <c r="P47" s="273">
        <f t="shared" si="4"/>
        <v>627.73722539555843</v>
      </c>
      <c r="Q47" s="273">
        <f t="shared" si="5"/>
        <v>0</v>
      </c>
      <c r="R47" s="273">
        <f t="shared" si="6"/>
        <v>0</v>
      </c>
      <c r="S47" s="273">
        <f t="shared" si="7"/>
        <v>0</v>
      </c>
    </row>
    <row r="48" spans="1:19">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c r="L48" s="161" t="s">
        <v>222</v>
      </c>
      <c r="M48" s="273">
        <f t="shared" si="1"/>
        <v>0</v>
      </c>
      <c r="N48" s="273">
        <f t="shared" si="2"/>
        <v>0</v>
      </c>
      <c r="O48" s="273">
        <f t="shared" si="3"/>
        <v>0</v>
      </c>
      <c r="P48" s="273">
        <f t="shared" si="4"/>
        <v>893.6076390441275</v>
      </c>
      <c r="Q48" s="273">
        <f t="shared" si="5"/>
        <v>0</v>
      </c>
      <c r="R48" s="273">
        <f t="shared" si="6"/>
        <v>0</v>
      </c>
      <c r="S48" s="273">
        <f t="shared" si="7"/>
        <v>0</v>
      </c>
    </row>
    <row r="49" spans="1:19">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c r="L49" s="161" t="s">
        <v>224</v>
      </c>
      <c r="M49" s="273">
        <f t="shared" si="1"/>
        <v>0</v>
      </c>
      <c r="N49" s="273">
        <f t="shared" si="2"/>
        <v>0</v>
      </c>
      <c r="O49" s="273">
        <f t="shared" si="3"/>
        <v>0</v>
      </c>
      <c r="P49" s="273">
        <f t="shared" si="4"/>
        <v>242.72802745887097</v>
      </c>
      <c r="Q49" s="273">
        <f t="shared" si="5"/>
        <v>0</v>
      </c>
      <c r="R49" s="273">
        <f t="shared" si="6"/>
        <v>0</v>
      </c>
      <c r="S49" s="273">
        <f t="shared" si="7"/>
        <v>0</v>
      </c>
    </row>
    <row r="50" spans="1:19">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c r="L50" s="161" t="s">
        <v>226</v>
      </c>
      <c r="M50" s="273">
        <f t="shared" si="1"/>
        <v>0</v>
      </c>
      <c r="N50" s="273">
        <f t="shared" si="2"/>
        <v>0</v>
      </c>
      <c r="O50" s="273">
        <f t="shared" si="3"/>
        <v>0</v>
      </c>
      <c r="P50" s="273">
        <f t="shared" si="4"/>
        <v>297.9582221923618</v>
      </c>
      <c r="Q50" s="273">
        <f t="shared" si="5"/>
        <v>0</v>
      </c>
      <c r="R50" s="273">
        <f t="shared" si="6"/>
        <v>0</v>
      </c>
      <c r="S50" s="273">
        <f t="shared" si="7"/>
        <v>0</v>
      </c>
    </row>
    <row r="51" spans="1:19">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c r="L51" s="161" t="s">
        <v>228</v>
      </c>
      <c r="M51" s="273">
        <f t="shared" si="1"/>
        <v>0</v>
      </c>
      <c r="N51" s="273">
        <f t="shared" si="2"/>
        <v>0</v>
      </c>
      <c r="O51" s="273">
        <f t="shared" si="3"/>
        <v>0</v>
      </c>
      <c r="P51" s="273">
        <f t="shared" si="4"/>
        <v>943.40827394080452</v>
      </c>
      <c r="Q51" s="273">
        <f t="shared" si="5"/>
        <v>0</v>
      </c>
      <c r="R51" s="273">
        <f t="shared" si="6"/>
        <v>0</v>
      </c>
      <c r="S51" s="273">
        <f t="shared" si="7"/>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heetViews>
  <sheetFormatPr defaultRowHeight="15"/>
  <cols>
    <col min="1" max="1" width="16.85546875" customWidth="1"/>
    <col min="2" max="8" width="9.140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264" t="str">
        <f>"AVL="&amp;AVL!B6</f>
        <v>AVL=33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G5" sqref="G5"/>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12</v>
      </c>
      <c r="C2">
        <f>ROUND(INDEX('SSYVbT-freight-LDV'!$B$2:$H$51,MATCH(About!$B$2,'SSYVbT-freight-LDV'!$A$2:$A$51,0),MATCH(C$1,'SSYVbT-freight-LDV'!$B$1:$H$1,0)),0)</f>
        <v>117</v>
      </c>
      <c r="D2">
        <f>ROUND(INDEX('SSYVbT-freight-LDV'!$B$2:$H$51,MATCH(About!$B$2,'SSYVbT-freight-LDV'!$A$2:$A$51,0),MATCH(D$1,'SSYVbT-freight-LDV'!$B$1:$H$1,0)),0)</f>
        <v>95429</v>
      </c>
      <c r="E2">
        <f>ROUND(INDEX('SSYVbT-freight-LDV'!$B$2:$H$51,MATCH(About!$B$2,'SSYVbT-freight-LDV'!$A$2:$A$51,0),MATCH(E$1,'SSYVbT-freight-LDV'!$B$1:$H$1,0)),0)</f>
        <v>77890</v>
      </c>
      <c r="F2">
        <f>ROUND(INDEX('SSYVbT-freight-LDV'!$B$2:$H$51,MATCH(About!$B$2,'SSYVbT-freight-LDV'!$A$2:$A$51,0),MATCH(F$1,'SSYVbT-freight-LDV'!$B$1:$H$1,0)),0)</f>
        <v>22</v>
      </c>
      <c r="G2">
        <f>ROUND(INDEX('SSYVbT-freight-LDV'!$B$2:$H$51,MATCH(About!$B$2,'SSYVbT-freight-LDV'!$A$2:$A$51,0),MATCH(G$1,'SSYVbT-freight-LDV'!$B$1:$H$1,0)),0)</f>
        <v>42</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342</v>
      </c>
      <c r="D3">
        <f>ROUND(INDEX('SSYVbT-freight-HDV'!$B$2:$H$51,MATCH(About!$B$2,'SSYVbT-freight-HDV'!$A$2:$A$51,0),MATCH(D$1,'SSYVbT-freight-HDV'!$B$1:$H$1,0)),0)</f>
        <v>367</v>
      </c>
      <c r="E3">
        <f>ROUND(INDEX('SSYVbT-freight-HDV'!$B$2:$H$51,MATCH(About!$B$2,'SSYVbT-freight-HDV'!$A$2:$A$51,0),MATCH(E$1,'SSYVbT-freight-HDV'!$B$1:$H$1,0)),0)</f>
        <v>37931</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ROUND(INDEX('SSYVbT-freight-aircraft'!$M$2:$S$51,MATCH(About!$B$2,'SSYVbT-freight-aircraft'!$A$2:$A$51,0),MATCH(B$1,'SSYVbT-freight-aircraft'!$M$1:$S$1,0)),0)</f>
        <v>0</v>
      </c>
      <c r="C4">
        <f>ROUND(INDEX('SSYVbT-freight-aircraft'!$M$2:$S$51,MATCH(About!$B$2,'SSYVbT-freight-aircraft'!$A$2:$A$51,0),MATCH(C$1,'SSYVbT-freight-aircraft'!$M$1:$S$1,0)),0)</f>
        <v>0</v>
      </c>
      <c r="D4">
        <f>ROUND(INDEX('SSYVbT-freight-aircraft'!$M$2:$S$51,MATCH(About!$B$2,'SSYVbT-freight-aircraft'!$A$2:$A$51,0),MATCH(D$1,'SSYVbT-freight-aircraft'!$M$1:$S$1,0)),0)</f>
        <v>0</v>
      </c>
      <c r="E4">
        <f>ROUND(INDEX('SSYVbT-freight-aircraft'!$M$2:$S$51,MATCH(About!$B$2,'SSYVbT-freight-aircraft'!$A$2:$A$51,0),MATCH(E$1,'SSYVbT-freight-aircraft'!$M$1:$S$1,0)),0)</f>
        <v>24</v>
      </c>
      <c r="F4">
        <f>ROUND(INDEX('SSYVbT-freight-aircraft'!$M$2:$S$51,MATCH(About!$B$2,'SSYVbT-freight-aircraft'!$A$2:$A$51,0),MATCH(F$1,'SSYVbT-freight-aircraft'!$M$1:$S$1,0)),0)</f>
        <v>0</v>
      </c>
      <c r="G4">
        <f>ROUND(INDEX('SSYVbT-freight-aircraft'!$M$2:$S$51,MATCH(About!$B$2,'SSYVbT-freight-aircraft'!$A$2:$A$51,0),MATCH(G$1,'SSYVbT-freight-aircraft'!$M$1:$S$1,0)),0)</f>
        <v>0</v>
      </c>
      <c r="H4">
        <f>ROUND(INDEX('SSYVbT-freight-aircraft'!$M$2:$S$51,MATCH(About!$B$2,'SSYVbT-freight-aircraft'!$A$2:$A$51,0),MATCH(H$1,'SSYVbT-freight-aircraft'!$M$1:$S$1,0)),0)</f>
        <v>0</v>
      </c>
    </row>
    <row r="5" spans="1:8">
      <c r="A5" t="s">
        <v>7</v>
      </c>
      <c r="B5">
        <f>ROUND(INDEX('SSYVbT-freight-rail'!$M$2:$S$51,MATCH(About!$B$2,'SSYVbT-freight-rail'!$A$2:$A$51,0),MATCH(B$1,'SSYVbT-freight-rail'!$M$1:$S$1,0)),0)</f>
        <v>0</v>
      </c>
      <c r="C5">
        <f>ROUND(INDEX('SSYVbT-freight-rail'!$M$2:$S$51,MATCH(About!$B$2,'SSYVbT-freight-rail'!$A$2:$A$51,0),MATCH(C$1,'SSYVbT-freight-rail'!$M$1:$S$1,0)),0)</f>
        <v>0</v>
      </c>
      <c r="D5">
        <f>ROUND(INDEX('SSYVbT-freight-rail'!$M$2:$S$51,MATCH(About!$B$2,'SSYVbT-freight-rail'!$A$2:$A$51,0),MATCH(D$1,'SSYVbT-freight-rail'!$M$1:$S$1,0)),0)</f>
        <v>0</v>
      </c>
      <c r="E5">
        <f>ROUND(INDEX('SSYVbT-freight-rail'!$M$2:$S$51,MATCH(About!$B$2,'SSYVbT-freight-rail'!$A$2:$A$51,0),MATCH(E$1,'SSYVbT-freight-rail'!$M$1:$S$1,0)),0)</f>
        <v>265</v>
      </c>
      <c r="F5">
        <f>ROUND(INDEX('SSYVbT-freight-rail'!$M$2:$S$51,MATCH(About!$B$2,'SSYVbT-freight-rail'!$A$2:$A$51,0),MATCH(F$1,'SSYVbT-freight-rail'!$M$1:$S$1,0)),0)</f>
        <v>0</v>
      </c>
      <c r="G5">
        <f>ROUND(INDEX('SSYVbT-freight-rail'!$M$2:$S$51,MATCH(About!$B$2,'SSYVbT-freight-rail'!$A$2:$A$51,0),MATCH(G$1,'SSYVbT-freight-rail'!$M$1:$S$1,0)),0)</f>
        <v>0</v>
      </c>
      <c r="H5">
        <f>ROUND(INDEX('SSYVbT-freight-rail'!$M$2:$S$51,MATCH(About!$B$2,'SSYVbT-freight-rail'!$A$2:$A$51,0),MATCH(H$1,'SSYVbT-freight-rail'!$M$1:$S$1,0)),0)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tabSelected="1" workbookViewId="0">
      <selection activeCell="D12" sqref="D12"/>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5224</v>
      </c>
      <c r="C2">
        <f>ROUND(INDEX('SSYVbT-passenger-LDV'!$B$2:$H$51,MATCH(About!$B$2,'SSYVbT-passenger-LDV'!$A$2:$A$51,0),MATCH(C$1,'SSYVbT-passenger-LDV'!$B$1:$H$1,0)),0)</f>
        <v>582</v>
      </c>
      <c r="D2">
        <f>ROUND(INDEX('SSYVbT-passenger-LDV'!$B$2:$H$51,MATCH(About!$B$2,'SSYVbT-passenger-LDV'!$A$2:$A$51,0),MATCH(D$1,'SSYVbT-passenger-LDV'!$B$1:$H$1,0)),0)</f>
        <v>1513642</v>
      </c>
      <c r="E2">
        <f>ROUND(INDEX('SSYVbT-passenger-LDV'!$B$2:$H$51,MATCH(About!$B$2,'SSYVbT-passenger-LDV'!$A$2:$A$51,0),MATCH(E$1,'SSYVbT-passenger-LDV'!$B$1:$H$1,0)),0)</f>
        <v>6447</v>
      </c>
      <c r="F2">
        <f>ROUND(INDEX('SSYVbT-passenger-LDV'!$B$2:$H$51,MATCH(About!$B$2,'SSYVbT-passenger-LDV'!$A$2:$A$51,0),MATCH(F$1,'SSYVbT-passenger-LDV'!$B$1:$H$1,0)),0)</f>
        <v>3620</v>
      </c>
      <c r="G2">
        <f>ROUND(INDEX('SSYVbT-passenger-LDV'!$B$2:$H$51,MATCH(About!$B$2,'SSYVbT-passenger-LDV'!$A$2:$A$51,0),MATCH(G$1,'SSYVbT-passenger-LDV'!$B$1:$H$1,0)),0)</f>
        <v>487</v>
      </c>
      <c r="H2">
        <f>ROUND(INDEX('SSYVbT-passenger-LDV'!$B$2:$H$51,MATCH(About!$B$2,'SSYVbT-passenger-LDV'!$A$2:$A$51,0),MATCH(H$1,'SSYVbT-passenger-LDV'!$B$1:$H$1,0)),0)</f>
        <v>45</v>
      </c>
    </row>
    <row r="3" spans="1:8">
      <c r="A3" t="s">
        <v>5</v>
      </c>
      <c r="B3">
        <f>ROUND(INDEX('SSYVbT-passenger-HDV'!$B$2:$H$51,MATCH(About!$B$2,'SSYVbT-passenger-HDV'!$A$2:$A$51,0),MATCH(B$1,'SSYVbT-passenger-HDV'!$B$1:$H$1,0)),0)</f>
        <v>5</v>
      </c>
      <c r="C3">
        <f>ROUND(INDEX('SSYVbT-passenger-HDV'!$B$2:$H$51,MATCH(About!$B$2,'SSYVbT-passenger-HDV'!$A$2:$A$51,0),MATCH(C$1,'SSYVbT-passenger-HDV'!$B$1:$H$1,0)),0)</f>
        <v>2441</v>
      </c>
      <c r="D3">
        <f>ROUND(INDEX('SSYVbT-passenger-HDV'!$B$2:$H$51,MATCH(About!$B$2,'SSYVbT-passenger-HDV'!$A$2:$A$51,0),MATCH(D$1,'SSYVbT-passenger-HDV'!$B$1:$H$1,0)),0)</f>
        <v>1718</v>
      </c>
      <c r="E3">
        <f>ROUND(INDEX('SSYVbT-passenger-HDV'!$B$2:$H$51,MATCH(About!$B$2,'SSYVbT-passenger-HDV'!$A$2:$A$51,0),MATCH(E$1,'SSYVbT-passenger-HDV'!$B$1:$H$1,0)),0)</f>
        <v>13006</v>
      </c>
      <c r="F3">
        <f>ROUND(INDEX('SSYVbT-passenger-HDV'!$B$2:$H$51,MATCH(About!$B$2,'SSYVbT-passenger-HDV'!$A$2:$A$51,0),MATCH(F$1,'SSYVbT-passenger-HDV'!$B$1:$H$1,0)),0)</f>
        <v>0</v>
      </c>
      <c r="G3">
        <f>ROUND(INDEX('SSYVbT-passenger-HDV'!$B$2:$H$51,MATCH(About!$B$2,'SSYVbT-passenger-HDV'!$A$2:$A$51,0),MATCH(G$1,'SSYVbT-passenger-HDV'!$B$1:$H$1,0)),0)</f>
        <v>124</v>
      </c>
      <c r="H3">
        <f>ROUND(INDEX('SSYVbT-passenger-HDV'!$B$2:$H$51,MATCH(About!$B$2,'SSYVbT-passenger-HDV'!$A$2:$A$51,0),MATCH(H$1,'SSYVbT-passenger-HDV'!$B$1:$H$1,0)),0)</f>
        <v>1</v>
      </c>
    </row>
    <row r="4" spans="1:8">
      <c r="A4" t="s">
        <v>6</v>
      </c>
      <c r="B4">
        <f>ROUND(INDEX('SSYVbT-passenger-aircraft'!$M$2:$S$51,MATCH(About!$B$2,'SSYVbT-passenger-aircraft'!$A$2:$A$51,0),MATCH(B$1,'SSYVbT-passenger-aircraft'!$M$1:$S$1,0)),0)</f>
        <v>0</v>
      </c>
      <c r="C4">
        <f>ROUND(INDEX('SSYVbT-passenger-aircraft'!$M$2:$S$51,MATCH(About!$B$2,'SSYVbT-passenger-aircraft'!$A$2:$A$51,0),MATCH(C$1,'SSYVbT-passenger-aircraft'!$M$1:$S$1,0)),0)</f>
        <v>0</v>
      </c>
      <c r="D4">
        <f>ROUND(INDEX('SSYVbT-passenger-aircraft'!$M$2:$S$51,MATCH(About!$B$2,'SSYVbT-passenger-aircraft'!$A$2:$A$51,0),MATCH(D$1,'SSYVbT-passenger-aircraft'!$M$1:$S$1,0)),0)</f>
        <v>0</v>
      </c>
      <c r="E4">
        <f>ROUND(INDEX('SSYVbT-passenger-aircraft'!$M$2:$S$51,MATCH(About!$B$2,'SSYVbT-passenger-aircraft'!$A$2:$A$51,0),MATCH(E$1,'SSYVbT-passenger-aircraft'!$M$1:$S$1,0)),0)</f>
        <v>24</v>
      </c>
      <c r="F4">
        <f>ROUND(INDEX('SSYVbT-passenger-aircraft'!$M$2:$S$51,MATCH(About!$B$2,'SSYVbT-passenger-aircraft'!$A$2:$A$51,0),MATCH(F$1,'SSYVbT-passenger-aircraft'!$M$1:$S$1,0)),0)</f>
        <v>0</v>
      </c>
      <c r="G4">
        <f>ROUND(INDEX('SSYVbT-passenger-aircraft'!$M$2:$S$51,MATCH(About!$B$2,'SSYVbT-passenger-aircraft'!$A$2:$A$51,0),MATCH(G$1,'SSYVbT-passenger-aircraft'!$M$1:$S$1,0)),0)</f>
        <v>0</v>
      </c>
      <c r="H4">
        <f>ROUND(INDEX('SSYVbT-passenger-aircraft'!$M$2:$S$51,MATCH(About!$B$2,'SSYVbT-passenger-aircraft'!$A$2:$A$51,0),MATCH(H$1,'SSYVbT-passenger-aircraft'!$M$1:$S$1,0)),0)</f>
        <v>0</v>
      </c>
    </row>
    <row r="5" spans="1:8">
      <c r="A5" t="s">
        <v>7</v>
      </c>
      <c r="B5">
        <f>ROUND(INDEX('SSYVbT-passenger-rail'!$M$2:$S$51,MATCH(About!$B$2,'SSYVbT-passenger-rail'!$A$2:$A$51,0),MATCH(B$1,'SSYVbT-passenger-rail'!$M$1:$S$1,0)),0)</f>
        <v>0</v>
      </c>
      <c r="C5">
        <f>ROUND(INDEX('SSYVbT-passenger-rail'!$M$2:$S$51,MATCH(About!$B$2,'SSYVbT-passenger-rail'!$A$2:$A$51,0),MATCH(C$1,'SSYVbT-passenger-rail'!$M$1:$S$1,0)),0)</f>
        <v>0</v>
      </c>
      <c r="D5">
        <f>ROUND(INDEX('SSYVbT-passenger-rail'!$M$2:$S$51,MATCH(About!$B$2,'SSYVbT-passenger-rail'!$A$2:$A$51,0),MATCH(D$1,'SSYVbT-passenger-rail'!$M$1:$S$1,0)),0)</f>
        <v>0</v>
      </c>
      <c r="E5">
        <f>ROUND(INDEX('SSYVbT-passenger-rail'!$M$2:$S$51,MATCH(About!$B$2,'SSYVbT-passenger-rail'!$A$2:$A$51,0),MATCH(E$1,'SSYVbT-passenger-rail'!$M$1:$S$1,0)),0)</f>
        <v>0</v>
      </c>
      <c r="F5">
        <f>ROUND(INDEX('SSYVbT-passenger-rail'!$M$2:$S$51,MATCH(About!$B$2,'SSYVbT-passenger-rail'!$A$2:$A$51,0),MATCH(F$1,'SSYVbT-passenger-rail'!$M$1:$S$1,0)),0)</f>
        <v>0</v>
      </c>
      <c r="G5">
        <f>ROUND(INDEX('SSYVbT-passenger-rail'!$M$2:$S$51,MATCH(About!$B$2,'SSYVbT-passenger-rail'!$A$2:$A$51,0),MATCH(G$1,'SSYVbT-passenger-rail'!$M$1:$S$1,0)),0)</f>
        <v>0</v>
      </c>
      <c r="H5">
        <f>ROUND(INDEX('SSYVbT-passenger-rail'!$M$2:$S$51,MATCH(About!$B$2,'SSYVbT-passenger-rail'!$A$2:$A$51,0),MATCH(H$1,'SSYVbT-passenger-rail'!$M$1:$S$1,0)),0)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77141</v>
      </c>
      <c r="E6">
        <f>ROUND(INDEX('SSYVbT-passenger-ships'!$B$2:$H$51,MATCH(About!$B$2,'SSYVbT-passenger-ships'!$A$2:$A$51,0),MATCH(E$1,'SSYVbT-passenger-ships'!$B$1:$H$1,0)),0)</f>
        <v>18191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60293</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AVL</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2024-03-04T18:38:15Z</dcterms:modified>
</cp:coreProperties>
</file>