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AVL\"/>
    </mc:Choice>
  </mc:AlternateContent>
  <xr:revisionPtr revIDLastSave="0" documentId="8_{6F4E5C9A-4CDA-44ED-A757-DE3972F4E799}" xr6:coauthVersionLast="47" xr6:coauthVersionMax="47" xr10:uidLastSave="{00000000-0000-0000-0000-000000000000}"/>
  <bookViews>
    <workbookView xWindow="335" yWindow="335" windowWidth="12185" windowHeight="7455" firstSheet="7" activeTab="9" xr2:uid="{00000000-000D-0000-FFFF-FFFF00000000}"/>
  </bookViews>
  <sheets>
    <sheet name="About" sheetId="9" r:id="rId1"/>
    <sheet name="Table_38._Light-Duty_Vehicle_Sa" sheetId="13" r:id="rId2"/>
    <sheet name="Table 44" sheetId="18" r:id="rId3"/>
    <sheet name="Table 45" sheetId="19" r:id="rId4"/>
    <sheet name="Table 49" sheetId="17" r:id="rId5"/>
    <sheet name="Sheet1" sheetId="12" r:id="rId6"/>
    <sheet name="NTS 1-20" sheetId="11" r:id="rId7"/>
    <sheet name="Calculations" sheetId="2" r:id="rId8"/>
    <sheet name="Freight and Buses" sheetId="16" r:id="rId9"/>
    <sheet name="AVL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6" l="1"/>
  <c r="B3" i="10"/>
  <c r="B17" i="16"/>
  <c r="C2" i="10"/>
  <c r="B12" i="16"/>
  <c r="B11" i="16"/>
  <c r="B7" i="16"/>
  <c r="B9" i="16" s="1"/>
  <c r="B8" i="16"/>
  <c r="B3" i="16"/>
  <c r="B2" i="16"/>
  <c r="B4" i="16" s="1"/>
  <c r="B13" i="16" l="1"/>
  <c r="C3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<sst xmlns="http://schemas.openxmlformats.org/spreadsheetml/2006/main" count="1129" uniqueCount="617">
  <si>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</si>
  <si>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</si>
  <si>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</si>
  <si>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</si>
  <si>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</si>
  <si>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</si>
  <si>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</si>
  <si>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</si>
  <si>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</si>
  <si>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</si>
  <si>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</si>
  <si>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</si>
  <si>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</si>
  <si>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</si>
  <si>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</si>
  <si>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</si>
  <si>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</si>
  <si>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</si>
  <si>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</si>
  <si>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</si>
  <si>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</si>
  <si>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</si>
  <si>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</si>
  <si>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</si>
  <si>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</si>
  <si>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</si>
  <si>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</si>
  <si>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</si>
  <si>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</si>
  <si>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</si>
  <si>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</si>
  <si>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</si>
  <si>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</si>
  <si>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</si>
  <si>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</si>
  <si>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</si>
  <si>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</si>
  <si>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</si>
  <si>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</si>
  <si>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</si>
  <si>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</si>
  <si>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</si>
  <si>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</si>
  <si>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</si>
  <si>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</si>
  <si>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</si>
  <si>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</si>
  <si>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</si>
  <si>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</si>
  <si>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</si>
  <si>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</si>
  <si>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</si>
  <si>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</si>
  <si>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</si>
  <si>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</si>
  <si>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</si>
  <si>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</si>
  <si>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</si>
  <si>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</si>
  <si>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</si>
  <si>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</si>
  <si>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</si>
  <si>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</si>
  <si>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</si>
  <si>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</si>
  <si>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</si>
  <si>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</si>
  <si>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</si>
  <si>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</si>
  <si>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</si>
  <si>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</si>
  <si>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</si>
  <si>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</si>
  <si>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</si>
  <si>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</si>
  <si>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</si>
  <si>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</si>
  <si>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</si>
  <si>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</si>
  <si>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</si>
  <si>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</si>
  <si>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</si>
  <si>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</si>
  <si>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</si>
  <si>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</si>
  <si>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</si>
  <si>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</si>
  <si>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</si>
  <si>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</si>
  <si>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</si>
  <si>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</si>
  <si>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</si>
  <si>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</si>
  <si>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</si>
  <si>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</si>
  <si>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Table 38.  Light-Duty Vehicle Sales by Technology Type</t>
  </si>
  <si>
    <t>https://www.eia.gov/outlooks/aeo/data/browser/#/?id=48-AEO2022&amp;cases=lowmacro&amp;sourcekey=0</t>
  </si>
  <si>
    <t>Fri Dec 09 2022 10:03:54 GMT-0500 (Eastern Standard Time)</t>
  </si>
  <si>
    <t>Source: U.S. Energy Information Administration</t>
  </si>
  <si>
    <t>full name</t>
  </si>
  <si>
    <t>api key</t>
  </si>
  <si>
    <t>units</t>
  </si>
  <si>
    <t>Growth (2021-2050)</t>
  </si>
  <si>
    <t>New Car Sales</t>
  </si>
  <si>
    <t>Conventional Cars</t>
  </si>
  <si>
    <t>Gasoline ICE Vehicles</t>
  </si>
  <si>
    <t>Light-Duty Vehicle Sales: Conventional Cars: Gasoline: Low economic growth</t>
  </si>
  <si>
    <t>AEO.2022.LOWMACRO.ECI_SAL_TRN_CAR_GSL_NA_NA_TH.A</t>
  </si>
  <si>
    <t>thousands</t>
  </si>
  <si>
    <t>TDI Diesel ICE</t>
  </si>
  <si>
    <t>Light-Duty Vehicle Sales: Conventional Cars: TDI Diesel: Low economic growth</t>
  </si>
  <si>
    <t>AEO.2022.LOWMACRO.ECI_SAL_TRN_CAR_TDS_NA_NA_TH.A</t>
  </si>
  <si>
    <t>Total Conventional Cars</t>
  </si>
  <si>
    <t>Light-Duty Vehicle Sales: Conventional Cars: Total: Low economic growth</t>
  </si>
  <si>
    <t>AEO.2022.LOWMACRO.ECI_SAL_TRN_CAR_CNV_NA_NA_TH.A</t>
  </si>
  <si>
    <t>Alternative-Fuel Cars</t>
  </si>
  <si>
    <t>Ethanol-Flex Fuel ICE</t>
  </si>
  <si>
    <t>Light-Duty Vehicle Sales: Alternative-Fuel Cars: Ethanol-Flex Fuel ICE: Low economic growth</t>
  </si>
  <si>
    <t>AEO.2022.LOWMACRO.ECI_SAL_TRN_CAR_EFFI_NA_NA_TH.A</t>
  </si>
  <si>
    <t>100 Mile Electric Vehicle</t>
  </si>
  <si>
    <t>Light-Duty Vehicle Sales: Alternative-Fuel Cars: 100 Mile Electric Vehicle: Low economic growth</t>
  </si>
  <si>
    <t>AEO.2022.LOWMACRO.ECI_SAL_TRN_CAR_100EV_NA_NA_TH.A</t>
  </si>
  <si>
    <t>200 Mile Electric Vehicle</t>
  </si>
  <si>
    <t>Light-Duty Vehicle Sales: Alternative-Fuel Cars: 200 Mile Electric Vehicle: Low economic growth</t>
  </si>
  <si>
    <t>AEO.2022.LOWMACRO.ECI_SAL_TRN_CAR_200EV_NA_NA_TH.A</t>
  </si>
  <si>
    <t>300 Mile Electric Vehicle</t>
  </si>
  <si>
    <t>Light-Duty Vehicle Sales: Alternative-Fuel Cars: 300 Mile Electric Vehicle: Low economic growth</t>
  </si>
  <si>
    <t>AEO.2022.LOWMACRO.ECI_SAL_TRN_CAR_300EV_NA_NA_TH.A</t>
  </si>
  <si>
    <t>Plug-in 20 Gasoline Hybrid</t>
  </si>
  <si>
    <t>Light-Duty Vehicle Sales: Alternative-Fuel Cars: Plug-in 20 Gasoline Hybrid: Low economic growth</t>
  </si>
  <si>
    <t>AEO.2022.LOWMACRO.#N/A.A</t>
  </si>
  <si>
    <t>Plug-in 50 Gasoline Hybrid</t>
  </si>
  <si>
    <t>Light-Duty Vehicle Sales: Alternative-Fuel Cars: Plug-in 50 Gasoline Hybrid: Low economic growth</t>
  </si>
  <si>
    <t>Electric-Diesel Hybrid</t>
  </si>
  <si>
    <t>Light-Duty Vehicle Sales: Alternative-Fuel Cars: Electric-Diesel Hybrid: Low economic growth</t>
  </si>
  <si>
    <t>AEO.2022.LOWMACRO.ECI_SAL_TRN_CAR_EDH_NA_NA_TH.A</t>
  </si>
  <si>
    <t>- -</t>
  </si>
  <si>
    <t>Electric-Gasoline Hybrid</t>
  </si>
  <si>
    <t>Light-Duty Vehicle Sales: Alternative-Fuel Cars: Electric-Gasoline Hybrid: Low economic growth</t>
  </si>
  <si>
    <t>AEO.2022.LOWMACRO.ECI_SAL_TRN_CAR_EGH_NA_NA_TH.A</t>
  </si>
  <si>
    <t>Natural Gas ICE</t>
  </si>
  <si>
    <t>Light-Duty Vehicle Sales: Alternative-Fuel Cars: Natural Gas ICE: Low economic growth</t>
  </si>
  <si>
    <t>AEO.2022.LOWMACRO.ECI_SAL_TRN_CAR_NGI_NA_NA_TH.A</t>
  </si>
  <si>
    <t>Natural Gas Bi-fuel</t>
  </si>
  <si>
    <t>Light-Duty Vehicle Sales: Alternative-Fuel Cars: Natural Gas Bi-fuel: Low economic growth</t>
  </si>
  <si>
    <t>AEO.2022.LOWMACRO.ECI_SAL_TRN_CAR_NBF_NA_NA_TH.A</t>
  </si>
  <si>
    <t>Propane ICE</t>
  </si>
  <si>
    <t>Light-Duty Vehicle Sales: Alternative-Fuel Cars: Propane: Low economic growth</t>
  </si>
  <si>
    <t>AEO.2022.LOWMACRO.ECI_SAL_TRN_CAR_PROP_NA_NA_TH.A</t>
  </si>
  <si>
    <t>Propane Bi-fuel</t>
  </si>
  <si>
    <t>AEO.2022.LOWMACRO.ECI_SAL_TRN_CAR_PBF_NA_NA_TH.A</t>
  </si>
  <si>
    <t>Fuel Cell Methanol</t>
  </si>
  <si>
    <t>Light-Duty Vehicle Sales: Alternative-Fuel Cars: Fuel Cell Methanol: Low economic growth</t>
  </si>
  <si>
    <t>AEO.2022.LOWMACRO.ECI_SAL_TRN_CAR_FCLMTH_NA_NA_TH.A</t>
  </si>
  <si>
    <t>Fuel Cell Hydrogen</t>
  </si>
  <si>
    <t>Light-Duty Vehicle Sales: Alternative-Fuel cars: Fuel Cell Hydrogen: Low economic growth</t>
  </si>
  <si>
    <t>AEO.2022.LOWMACRO.ECI_SAL_TRN_CAR_FCH_NA_NA_TH.A</t>
  </si>
  <si>
    <t>Total Alternative Cars</t>
  </si>
  <si>
    <t>Light-Duty Vehicle Sales: Alternative-Fuel Cars: Total: Low economic growth</t>
  </si>
  <si>
    <t>AEO.2022.LOWMACRO.ECI_SAL_TRN_CAR_ALT_NA_NA_TH.A</t>
  </si>
  <si>
    <t>Percent Alternative Car Sales</t>
  </si>
  <si>
    <t>Light-Duty Vehicle Sales: Percent Alternative Car: Low economic growth</t>
  </si>
  <si>
    <t>AEO.2022.LOWMACRO.ECI_SAL_TRN_CAR_ALT_NA_NA_PCT.A</t>
  </si>
  <si>
    <t>percent</t>
  </si>
  <si>
    <t>Total New Car Sales</t>
  </si>
  <si>
    <t>Light-Duty Vehicle Sales: Total New Car: Low economic growth</t>
  </si>
  <si>
    <t>AEO.2022.LOWMACRO.ECI_SAL_TRN_CAR_TOT_NA_NA_TH.A</t>
  </si>
  <si>
    <t>New Light Truck Sales</t>
  </si>
  <si>
    <t>Conventional Light Trucks</t>
  </si>
  <si>
    <t>Light-Duty Vehicle Sales: Conventional Light Trucks: Gasoline: Low economic growth</t>
  </si>
  <si>
    <t>AEO.2022.LOWMACRO.ECI_SAL_TRN_LTK_GSL_NA_NA_TH.A</t>
  </si>
  <si>
    <t>Light-Duty Vehicle Sales: Conventional Light Trucks: TDI Diesel: Low economic growth</t>
  </si>
  <si>
    <t>AEO.2022.LOWMACRO.ECI_SAL_TRN_LTK_DSL_NA_NA_TH.A</t>
  </si>
  <si>
    <t>Total Conventional Light Trucks</t>
  </si>
  <si>
    <t>Light-Duty Vehicle Sales: Conventional Light Trucks: Total: Low economic growth</t>
  </si>
  <si>
    <t>AEO.2022.LOWMACRO.ECI_SAL_TRN_LTK_CNV_NA_NA_TH.A</t>
  </si>
  <si>
    <t>Alternative-Fuel Light Trucks</t>
  </si>
  <si>
    <t>Light-Duty Vehicle Sales: Alternative-Fuel Light Trucks: Ethanol-Flex Fuel ICE: Low economic growth</t>
  </si>
  <si>
    <t>AEO.2022.LOWMACRO.ECI_SAL_TRN_LTK_EFFI_NA_NA_TH.A</t>
  </si>
  <si>
    <t>Light-Duty Vehicle Sales: Alternative-Fuel Light Trucks: 100 Mile Electric Vehicle: Low economic growth</t>
  </si>
  <si>
    <t>AEO.2022.LOWMACRO.ECI_SAL_TRN_LTK_100EV_NA_NA_TH.A</t>
  </si>
  <si>
    <t>Light-Duty Vehicle Sales: Alternative-Fuel Light Trucks: 200 Mile Electric Vehicle: Low economic growth</t>
  </si>
  <si>
    <t>AEO.2022.LOWMACRO.ECI_SAL_TRN_LTK_200EV_NA_NA_TH.A</t>
  </si>
  <si>
    <t>Light-Duty Vehicle Sales: Alternative-Fuel Light Trucks: 300 Mile Electric Vehicle: Low economic growth</t>
  </si>
  <si>
    <t>AEO.2022.LOWMACRO.ECI_SAL_TRN_LTK_300EV_NA_NA_TH.A</t>
  </si>
  <si>
    <t>Light-Duty Vehicle Sales: Alternative-Fuel Light Trucks: Plug-in 20 Gasoline Hybrid: Low economic growth</t>
  </si>
  <si>
    <t>Light-Duty Vehicle Sales: Alternative-Fuel Light Trucks: Plug-in 50 Gasoline Hybrid: Low economic growth</t>
  </si>
  <si>
    <t>Light-Duty Vehicle Sales: Alternative-Fuel Light Trucks: Electric-Diesel Hybrid: Low economic growth</t>
  </si>
  <si>
    <t>AEO.2022.LOWMACRO.ECI_SAL_TRN_LTK_EDH_NA_NA_TH.A</t>
  </si>
  <si>
    <t>Light-Duty Vehicle Sales: Alternative-Fuel Light Trucks: Electric-Gasoline Hybrid: Low economic growth</t>
  </si>
  <si>
    <t>AEO.2022.LOWMACRO.ECI_SAL_TRN_LTK_EGH_NA_NA_TH.A</t>
  </si>
  <si>
    <t>Light-Duty Vehicle Sales: Alternative-Fuel Light Trucks: Natural Gas ICE: Low economic growth</t>
  </si>
  <si>
    <t>AEO.2022.LOWMACRO.ECI_SAL_TRN_LTK_NGI_NA_NA_TH.A</t>
  </si>
  <si>
    <t>Light-Duty Vehicle Sales: Alternative-Fuel Light Trucks: Natural Gas Bi-fuel: Low economic growth</t>
  </si>
  <si>
    <t>AEO.2022.LOWMACRO.ECI_SAL_TRN_LTK_NBF_NA_NA_TH.A</t>
  </si>
  <si>
    <t>Light-Duty Vehicle Sales: Alternative-Fuel Light Trucks: Propane ICE: Low economic growth</t>
  </si>
  <si>
    <t>AEO.2022.LOWMACRO.ECI_SAL_TRN_LTK_PROP_NA_NA_TH.A</t>
  </si>
  <si>
    <t>Light-Duty Vehicle Sales: Alternative-Fuel Light Trucks: Propane Bi-fuel: Low economic growth</t>
  </si>
  <si>
    <t>AEO.2022.LOWMACRO.ECI_SAL_TRN_LTK_PBF_NA_NA_TH.A</t>
  </si>
  <si>
    <t>Light-Duty Vehicle Sales: Alternative-Fuel Light Trucks: Fuel Cell Methanol: Low economic growth</t>
  </si>
  <si>
    <t>AEO.2022.LOWMACRO.ECI_SAL_TRN_LTK_FCLMTH_NA_NA_TH.A</t>
  </si>
  <si>
    <t>Light-Duty Vehicle Sales: Alternative-Fuel Light Trucks: Fuel Cell Hydrogen: Low economic growth</t>
  </si>
  <si>
    <t>AEO.2022.LOWMACRO.ECI_SAL_TRN_LTK_FCH_NA_NA_TH.A</t>
  </si>
  <si>
    <t>Total Alternative Light Trucks</t>
  </si>
  <si>
    <t>Light-Duty Vehicle Sales: Alternative-Fuel Light Trucks: Total: Low economic growth</t>
  </si>
  <si>
    <t>AEO.2022.LOWMACRO.ECI_SAL_TRN_LTK_ALT_NA_NA_TH.A</t>
  </si>
  <si>
    <t>Percent Alternative Light Truck Sales</t>
  </si>
  <si>
    <t>Light-Duty Vehicle Sales: Percent Alternative Light Truck Sales: Low economic growth</t>
  </si>
  <si>
    <t>AEO.2022.LOWMACRO.ECI_SAL_TRN_LTK_ALT_NA_NA_PCT.A</t>
  </si>
  <si>
    <t>Total New Light Truck Sales</t>
  </si>
  <si>
    <t>Light-Duty Vehicle Sales: Total New Truck: Low economic growth</t>
  </si>
  <si>
    <t>AEO.2022.LOWMACRO.ECI_SAL_TRN_LTK_NA_NA_NA_TH.A</t>
  </si>
  <si>
    <t>Percent Total Alternative Sales</t>
  </si>
  <si>
    <t>Light-Duty Vehicle Sales: Percent Total Alternative Sales: Low economic growth</t>
  </si>
  <si>
    <t>AEO.2022.LOWMACRO.ECI_SAL_TRN_LDTY_ALT_NA_NA_PCT.A</t>
  </si>
  <si>
    <t>EPACT Legislative  Alternative Sales</t>
  </si>
  <si>
    <t>Light-Duty Vehicle Sales: EPACT Legislative Alternative Sales: Low economic growth</t>
  </si>
  <si>
    <t>AEO.2022.LOWMACRO.ECI_SAL_TRN_LDTY_EPACLEGI_NA_NA_TH.A</t>
  </si>
  <si>
    <t>ZEVP Legislative Alternative Sales</t>
  </si>
  <si>
    <t>Light-Duty Vehicle Sales: ZEVP Legislative Alternative Sales: Low economic growth</t>
  </si>
  <si>
    <t>AEO.2022.LOWMACRO.ECI_SAL_TRN_LDTY_ZVPLG_NA_NA_TH.A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</si>
  <si>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</si>
  <si>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</si>
  <si>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</si>
  <si>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Low economic growth</t>
  </si>
  <si>
    <t>AEO.2022.LOWMACRO.ECI_SAL_TRN_LDTY_CVG_NA_NA_TH.A</t>
  </si>
  <si>
    <t>TDI Diesel</t>
  </si>
  <si>
    <t>Light-Duty Vehicle Sales: Total Sales, Cars and Light Trucks: TDI Diesel: Low economic growth</t>
  </si>
  <si>
    <t>AEO.2022.LOWMACRO.ECI_SAL_TRN_LDTY_TDS_NA_NA_TH.A</t>
  </si>
  <si>
    <t>Flex-Fuel</t>
  </si>
  <si>
    <t>Light-Duty Vehicle Sales: Total Sales, Cars and Light Trucks: Flex-Fuel: Low economic growth</t>
  </si>
  <si>
    <t>AEO.2022.LOWMACRO.ECI_SAL_TRN_LDTY_FXF_NA_NA_TH.A</t>
  </si>
  <si>
    <t>Electric</t>
  </si>
  <si>
    <t>Light-Duty Vehicle Sales: Total Sales, Cars and Light Trucks: Electric: Low economic growth</t>
  </si>
  <si>
    <t>AEO.2022.LOWMACRO.ECI_SAL_TRN_LDTY_ELE_NA_NA_TH.A</t>
  </si>
  <si>
    <t>Plug-in Electric Hybrid</t>
  </si>
  <si>
    <t>Light-Duty Vehicle Sales: Total Sales, Cars and Light Trucks: Plug-in Electric Hybrid: Low economic growth</t>
  </si>
  <si>
    <t>AEO.2022.LOWMACRO.ECI_SAL_TRN_LDTY_PIE_NA_NA_TH.A</t>
  </si>
  <si>
    <t>Electric Hybrid</t>
  </si>
  <si>
    <t>Light-Duty Vehicle Sales: Total Sales, Cars and Light Trucks: Electric Hybrid: Low economic growth</t>
  </si>
  <si>
    <t>AEO.2022.LOWMACRO.ECI_SAL_TRN_LDTY_EHY_NA_NA_TH.A</t>
  </si>
  <si>
    <t>Gaseous (Propane and Natural Gas)</t>
  </si>
  <si>
    <t>Light-Duty Vehicle Sales: Total Sales, Cars and Light Trucks: Gaseous: Low economic growth</t>
  </si>
  <si>
    <t>AEO.2022.LOWMACRO.ECI_SAL_TRN_LDTY_GSU_NA_NA_TH.A</t>
  </si>
  <si>
    <t>Fuel Cell</t>
  </si>
  <si>
    <t>Light-Duty Vehicle Sales: Total Sales, Cars and Light Trucks: Fuel Cell: Low economic growth</t>
  </si>
  <si>
    <t>AEO.2022.LOWMACRO.ECI_SAL_TRN_LDTY_FUC_NA_NA_TH.A</t>
  </si>
  <si>
    <t>Total Vehicles Sales</t>
  </si>
  <si>
    <t>Light-Duty Vehicle Sales: Total Vehicles Sales: Low economic growth</t>
  </si>
  <si>
    <t>AEO.2022.LOWMACRO.ECI_SAL_TRN_LDTY_NA_NA_NA_TH.A</t>
  </si>
  <si>
    <t>Conventional Gasoline Microhybrids</t>
  </si>
  <si>
    <t>Light-Duty Vehicle Sales: Microhybrids: Conventional Gasoline: Low economic growth</t>
  </si>
  <si>
    <t>AEO.2022.LOWMACRO.ECI_SAL_TRN_MCHY_CVG_NA_NA_TH.A</t>
  </si>
  <si>
    <t>TDI Diesel Microhybrids</t>
  </si>
  <si>
    <t>Light-Duty Vehicle Sales: Microhybrids: TDI Diesel: Low economic growth</t>
  </si>
  <si>
    <t>AEO.2022.LOWMACRO.ECI_SAL_TRN_MCHY_TDS_NA_NA_TH.A</t>
  </si>
  <si>
    <t>Total Alternative-Fueled Vehicle Sales</t>
  </si>
  <si>
    <t>Light-Duty Vehicle Sales: Alternative-Fueled Vehicles: Low economic growth</t>
  </si>
  <si>
    <t>New Trucks by Size Class</t>
  </si>
  <si>
    <t>Railroads</t>
  </si>
  <si>
    <t>Domestic Shipping</t>
  </si>
  <si>
    <t>International Shipping</t>
  </si>
  <si>
    <t>Total Fleet Vehicles</t>
  </si>
  <si>
    <t>Calibrated</t>
  </si>
  <si>
    <t>We calibrate the value for passenger LDVs to match annual passenger LDV sales in the model, which were roughly 15 million in 2021.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</si>
  <si>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</si>
  <si>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</si>
  <si>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</si>
  <si>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</si>
  <si>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</si>
  <si>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</si>
  <si>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</si>
  <si>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</si>
  <si>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</si>
  <si>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</si>
  <si>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</si>
  <si>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</si>
  <si>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</si>
  <si>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</si>
  <si>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</si>
  <si>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</si>
  <si>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</si>
  <si>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</si>
  <si>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</si>
  <si>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</si>
  <si>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</si>
  <si>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</si>
  <si>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</si>
  <si>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</si>
  <si>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</si>
  <si>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</si>
  <si>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</si>
  <si>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</si>
  <si>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</si>
  <si>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</si>
  <si>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</si>
  <si>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</si>
  <si>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</si>
  <si>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</si>
  <si>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</si>
  <si>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</si>
  <si>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</si>
  <si>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</si>
  <si>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</si>
  <si>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</si>
  <si>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</si>
  <si>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</si>
  <si>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</si>
  <si>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</si>
  <si>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</si>
  <si>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</si>
  <si>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</si>
  <si>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</si>
  <si>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</si>
  <si>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</si>
  <si>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</si>
  <si>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</si>
  <si>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</si>
  <si>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</si>
  <si>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</si>
  <si>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</si>
  <si>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</si>
  <si>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</si>
  <si>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</si>
  <si>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</si>
  <si>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</si>
  <si>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</si>
  <si>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</si>
  <si>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</si>
  <si>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</si>
  <si>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</si>
  <si>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</si>
  <si>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</si>
  <si>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</si>
  <si>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</si>
  <si>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</si>
  <si>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</si>
  <si>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</si>
  <si>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</si>
  <si>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</si>
  <si>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</si>
  <si>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</si>
  <si>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</si>
  <si>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</si>
  <si>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</si>
  <si>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</si>
  <si>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</si>
  <si>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</si>
  <si>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</si>
  <si>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</si>
  <si>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</si>
  <si>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</si>
  <si>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</si>
  <si>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</si>
  <si>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</si>
  <si>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</si>
  <si>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</si>
  <si>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</si>
  <si>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</si>
  <si>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</si>
  <si>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</si>
  <si>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</si>
  <si>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</si>
  <si>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</si>
  <si>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</si>
  <si>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</si>
  <si>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</si>
  <si>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</si>
  <si>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</si>
  <si>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</si>
  <si>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</si>
  <si>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</si>
  <si>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</si>
  <si>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</si>
  <si>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</si>
  <si>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</si>
  <si>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</si>
  <si>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</si>
  <si>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</si>
  <si>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</si>
  <si>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</si>
  <si>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</si>
  <si>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</si>
  <si>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</si>
  <si>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</si>
  <si>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</si>
  <si>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</si>
  <si>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</si>
  <si>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</si>
  <si>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</si>
  <si>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</si>
  <si>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</si>
  <si>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</si>
  <si>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</si>
  <si>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</si>
  <si>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</si>
  <si>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</si>
  <si>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</si>
  <si>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</si>
  <si>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</si>
  <si>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</si>
  <si>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</si>
  <si>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</si>
  <si>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</si>
  <si>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</si>
  <si>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</si>
  <si>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</si>
  <si>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</si>
  <si>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</si>
  <si>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</si>
  <si>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</si>
  <si>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</si>
  <si>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</si>
  <si>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</si>
  <si>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</si>
  <si>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</si>
  <si>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</si>
  <si>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</si>
  <si>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</si>
  <si>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</si>
  <si>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</si>
  <si>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</si>
  <si>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</si>
  <si>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</si>
  <si>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</si>
  <si>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</si>
  <si>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</si>
  <si>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</si>
  <si>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</si>
  <si>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</si>
  <si>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</si>
  <si>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</si>
  <si>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</si>
  <si>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</si>
  <si>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</si>
  <si>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</si>
  <si>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</si>
  <si>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</si>
  <si>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</si>
  <si>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</si>
  <si>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</si>
  <si>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</si>
  <si>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</si>
  <si>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</si>
  <si>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</si>
  <si>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</si>
  <si>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</si>
  <si>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</si>
  <si>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</si>
  <si>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</si>
  <si>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</si>
  <si>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</si>
  <si>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</si>
  <si>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</si>
  <si>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</si>
  <si>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</si>
  <si>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</si>
  <si>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</si>
  <si>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</si>
  <si>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</si>
  <si>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</si>
  <si>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</si>
  <si>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</si>
  <si>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</si>
  <si>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</si>
  <si>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</si>
  <si>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</si>
  <si>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</si>
  <si>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</si>
  <si>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</si>
  <si>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</si>
  <si>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</si>
  <si>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</si>
  <si>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</si>
  <si>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</si>
  <si>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</si>
  <si>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</si>
  <si>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</si>
  <si>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</si>
  <si>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</si>
  <si>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</si>
  <si>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</si>
  <si>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</si>
  <si>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</si>
  <si>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</si>
  <si>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</si>
  <si>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</si>
  <si>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</si>
  <si>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</si>
  <si>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</si>
  <si>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</si>
  <si>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</si>
  <si>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</si>
  <si>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</si>
  <si>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</si>
  <si>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</si>
  <si>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</si>
  <si>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</si>
  <si>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</si>
  <si>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</si>
  <si>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</si>
  <si>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</si>
  <si>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</si>
  <si>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</si>
  <si>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</si>
  <si>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</si>
  <si>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</si>
  <si>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</si>
  <si>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</si>
  <si>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</si>
  <si>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</si>
  <si>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</si>
  <si>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</si>
  <si>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</si>
  <si>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</si>
  <si>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</si>
  <si>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</si>
  <si>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</si>
  <si>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</si>
  <si>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</si>
  <si>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</si>
  <si>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</si>
  <si>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</si>
  <si>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</si>
  <si>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</si>
  <si>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</si>
  <si>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</si>
  <si>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</si>
  <si>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</si>
  <si>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</si>
  <si>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</si>
  <si>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</si>
  <si>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</si>
  <si>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</si>
  <si>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</si>
  <si>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</si>
  <si>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</si>
  <si>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</si>
  <si>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</si>
  <si>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</si>
  <si>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</si>
  <si>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</si>
  <si>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</si>
  <si>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</si>
  <si>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</si>
  <si>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</si>
  <si>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</si>
  <si>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</si>
  <si>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</si>
  <si>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</si>
  <si>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</si>
  <si>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 xml:space="preserve">   Gasoline ICE Vehicles</t>
  </si>
  <si>
    <t xml:space="preserve">   TDI Diesel ICE</t>
  </si>
  <si>
    <t xml:space="preserve">     Total Conventional Cars</t>
  </si>
  <si>
    <t xml:space="preserve"> Alternative-Fuel Cars</t>
  </si>
  <si>
    <t xml:space="preserve">   Ethanol-Flex Fuel ICE</t>
  </si>
  <si>
    <t xml:space="preserve">   100-Mile Electric Vehicle</t>
  </si>
  <si>
    <t xml:space="preserve">   200-Mile Electric Vehicle</t>
  </si>
  <si>
    <t xml:space="preserve">   300-Mile Electric Vehicle</t>
  </si>
  <si>
    <t xml:space="preserve">   Plug-in 20 Gasoline Hybrid</t>
  </si>
  <si>
    <t xml:space="preserve">   Plug-in 50 Gasoline Hybrid</t>
  </si>
  <si>
    <t xml:space="preserve">   Electric-Diesel Hybrid</t>
  </si>
  <si>
    <t xml:space="preserve">   Electric-Gasoline Hybrid</t>
  </si>
  <si>
    <t xml:space="preserve">   Natural Gas ICE</t>
  </si>
  <si>
    <t xml:space="preserve">   Natural Gas Bi-fuel</t>
  </si>
  <si>
    <t xml:space="preserve">   Propane ICE</t>
  </si>
  <si>
    <t xml:space="preserve">   Propane Bi-fuel</t>
  </si>
  <si>
    <t xml:space="preserve">   Fuel Cell Methanol</t>
  </si>
  <si>
    <t xml:space="preserve">   Fuel Cell Hydrogen</t>
  </si>
  <si>
    <t xml:space="preserve">     Total Alternative Cars</t>
  </si>
  <si>
    <t xml:space="preserve"> Percent Alternative Car Sales</t>
  </si>
  <si>
    <t xml:space="preserve"> Total New Car Sales</t>
  </si>
  <si>
    <t>New Light Truck Sales 1/</t>
  </si>
  <si>
    <t xml:space="preserve"> Conventional Light Trucks</t>
  </si>
  <si>
    <t xml:space="preserve">     Total Conventional Light Trucks</t>
  </si>
  <si>
    <t xml:space="preserve"> Alternative-Fuel Light Trucks</t>
  </si>
  <si>
    <t xml:space="preserve">     Total Alternative Light Trucks</t>
  </si>
  <si>
    <t xml:space="preserve"> Percent Alternative Light Truck Sales</t>
  </si>
  <si>
    <t xml:space="preserve"> Total New Light Truck Sales</t>
  </si>
  <si>
    <t>Commercial Light Truck Sales 2/</t>
  </si>
  <si>
    <t xml:space="preserve">   Motor Gasoline</t>
  </si>
  <si>
    <t xml:space="preserve">   Diesel</t>
  </si>
  <si>
    <t xml:space="preserve">   Propane</t>
  </si>
  <si>
    <t xml:space="preserve">   Compressed/Liquefied Natural Gas</t>
  </si>
  <si>
    <t xml:space="preserve">   Ethanol-Flex Fuel</t>
  </si>
  <si>
    <t xml:space="preserve">   Electric</t>
  </si>
  <si>
    <t xml:space="preserve">   Plug-in Gasoline Hybrid</t>
  </si>
  <si>
    <t xml:space="preserve">   Plug-in Diesel Hybrid</t>
  </si>
  <si>
    <t xml:space="preserve">   Fuel Cell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</si>
  <si>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</si>
  <si>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</si>
  <si>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</si>
  <si>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</si>
  <si>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</si>
  <si>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</si>
  <si>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Note:  Totals may not equal sum of components due to independent rounding.</t>
  </si>
  <si>
    <t>Data source: U.S. Energy Information Administration, AEO2023 National Energy Modeling System run ref2023.d020623a.</t>
  </si>
  <si>
    <t>45. Transportation Fleet Car and Truck Stock by Type and Technology</t>
  </si>
  <si>
    <t>Car Stock 1/</t>
  </si>
  <si>
    <t xml:space="preserve"> Total Car Stock</t>
  </si>
  <si>
    <t>Light Truck Stock 1/</t>
  </si>
  <si>
    <t xml:space="preserve"> Total Light Truck Stock</t>
  </si>
  <si>
    <t>Commercial Light Truck Stock 2/</t>
  </si>
  <si>
    <t xml:space="preserve">      Total Commercial Light Truck Stock</t>
  </si>
  <si>
    <t>Average replacement time</t>
  </si>
  <si>
    <t>commercial truck sales</t>
  </si>
  <si>
    <t>commercial truck stock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</si>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</sst>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  <numFmt numFmtId="170" formatCode="#,##0.0"/>
    <numFmt numFmtId="171" formatCode="0.0%"/>
  </numFmts>
  <fonts count="4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096D7"/>
      </top>
      <bottom/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</cellStyleXfs>
  <cellXfs count="1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0" fontId="4" fillId="0" borderId="0" xfId="9"/>
    <xf numFmtId="0" fontId="3" fillId="0" borderId="1" xfId="2">
      <alignment wrapText="1"/>
    </xf>
    <xf numFmtId="0" fontId="38" fillId="0" borderId="0" xfId="62" applyFont="1"/>
    <xf numFmtId="0" fontId="39" fillId="0" borderId="0" xfId="62" applyFont="1"/>
    <xf numFmtId="0" fontId="40" fillId="0" borderId="0" xfId="0" applyFont="1"/>
    <xf numFmtId="0" fontId="41" fillId="0" borderId="0" xfId="13" applyFont="1">
      <alignment horizontal="left"/>
    </xf>
    <xf numFmtId="0" fontId="42" fillId="0" borderId="0" xfId="0" applyFont="1"/>
    <xf numFmtId="0" fontId="43" fillId="0" borderId="0" xfId="0" applyFont="1" applyAlignment="1">
      <alignment horizontal="right"/>
    </xf>
    <xf numFmtId="0" fontId="42" fillId="0" borderId="0" xfId="9" applyFont="1"/>
    <xf numFmtId="0" fontId="42" fillId="0" borderId="0" xfId="0" applyFont="1" applyAlignment="1">
      <alignment horizontal="left"/>
    </xf>
    <xf numFmtId="0" fontId="43" fillId="0" borderId="1" xfId="2" applyFont="1">
      <alignment wrapText="1"/>
    </xf>
    <xf numFmtId="0" fontId="43" fillId="0" borderId="1" xfId="2" applyFont="1" applyAlignment="1">
      <alignment horizontal="right"/>
    </xf>
    <xf numFmtId="0" fontId="43" fillId="0" borderId="6" xfId="6" applyFont="1">
      <alignment wrapText="1"/>
    </xf>
    <xf numFmtId="0" fontId="42" fillId="0" borderId="4" xfId="3" applyFont="1">
      <alignment wrapText="1"/>
    </xf>
    <xf numFmtId="170" fontId="42" fillId="0" borderId="4" xfId="3" applyNumberFormat="1" applyFont="1" applyAlignment="1">
      <alignment horizontal="right" wrapText="1"/>
    </xf>
    <xf numFmtId="171" fontId="42" fillId="0" borderId="4" xfId="3" applyNumberFormat="1" applyFont="1" applyAlignment="1">
      <alignment horizontal="right" wrapText="1"/>
    </xf>
    <xf numFmtId="170" fontId="43" fillId="0" borderId="6" xfId="6" applyNumberFormat="1" applyFont="1" applyAlignment="1">
      <alignment horizontal="right" wrapText="1"/>
    </xf>
    <xf numFmtId="171" fontId="43" fillId="0" borderId="6" xfId="6" applyNumberFormat="1" applyFont="1" applyAlignment="1">
      <alignment horizontal="right" wrapText="1"/>
    </xf>
    <xf numFmtId="4" fontId="42" fillId="0" borderId="4" xfId="3" applyNumberFormat="1" applyFont="1" applyAlignment="1">
      <alignment horizontal="right" wrapText="1"/>
    </xf>
    <xf numFmtId="4" fontId="43" fillId="0" borderId="6" xfId="6" applyNumberFormat="1" applyFont="1" applyAlignment="1">
      <alignment horizontal="right" wrapText="1"/>
    </xf>
    <xf numFmtId="3" fontId="42" fillId="0" borderId="4" xfId="3" applyNumberFormat="1" applyFont="1" applyAlignment="1">
      <alignment horizontal="right" wrapText="1"/>
    </xf>
    <xf numFmtId="0" fontId="0" fillId="0" borderId="30" xfId="0" applyBorder="1"/>
    <xf numFmtId="14" fontId="0" fillId="0" borderId="0" xfId="0" applyNumberFormat="1"/>
    <xf numFmtId="0" fontId="44" fillId="0" borderId="5" xfId="7" applyFont="1" applyAlignment="1">
      <alignment wrapText="1"/>
    </xf>
    <xf numFmtId="0" fontId="0" fillId="0" borderId="30" xfId="0" applyBorder="1"/>
    <xf numFmtId="0" fontId="0" fillId="0" borderId="0" xfId="0"/>
    <xf numFmtId="0" fontId="42" fillId="0" borderId="4" xfId="3" applyFont="1">
      <alignment wrapText="1"/>
    </xf>
    <xf numFmtId="170" fontId="42" fillId="0" borderId="4" xfId="3" applyNumberFormat="1" applyFont="1" applyAlignment="1">
      <alignment horizontal="right" wrapText="1"/>
    </xf>
    <xf numFmtId="171" fontId="42" fillId="0" borderId="4" xfId="3" applyNumberFormat="1" applyFont="1" applyAlignment="1">
      <alignment horizontal="right" wrapText="1"/>
    </xf>
    <xf numFmtId="0" fontId="43" fillId="0" borderId="6" xfId="6" applyFont="1">
      <alignment wrapText="1"/>
    </xf>
    <xf numFmtId="0" fontId="42" fillId="0" borderId="0" xfId="0" applyFont="1"/>
    <xf numFmtId="0" fontId="35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topLeftCell="A19" workbookViewId="0">
      <selection activeCell="A51" sqref="A51"/>
    </sheetView>
  </sheetViews>
  <sheetFormatPr defaultRowHeight="14.75" x14ac:dyDescent="0.75"/>
  <cols>
    <col min="2" max="2" width="132.26953125" customWidth="1"/>
  </cols>
  <sheetData>
    <row r="1" spans="1:3" x14ac:dyDescent="0.75">
      <c r="A1" s="1" t="s">
        <v>46</v>
      </c>
      <c r="B1" t="s">
        <v>616</v>
      </c>
      <c r="C1" s="98">
        <v>45450</v>
      </c>
    </row>
    <row r="3" spans="1:3" x14ac:dyDescent="0.75">
      <c r="A3" s="1" t="s">
        <v>47</v>
      </c>
      <c r="B3" s="32" t="s">
        <v>49</v>
      </c>
    </row>
    <row r="4" spans="1:3" x14ac:dyDescent="0.75">
      <c r="B4" s="75" t="s">
        <v>263</v>
      </c>
    </row>
    <row r="6" spans="1:3" x14ac:dyDescent="0.75">
      <c r="B6" s="6" t="s">
        <v>50</v>
      </c>
    </row>
    <row r="7" spans="1:3" x14ac:dyDescent="0.75">
      <c r="B7" t="s">
        <v>3</v>
      </c>
    </row>
    <row r="8" spans="1:3" x14ac:dyDescent="0.75">
      <c r="B8" s="9">
        <v>2016</v>
      </c>
    </row>
    <row r="9" spans="1:3" x14ac:dyDescent="0.75">
      <c r="B9" t="s">
        <v>59</v>
      </c>
    </row>
    <row r="10" spans="1:3" x14ac:dyDescent="0.75">
      <c r="B10" s="4" t="s">
        <v>4</v>
      </c>
    </row>
    <row r="11" spans="1:3" x14ac:dyDescent="0.75">
      <c r="B11" t="s">
        <v>79</v>
      </c>
    </row>
    <row r="13" spans="1:3" x14ac:dyDescent="0.75">
      <c r="B13" s="6" t="s">
        <v>90</v>
      </c>
    </row>
    <row r="14" spans="1:3" x14ac:dyDescent="0.75">
      <c r="B14" t="s">
        <v>5</v>
      </c>
    </row>
    <row r="15" spans="1:3" x14ac:dyDescent="0.75">
      <c r="B15" s="9">
        <v>2015</v>
      </c>
    </row>
    <row r="16" spans="1:3" x14ac:dyDescent="0.75">
      <c r="B16" t="s">
        <v>56</v>
      </c>
    </row>
    <row r="17" spans="2:2" x14ac:dyDescent="0.75">
      <c r="B17" s="4" t="s">
        <v>58</v>
      </c>
    </row>
    <row r="18" spans="2:2" x14ac:dyDescent="0.75">
      <c r="B18" t="s">
        <v>57</v>
      </c>
    </row>
    <row r="20" spans="2:2" x14ac:dyDescent="0.75">
      <c r="B20" s="6" t="s">
        <v>91</v>
      </c>
    </row>
    <row r="21" spans="2:2" x14ac:dyDescent="0.75">
      <c r="B21" t="s">
        <v>82</v>
      </c>
    </row>
    <row r="22" spans="2:2" x14ac:dyDescent="0.75">
      <c r="B22" s="9">
        <v>2019</v>
      </c>
    </row>
    <row r="23" spans="2:2" x14ac:dyDescent="0.75">
      <c r="B23" t="s">
        <v>83</v>
      </c>
    </row>
    <row r="24" spans="2:2" x14ac:dyDescent="0.75">
      <c r="B24" s="4" t="s">
        <v>84</v>
      </c>
    </row>
    <row r="26" spans="2:2" x14ac:dyDescent="0.75">
      <c r="B26" s="6" t="s">
        <v>52</v>
      </c>
    </row>
    <row r="27" spans="2:2" x14ac:dyDescent="0.75">
      <c r="B27" t="s">
        <v>26</v>
      </c>
    </row>
    <row r="28" spans="2:2" x14ac:dyDescent="0.75">
      <c r="B28" s="9">
        <v>2013</v>
      </c>
    </row>
    <row r="29" spans="2:2" x14ac:dyDescent="0.75">
      <c r="B29" t="s">
        <v>27</v>
      </c>
    </row>
    <row r="30" spans="2:2" x14ac:dyDescent="0.75">
      <c r="B30" s="4" t="s">
        <v>25</v>
      </c>
    </row>
    <row r="31" spans="2:2" x14ac:dyDescent="0.75">
      <c r="B31" t="s">
        <v>28</v>
      </c>
    </row>
    <row r="33" spans="1:2" x14ac:dyDescent="0.75">
      <c r="B33" s="6" t="s">
        <v>53</v>
      </c>
    </row>
    <row r="34" spans="1:2" x14ac:dyDescent="0.75">
      <c r="B34" t="s">
        <v>12</v>
      </c>
    </row>
    <row r="35" spans="1:2" x14ac:dyDescent="0.75">
      <c r="B35" t="s">
        <v>13</v>
      </c>
    </row>
    <row r="36" spans="1:2" x14ac:dyDescent="0.75">
      <c r="B36" t="s">
        <v>14</v>
      </c>
    </row>
    <row r="37" spans="1:2" x14ac:dyDescent="0.75">
      <c r="B37" s="19" t="s">
        <v>15</v>
      </c>
    </row>
    <row r="38" spans="1:2" x14ac:dyDescent="0.75">
      <c r="B38" t="s">
        <v>16</v>
      </c>
    </row>
    <row r="40" spans="1:2" x14ac:dyDescent="0.75">
      <c r="B40" s="6" t="s">
        <v>54</v>
      </c>
    </row>
    <row r="41" spans="1:2" x14ac:dyDescent="0.75">
      <c r="B41" t="s">
        <v>3</v>
      </c>
    </row>
    <row r="42" spans="1:2" x14ac:dyDescent="0.75">
      <c r="B42" s="9">
        <v>2009</v>
      </c>
    </row>
    <row r="43" spans="1:2" x14ac:dyDescent="0.75">
      <c r="B43" t="s">
        <v>36</v>
      </c>
    </row>
    <row r="44" spans="1:2" x14ac:dyDescent="0.75">
      <c r="B44" s="19" t="s">
        <v>37</v>
      </c>
    </row>
    <row r="45" spans="1:2" x14ac:dyDescent="0.75">
      <c r="B45" t="s">
        <v>38</v>
      </c>
    </row>
    <row r="47" spans="1:2" x14ac:dyDescent="0.75">
      <c r="A47" s="1" t="s">
        <v>80</v>
      </c>
    </row>
    <row r="48" spans="1:2" x14ac:dyDescent="0.75">
      <c r="A48" t="s">
        <v>81</v>
      </c>
    </row>
    <row r="50" spans="1:1" x14ac:dyDescent="0.75">
      <c r="A50" t="s">
        <v>264</v>
      </c>
    </row>
    <row r="52" spans="1:1" x14ac:dyDescent="0.75">
      <c r="A52" t="s">
        <v>92</v>
      </c>
    </row>
    <row r="54" spans="1:1" x14ac:dyDescent="0.75">
      <c r="A54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96C9F-D5CD-49A6-8F43-ABDD7F5942E5}">
  <dimension ref="A1:AJ67"/>
  <sheetViews>
    <sheetView workbookViewId="0">
      <selection sqref="A1:XFD1048576"/>
    </sheetView>
  </sheetViews>
  <sheetFormatPr defaultRowHeight="14.75" x14ac:dyDescent="0.75"/>
  <sheetData>
    <row r="1" spans="1:36" x14ac:dyDescent="0.75">
      <c r="A1" t="s">
        <v>95</v>
      </c>
    </row>
    <row r="2" spans="1:36" x14ac:dyDescent="0.75">
      <c r="A2" t="s">
        <v>96</v>
      </c>
    </row>
    <row r="3" spans="1:36" x14ac:dyDescent="0.75">
      <c r="A3" t="s">
        <v>97</v>
      </c>
    </row>
    <row r="4" spans="1:36" x14ac:dyDescent="0.75">
      <c r="A4" t="s">
        <v>98</v>
      </c>
    </row>
    <row r="5" spans="1:36" x14ac:dyDescent="0.75">
      <c r="B5" t="s">
        <v>99</v>
      </c>
      <c r="C5" t="s">
        <v>100</v>
      </c>
      <c r="D5" t="s">
        <v>101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102</v>
      </c>
    </row>
    <row r="6" spans="1:36" x14ac:dyDescent="0.75">
      <c r="A6" t="s">
        <v>103</v>
      </c>
    </row>
    <row r="7" spans="1:36" x14ac:dyDescent="0.75">
      <c r="A7" t="s">
        <v>104</v>
      </c>
    </row>
    <row r="8" spans="1:36" x14ac:dyDescent="0.75">
      <c r="A8" t="s">
        <v>105</v>
      </c>
      <c r="B8" t="s">
        <v>106</v>
      </c>
      <c r="C8" t="s">
        <v>107</v>
      </c>
      <c r="D8" t="s">
        <v>108</v>
      </c>
      <c r="F8">
        <v>4708.5170900000003</v>
      </c>
      <c r="G8">
        <v>4027.0446780000002</v>
      </c>
      <c r="H8">
        <v>3831.8833009999998</v>
      </c>
      <c r="I8">
        <v>3672.6340329999998</v>
      </c>
      <c r="J8">
        <v>3461.185547</v>
      </c>
      <c r="K8">
        <v>3333.5041500000002</v>
      </c>
      <c r="L8">
        <v>3228.204346</v>
      </c>
      <c r="M8">
        <v>3174.7429200000001</v>
      </c>
      <c r="N8">
        <v>3117.6520999999998</v>
      </c>
      <c r="O8">
        <v>3060.680664</v>
      </c>
      <c r="P8">
        <v>2996.7514649999998</v>
      </c>
      <c r="Q8">
        <v>3020.3459469999998</v>
      </c>
      <c r="R8">
        <v>3005.4482419999999</v>
      </c>
      <c r="S8">
        <v>2916.3522950000001</v>
      </c>
      <c r="T8">
        <v>2828.9541020000001</v>
      </c>
      <c r="U8">
        <v>2771.4672850000002</v>
      </c>
      <c r="V8">
        <v>2742.8405760000001</v>
      </c>
      <c r="W8">
        <v>2741.3857419999999</v>
      </c>
      <c r="X8">
        <v>2738.3291020000001</v>
      </c>
      <c r="Y8">
        <v>2743.7697750000002</v>
      </c>
      <c r="Z8">
        <v>2718.2727049999999</v>
      </c>
      <c r="AA8">
        <v>2685.4128420000002</v>
      </c>
      <c r="AB8">
        <v>2655.9782709999999</v>
      </c>
      <c r="AC8">
        <v>2617.857422</v>
      </c>
      <c r="AD8">
        <v>2571.8244629999999</v>
      </c>
      <c r="AE8">
        <v>2557.7060550000001</v>
      </c>
      <c r="AF8">
        <v>2528.2446289999998</v>
      </c>
      <c r="AG8">
        <v>2487.016846</v>
      </c>
      <c r="AH8">
        <v>2470.873047</v>
      </c>
      <c r="AI8">
        <v>2424.7546390000002</v>
      </c>
      <c r="AJ8" s="71">
        <v>-2.3E-2</v>
      </c>
    </row>
    <row r="9" spans="1:36" x14ac:dyDescent="0.75">
      <c r="A9" t="s">
        <v>109</v>
      </c>
      <c r="B9" t="s">
        <v>110</v>
      </c>
      <c r="C9" t="s">
        <v>111</v>
      </c>
      <c r="D9" t="s">
        <v>108</v>
      </c>
      <c r="F9">
        <v>5.5604000000000001E-2</v>
      </c>
      <c r="G9">
        <v>5.2588000000000003E-2</v>
      </c>
      <c r="H9">
        <v>5.2776000000000003E-2</v>
      </c>
      <c r="I9">
        <v>4.7209000000000001E-2</v>
      </c>
      <c r="J9">
        <v>4.3952999999999999E-2</v>
      </c>
      <c r="K9">
        <v>4.3103000000000002E-2</v>
      </c>
      <c r="L9">
        <v>4.2452999999999998E-2</v>
      </c>
      <c r="M9">
        <v>4.2037999999999999E-2</v>
      </c>
      <c r="N9">
        <v>4.1436000000000001E-2</v>
      </c>
      <c r="O9">
        <v>4.163E-2</v>
      </c>
      <c r="P9">
        <v>4.0842000000000003E-2</v>
      </c>
      <c r="Q9">
        <v>4.2139999999999997E-2</v>
      </c>
      <c r="R9">
        <v>4.2788E-2</v>
      </c>
      <c r="S9">
        <v>4.2153999999999997E-2</v>
      </c>
      <c r="T9">
        <v>4.1222000000000002E-2</v>
      </c>
      <c r="U9">
        <v>4.0598000000000002E-2</v>
      </c>
      <c r="V9">
        <v>4.0149999999999998E-2</v>
      </c>
      <c r="W9">
        <v>4.0506E-2</v>
      </c>
      <c r="X9">
        <v>4.0439000000000003E-2</v>
      </c>
      <c r="Y9">
        <v>4.0958000000000001E-2</v>
      </c>
      <c r="Z9">
        <v>4.0855000000000002E-2</v>
      </c>
      <c r="AA9">
        <v>4.0837999999999999E-2</v>
      </c>
      <c r="AB9">
        <v>4.0575E-2</v>
      </c>
      <c r="AC9">
        <v>3.9878999999999998E-2</v>
      </c>
      <c r="AD9">
        <v>3.9517999999999998E-2</v>
      </c>
      <c r="AE9">
        <v>3.9347E-2</v>
      </c>
      <c r="AF9">
        <v>3.9286000000000001E-2</v>
      </c>
      <c r="AG9">
        <v>3.9098000000000001E-2</v>
      </c>
      <c r="AH9">
        <v>3.8983999999999998E-2</v>
      </c>
      <c r="AI9">
        <v>3.8241999999999998E-2</v>
      </c>
      <c r="AJ9" s="71">
        <v>-1.2999999999999999E-2</v>
      </c>
    </row>
    <row r="10" spans="1:36" x14ac:dyDescent="0.75">
      <c r="A10" t="s">
        <v>112</v>
      </c>
      <c r="B10" t="s">
        <v>113</v>
      </c>
      <c r="C10" t="s">
        <v>114</v>
      </c>
      <c r="D10" t="s">
        <v>108</v>
      </c>
      <c r="F10">
        <v>4708.5727539999998</v>
      </c>
      <c r="G10">
        <v>4027.0971679999998</v>
      </c>
      <c r="H10">
        <v>3831.9360350000002</v>
      </c>
      <c r="I10">
        <v>3672.6811520000001</v>
      </c>
      <c r="J10">
        <v>3461.2294919999999</v>
      </c>
      <c r="K10">
        <v>3333.5473630000001</v>
      </c>
      <c r="L10">
        <v>3228.2468260000001</v>
      </c>
      <c r="M10">
        <v>3174.7849120000001</v>
      </c>
      <c r="N10">
        <v>3117.6936040000001</v>
      </c>
      <c r="O10">
        <v>3060.7224120000001</v>
      </c>
      <c r="P10">
        <v>2996.7922359999998</v>
      </c>
      <c r="Q10">
        <v>3020.3881839999999</v>
      </c>
      <c r="R10">
        <v>3005.4909670000002</v>
      </c>
      <c r="S10">
        <v>2916.3945309999999</v>
      </c>
      <c r="T10">
        <v>2828.9953609999998</v>
      </c>
      <c r="U10">
        <v>2771.5078119999998</v>
      </c>
      <c r="V10">
        <v>2742.880615</v>
      </c>
      <c r="W10">
        <v>2741.4262699999999</v>
      </c>
      <c r="X10">
        <v>2738.3696289999998</v>
      </c>
      <c r="Y10">
        <v>2743.8107909999999</v>
      </c>
      <c r="Z10">
        <v>2718.3134770000001</v>
      </c>
      <c r="AA10">
        <v>2685.4536130000001</v>
      </c>
      <c r="AB10">
        <v>2656.0187989999999</v>
      </c>
      <c r="AC10">
        <v>2617.8972170000002</v>
      </c>
      <c r="AD10">
        <v>2571.8640140000002</v>
      </c>
      <c r="AE10">
        <v>2557.7453609999998</v>
      </c>
      <c r="AF10">
        <v>2528.2839359999998</v>
      </c>
      <c r="AG10">
        <v>2487.0559079999998</v>
      </c>
      <c r="AH10">
        <v>2470.9121089999999</v>
      </c>
      <c r="AI10">
        <v>2424.7929690000001</v>
      </c>
      <c r="AJ10" s="71">
        <v>-2.3E-2</v>
      </c>
    </row>
    <row r="11" spans="1:36" x14ac:dyDescent="0.75">
      <c r="A11" t="s">
        <v>115</v>
      </c>
    </row>
    <row r="12" spans="1:36" x14ac:dyDescent="0.75">
      <c r="A12" t="s">
        <v>116</v>
      </c>
      <c r="B12" t="s">
        <v>117</v>
      </c>
      <c r="C12" t="s">
        <v>118</v>
      </c>
      <c r="D12" t="s">
        <v>108</v>
      </c>
      <c r="F12">
        <v>70.343306999999996</v>
      </c>
      <c r="G12">
        <v>60.549362000000002</v>
      </c>
      <c r="H12">
        <v>58.041054000000003</v>
      </c>
      <c r="I12">
        <v>55.635876000000003</v>
      </c>
      <c r="J12">
        <v>52.402312999999999</v>
      </c>
      <c r="K12">
        <v>50.446724000000003</v>
      </c>
      <c r="L12">
        <v>48.850254</v>
      </c>
      <c r="M12">
        <v>48.098244000000001</v>
      </c>
      <c r="N12">
        <v>47.308959999999999</v>
      </c>
      <c r="O12">
        <v>46.542290000000001</v>
      </c>
      <c r="P12">
        <v>45.684764999999999</v>
      </c>
      <c r="Q12">
        <v>46.060051000000001</v>
      </c>
      <c r="R12">
        <v>46.024467000000001</v>
      </c>
      <c r="S12">
        <v>44.769226000000003</v>
      </c>
      <c r="T12">
        <v>43.527194999999999</v>
      </c>
      <c r="U12">
        <v>42.754539000000001</v>
      </c>
      <c r="V12">
        <v>42.415855000000001</v>
      </c>
      <c r="W12">
        <v>42.501331</v>
      </c>
      <c r="X12">
        <v>42.568268000000003</v>
      </c>
      <c r="Y12">
        <v>42.744872999999998</v>
      </c>
      <c r="Z12">
        <v>42.494694000000003</v>
      </c>
      <c r="AA12">
        <v>42.101706999999998</v>
      </c>
      <c r="AB12">
        <v>41.768360000000001</v>
      </c>
      <c r="AC12">
        <v>41.300837999999999</v>
      </c>
      <c r="AD12">
        <v>40.689475999999999</v>
      </c>
      <c r="AE12">
        <v>40.579242999999998</v>
      </c>
      <c r="AF12">
        <v>40.234856000000001</v>
      </c>
      <c r="AG12">
        <v>39.691223000000001</v>
      </c>
      <c r="AH12">
        <v>39.541573</v>
      </c>
      <c r="AI12">
        <v>38.713805999999998</v>
      </c>
      <c r="AJ12" s="71">
        <v>-0.02</v>
      </c>
    </row>
    <row r="13" spans="1:36" x14ac:dyDescent="0.75">
      <c r="A13" t="s">
        <v>119</v>
      </c>
      <c r="B13" t="s">
        <v>120</v>
      </c>
      <c r="C13" t="s">
        <v>121</v>
      </c>
      <c r="D13" t="s">
        <v>108</v>
      </c>
      <c r="F13">
        <v>1.8893880000000001</v>
      </c>
      <c r="G13">
        <v>1.8535779999999999</v>
      </c>
      <c r="H13">
        <v>2.0109530000000002</v>
      </c>
      <c r="I13">
        <v>2.1309040000000001</v>
      </c>
      <c r="J13">
        <v>2.194248</v>
      </c>
      <c r="K13">
        <v>2.2869069999999998</v>
      </c>
      <c r="L13">
        <v>2.3802180000000002</v>
      </c>
      <c r="M13">
        <v>2.5123880000000001</v>
      </c>
      <c r="N13">
        <v>2.6399349999999999</v>
      </c>
      <c r="O13">
        <v>2.764761</v>
      </c>
      <c r="P13">
        <v>2.882028</v>
      </c>
      <c r="Q13">
        <v>3.07301</v>
      </c>
      <c r="R13">
        <v>3.249978</v>
      </c>
      <c r="S13">
        <v>3.3300109999999998</v>
      </c>
      <c r="T13">
        <v>3.4044590000000001</v>
      </c>
      <c r="U13">
        <v>3.5091039999999998</v>
      </c>
      <c r="V13">
        <v>3.645464</v>
      </c>
      <c r="W13">
        <v>3.8190309999999998</v>
      </c>
      <c r="X13">
        <v>3.9951789999999998</v>
      </c>
      <c r="Y13">
        <v>4.1799140000000001</v>
      </c>
      <c r="Z13">
        <v>4.331512</v>
      </c>
      <c r="AA13">
        <v>4.4636480000000001</v>
      </c>
      <c r="AB13">
        <v>4.6018280000000003</v>
      </c>
      <c r="AC13">
        <v>4.7243890000000004</v>
      </c>
      <c r="AD13">
        <v>4.825278</v>
      </c>
      <c r="AE13">
        <v>4.9845139999999999</v>
      </c>
      <c r="AF13">
        <v>5.1154820000000001</v>
      </c>
      <c r="AG13">
        <v>5.2185459999999999</v>
      </c>
      <c r="AH13">
        <v>5.3715929999999998</v>
      </c>
      <c r="AI13">
        <v>5.4546510000000001</v>
      </c>
      <c r="AJ13" s="71">
        <v>3.6999999999999998E-2</v>
      </c>
    </row>
    <row r="14" spans="1:36" x14ac:dyDescent="0.75">
      <c r="A14" t="s">
        <v>122</v>
      </c>
      <c r="B14" t="s">
        <v>123</v>
      </c>
      <c r="C14" t="s">
        <v>124</v>
      </c>
      <c r="D14" t="s">
        <v>108</v>
      </c>
      <c r="F14">
        <v>23.375468999999999</v>
      </c>
      <c r="G14">
        <v>25.162935000000001</v>
      </c>
      <c r="H14">
        <v>26.887744999999999</v>
      </c>
      <c r="I14">
        <v>28.182168999999998</v>
      </c>
      <c r="J14">
        <v>27.906448000000001</v>
      </c>
      <c r="K14">
        <v>28.487347</v>
      </c>
      <c r="L14">
        <v>29.056843000000001</v>
      </c>
      <c r="M14">
        <v>30.245135999999999</v>
      </c>
      <c r="N14">
        <v>31.850908</v>
      </c>
      <c r="O14">
        <v>33.557735000000001</v>
      </c>
      <c r="P14">
        <v>35.134197</v>
      </c>
      <c r="Q14">
        <v>38.987633000000002</v>
      </c>
      <c r="R14">
        <v>41.828842000000002</v>
      </c>
      <c r="S14">
        <v>43.608128000000001</v>
      </c>
      <c r="T14">
        <v>45.457847999999998</v>
      </c>
      <c r="U14">
        <v>47.452530000000003</v>
      </c>
      <c r="V14">
        <v>49.824115999999997</v>
      </c>
      <c r="W14">
        <v>52.774906000000001</v>
      </c>
      <c r="X14">
        <v>55.452347000000003</v>
      </c>
      <c r="Y14">
        <v>58.692047000000002</v>
      </c>
      <c r="Z14">
        <v>61.099415</v>
      </c>
      <c r="AA14">
        <v>63.306271000000002</v>
      </c>
      <c r="AB14">
        <v>65.701378000000005</v>
      </c>
      <c r="AC14">
        <v>67.526718000000002</v>
      </c>
      <c r="AD14">
        <v>68.845268000000004</v>
      </c>
      <c r="AE14">
        <v>71.151718000000002</v>
      </c>
      <c r="AF14">
        <v>72.830405999999996</v>
      </c>
      <c r="AG14">
        <v>74.054810000000003</v>
      </c>
      <c r="AH14">
        <v>76.022530000000003</v>
      </c>
      <c r="AI14">
        <v>76.511939999999996</v>
      </c>
      <c r="AJ14" s="71">
        <v>4.2000000000000003E-2</v>
      </c>
    </row>
    <row r="15" spans="1:36" x14ac:dyDescent="0.75">
      <c r="A15" t="s">
        <v>125</v>
      </c>
      <c r="B15" t="s">
        <v>126</v>
      </c>
      <c r="C15" t="s">
        <v>127</v>
      </c>
      <c r="D15" t="s">
        <v>108</v>
      </c>
      <c r="F15">
        <v>147.401779</v>
      </c>
      <c r="G15">
        <v>155.99674999999999</v>
      </c>
      <c r="H15">
        <v>171.69786099999999</v>
      </c>
      <c r="I15">
        <v>181.12496899999999</v>
      </c>
      <c r="J15">
        <v>175.221497</v>
      </c>
      <c r="K15">
        <v>171.76187100000001</v>
      </c>
      <c r="L15">
        <v>168.80046100000001</v>
      </c>
      <c r="M15">
        <v>169.34013400000001</v>
      </c>
      <c r="N15">
        <v>172.23846399999999</v>
      </c>
      <c r="O15">
        <v>179.979996</v>
      </c>
      <c r="P15">
        <v>184.512665</v>
      </c>
      <c r="Q15">
        <v>199.95791600000001</v>
      </c>
      <c r="R15">
        <v>212.35974100000001</v>
      </c>
      <c r="S15">
        <v>218.05941799999999</v>
      </c>
      <c r="T15">
        <v>224.15055799999999</v>
      </c>
      <c r="U15">
        <v>230.91040000000001</v>
      </c>
      <c r="V15">
        <v>239.59773300000001</v>
      </c>
      <c r="W15">
        <v>251.35534699999999</v>
      </c>
      <c r="X15">
        <v>262.51718099999999</v>
      </c>
      <c r="Y15">
        <v>275.64163200000002</v>
      </c>
      <c r="Z15">
        <v>286.47796599999998</v>
      </c>
      <c r="AA15">
        <v>296.271027</v>
      </c>
      <c r="AB15">
        <v>307.46560699999998</v>
      </c>
      <c r="AC15">
        <v>316.62567100000001</v>
      </c>
      <c r="AD15">
        <v>323.55627399999997</v>
      </c>
      <c r="AE15">
        <v>335.51574699999998</v>
      </c>
      <c r="AF15">
        <v>345.194458</v>
      </c>
      <c r="AG15">
        <v>353.00534099999999</v>
      </c>
      <c r="AH15">
        <v>364.805115</v>
      </c>
      <c r="AI15">
        <v>370.38699300000002</v>
      </c>
      <c r="AJ15" s="71">
        <v>3.2000000000000001E-2</v>
      </c>
    </row>
    <row r="16" spans="1:36" x14ac:dyDescent="0.75">
      <c r="A16" t="s">
        <v>128</v>
      </c>
      <c r="B16" t="s">
        <v>129</v>
      </c>
      <c r="C16" t="s">
        <v>130</v>
      </c>
      <c r="D16" t="s">
        <v>108</v>
      </c>
      <c r="F16">
        <v>46.07452</v>
      </c>
      <c r="G16">
        <v>41.307822999999999</v>
      </c>
      <c r="H16">
        <v>35.311194999999998</v>
      </c>
      <c r="I16">
        <v>33.157207</v>
      </c>
      <c r="J16">
        <v>32.668339000000003</v>
      </c>
      <c r="K16">
        <v>31.887578999999999</v>
      </c>
      <c r="L16">
        <v>31.637594</v>
      </c>
      <c r="M16">
        <v>31.960208999999999</v>
      </c>
      <c r="N16">
        <v>32.534396999999998</v>
      </c>
      <c r="O16">
        <v>33.628281000000001</v>
      </c>
      <c r="P16">
        <v>34.726852000000001</v>
      </c>
      <c r="Q16">
        <v>38.217216000000001</v>
      </c>
      <c r="R16">
        <v>40.075108</v>
      </c>
      <c r="S16">
        <v>40.901299000000002</v>
      </c>
      <c r="T16">
        <v>41.703311999999997</v>
      </c>
      <c r="U16">
        <v>42.683684999999997</v>
      </c>
      <c r="V16">
        <v>44.039828999999997</v>
      </c>
      <c r="W16">
        <v>45.875613999999999</v>
      </c>
      <c r="X16">
        <v>47.390827000000002</v>
      </c>
      <c r="Y16">
        <v>49.550097999999998</v>
      </c>
      <c r="Z16">
        <v>50.653801000000001</v>
      </c>
      <c r="AA16">
        <v>51.584178999999999</v>
      </c>
      <c r="AB16">
        <v>52.619587000000003</v>
      </c>
      <c r="AC16">
        <v>53.227955000000001</v>
      </c>
      <c r="AD16">
        <v>53.513435000000001</v>
      </c>
      <c r="AE16">
        <v>54.554977000000001</v>
      </c>
      <c r="AF16">
        <v>55.090519</v>
      </c>
      <c r="AG16">
        <v>55.306950000000001</v>
      </c>
      <c r="AH16">
        <v>56.102440000000001</v>
      </c>
      <c r="AI16">
        <v>55.769160999999997</v>
      </c>
      <c r="AJ16" s="71">
        <v>7.0000000000000001E-3</v>
      </c>
    </row>
    <row r="17" spans="1:36" x14ac:dyDescent="0.75">
      <c r="A17" t="s">
        <v>131</v>
      </c>
      <c r="B17" t="s">
        <v>132</v>
      </c>
      <c r="C17" t="s">
        <v>130</v>
      </c>
      <c r="D17" t="s">
        <v>108</v>
      </c>
      <c r="F17">
        <v>2.0510920000000001</v>
      </c>
      <c r="G17">
        <v>1.9805189999999999</v>
      </c>
      <c r="H17">
        <v>2.0723379999999998</v>
      </c>
      <c r="I17">
        <v>2.2677040000000002</v>
      </c>
      <c r="J17">
        <v>2.410676</v>
      </c>
      <c r="K17">
        <v>2.6005690000000001</v>
      </c>
      <c r="L17">
        <v>2.7973720000000002</v>
      </c>
      <c r="M17">
        <v>3.04156</v>
      </c>
      <c r="N17">
        <v>3.288033</v>
      </c>
      <c r="O17">
        <v>3.5496409999999998</v>
      </c>
      <c r="P17">
        <v>3.8025120000000001</v>
      </c>
      <c r="Q17">
        <v>4.2142350000000004</v>
      </c>
      <c r="R17">
        <v>4.5525779999999996</v>
      </c>
      <c r="S17">
        <v>4.7596179999999997</v>
      </c>
      <c r="T17">
        <v>4.9583000000000004</v>
      </c>
      <c r="U17">
        <v>5.187163</v>
      </c>
      <c r="V17">
        <v>5.4601639999999998</v>
      </c>
      <c r="W17">
        <v>5.792198</v>
      </c>
      <c r="X17">
        <v>6.1139840000000003</v>
      </c>
      <c r="Y17">
        <v>6.4750550000000002</v>
      </c>
      <c r="Z17">
        <v>6.7610460000000003</v>
      </c>
      <c r="AA17">
        <v>7.0202429999999998</v>
      </c>
      <c r="AB17">
        <v>7.2933370000000002</v>
      </c>
      <c r="AC17">
        <v>7.5284069999999996</v>
      </c>
      <c r="AD17">
        <v>7.7228120000000002</v>
      </c>
      <c r="AE17">
        <v>8.0182500000000001</v>
      </c>
      <c r="AF17">
        <v>8.2581500000000005</v>
      </c>
      <c r="AG17">
        <v>8.4514969999999998</v>
      </c>
      <c r="AH17">
        <v>8.7284670000000002</v>
      </c>
      <c r="AI17">
        <v>8.8705390000000008</v>
      </c>
      <c r="AJ17" s="71">
        <v>5.1999999999999998E-2</v>
      </c>
    </row>
    <row r="18" spans="1:36" x14ac:dyDescent="0.75">
      <c r="A18" t="s">
        <v>133</v>
      </c>
      <c r="B18" t="s">
        <v>134</v>
      </c>
      <c r="C18" t="s">
        <v>135</v>
      </c>
      <c r="D18" t="s">
        <v>108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t="s">
        <v>136</v>
      </c>
    </row>
    <row r="19" spans="1:36" x14ac:dyDescent="0.75">
      <c r="A19" t="s">
        <v>137</v>
      </c>
      <c r="B19" t="s">
        <v>138</v>
      </c>
      <c r="C19" t="s">
        <v>139</v>
      </c>
      <c r="D19" t="s">
        <v>108</v>
      </c>
      <c r="F19">
        <v>332.48666400000002</v>
      </c>
      <c r="G19">
        <v>337.24652099999997</v>
      </c>
      <c r="H19">
        <v>365.72226000000001</v>
      </c>
      <c r="I19">
        <v>361.76470899999998</v>
      </c>
      <c r="J19">
        <v>343.107574</v>
      </c>
      <c r="K19">
        <v>337.52279700000003</v>
      </c>
      <c r="L19">
        <v>334.77813700000002</v>
      </c>
      <c r="M19">
        <v>336.788544</v>
      </c>
      <c r="N19">
        <v>337.88992300000001</v>
      </c>
      <c r="O19">
        <v>339.16201799999999</v>
      </c>
      <c r="P19">
        <v>338.979218</v>
      </c>
      <c r="Q19">
        <v>350.40441900000002</v>
      </c>
      <c r="R19">
        <v>355.52737400000001</v>
      </c>
      <c r="S19">
        <v>350.95867900000002</v>
      </c>
      <c r="T19">
        <v>346.27304099999998</v>
      </c>
      <c r="U19">
        <v>344.43457000000001</v>
      </c>
      <c r="V19">
        <v>346.00167800000003</v>
      </c>
      <c r="W19">
        <v>351.18691999999999</v>
      </c>
      <c r="X19">
        <v>355.50054899999998</v>
      </c>
      <c r="Y19">
        <v>362.082581</v>
      </c>
      <c r="Z19">
        <v>366.14453099999997</v>
      </c>
      <c r="AA19">
        <v>367.11215199999998</v>
      </c>
      <c r="AB19">
        <v>368.55566399999998</v>
      </c>
      <c r="AC19">
        <v>368.23931900000002</v>
      </c>
      <c r="AD19">
        <v>366.31881700000002</v>
      </c>
      <c r="AE19">
        <v>369.05972300000002</v>
      </c>
      <c r="AF19">
        <v>369.16357399999998</v>
      </c>
      <c r="AG19">
        <v>367.36792000000003</v>
      </c>
      <c r="AH19">
        <v>369.24075299999998</v>
      </c>
      <c r="AI19">
        <v>365.604401</v>
      </c>
      <c r="AJ19" s="71">
        <v>3.0000000000000001E-3</v>
      </c>
    </row>
    <row r="20" spans="1:36" x14ac:dyDescent="0.75">
      <c r="A20" t="s">
        <v>140</v>
      </c>
      <c r="B20" t="s">
        <v>141</v>
      </c>
      <c r="C20" t="s">
        <v>142</v>
      </c>
      <c r="D20" t="s">
        <v>108</v>
      </c>
      <c r="F20">
        <v>0.12579499999999999</v>
      </c>
      <c r="G20">
        <v>0.137188</v>
      </c>
      <c r="H20">
        <v>0.16456000000000001</v>
      </c>
      <c r="I20">
        <v>0.17819399999999999</v>
      </c>
      <c r="J20">
        <v>0.178977</v>
      </c>
      <c r="K20">
        <v>0.17513000000000001</v>
      </c>
      <c r="L20">
        <v>0.16991100000000001</v>
      </c>
      <c r="M20">
        <v>0.166769</v>
      </c>
      <c r="N20">
        <v>0.16133</v>
      </c>
      <c r="O20">
        <v>0.15781400000000001</v>
      </c>
      <c r="P20">
        <v>0.155445</v>
      </c>
      <c r="Q20">
        <v>0.15307200000000001</v>
      </c>
      <c r="R20">
        <v>0.154532</v>
      </c>
      <c r="S20">
        <v>0.15030399999999999</v>
      </c>
      <c r="T20">
        <v>0.14590400000000001</v>
      </c>
      <c r="U20">
        <v>0.14330499999999999</v>
      </c>
      <c r="V20">
        <v>0.141849</v>
      </c>
      <c r="W20">
        <v>0.142148</v>
      </c>
      <c r="X20">
        <v>0.14249500000000001</v>
      </c>
      <c r="Y20">
        <v>0.142984</v>
      </c>
      <c r="Z20">
        <v>0.14338500000000001</v>
      </c>
      <c r="AA20">
        <v>0.14371200000000001</v>
      </c>
      <c r="AB20">
        <v>0.14466599999999999</v>
      </c>
      <c r="AC20">
        <v>0.14494299999999999</v>
      </c>
      <c r="AD20">
        <v>0.143982</v>
      </c>
      <c r="AE20">
        <v>0.14440600000000001</v>
      </c>
      <c r="AF20">
        <v>0.14402599999999999</v>
      </c>
      <c r="AG20">
        <v>0.142705</v>
      </c>
      <c r="AH20">
        <v>0.14289099999999999</v>
      </c>
      <c r="AI20">
        <v>0.14146400000000001</v>
      </c>
      <c r="AJ20" s="71">
        <v>4.0000000000000001E-3</v>
      </c>
    </row>
    <row r="21" spans="1:36" x14ac:dyDescent="0.75">
      <c r="A21" t="s">
        <v>143</v>
      </c>
      <c r="B21" t="s">
        <v>144</v>
      </c>
      <c r="C21" t="s">
        <v>145</v>
      </c>
      <c r="D21" t="s">
        <v>108</v>
      </c>
      <c r="F21">
        <v>8.7209999999999996E-2</v>
      </c>
      <c r="G21">
        <v>8.3796999999999996E-2</v>
      </c>
      <c r="H21">
        <v>8.6701E-2</v>
      </c>
      <c r="I21">
        <v>8.2955000000000001E-2</v>
      </c>
      <c r="J21">
        <v>7.7557000000000001E-2</v>
      </c>
      <c r="K21">
        <v>7.4380000000000002E-2</v>
      </c>
      <c r="L21">
        <v>7.2463E-2</v>
      </c>
      <c r="M21">
        <v>7.1961999999999998E-2</v>
      </c>
      <c r="N21">
        <v>7.1042999999999995E-2</v>
      </c>
      <c r="O21">
        <v>7.0277999999999993E-2</v>
      </c>
      <c r="P21">
        <v>6.9926000000000002E-2</v>
      </c>
      <c r="Q21">
        <v>6.8585999999999994E-2</v>
      </c>
      <c r="R21">
        <v>7.0636000000000004E-2</v>
      </c>
      <c r="S21">
        <v>6.9625999999999993E-2</v>
      </c>
      <c r="T21">
        <v>6.8207000000000004E-2</v>
      </c>
      <c r="U21">
        <v>6.7854999999999999E-2</v>
      </c>
      <c r="V21">
        <v>6.7926E-2</v>
      </c>
      <c r="W21">
        <v>6.8939E-2</v>
      </c>
      <c r="X21">
        <v>6.9968000000000002E-2</v>
      </c>
      <c r="Y21">
        <v>7.1117E-2</v>
      </c>
      <c r="Z21">
        <v>7.2262999999999994E-2</v>
      </c>
      <c r="AA21">
        <v>7.3052000000000006E-2</v>
      </c>
      <c r="AB21">
        <v>7.4276999999999996E-2</v>
      </c>
      <c r="AC21">
        <v>7.5227000000000002E-2</v>
      </c>
      <c r="AD21">
        <v>7.5635999999999995E-2</v>
      </c>
      <c r="AE21">
        <v>7.6905000000000001E-2</v>
      </c>
      <c r="AF21">
        <v>7.7802999999999997E-2</v>
      </c>
      <c r="AG21">
        <v>7.8106999999999996E-2</v>
      </c>
      <c r="AH21">
        <v>7.9106999999999997E-2</v>
      </c>
      <c r="AI21">
        <v>7.9021999999999995E-2</v>
      </c>
      <c r="AJ21" s="71">
        <v>-3.0000000000000001E-3</v>
      </c>
    </row>
    <row r="22" spans="1:36" x14ac:dyDescent="0.75">
      <c r="A22" t="s">
        <v>146</v>
      </c>
      <c r="B22" t="s">
        <v>147</v>
      </c>
      <c r="C22" t="s">
        <v>148</v>
      </c>
      <c r="D22" t="s">
        <v>108</v>
      </c>
      <c r="F22">
        <v>5.824E-2</v>
      </c>
      <c r="G22">
        <v>8.3934999999999996E-2</v>
      </c>
      <c r="H22">
        <v>0.10223400000000001</v>
      </c>
      <c r="I22">
        <v>0.100122</v>
      </c>
      <c r="J22">
        <v>9.4562999999999994E-2</v>
      </c>
      <c r="K22">
        <v>9.1009000000000007E-2</v>
      </c>
      <c r="L22">
        <v>8.8827000000000003E-2</v>
      </c>
      <c r="M22">
        <v>8.8865E-2</v>
      </c>
      <c r="N22">
        <v>8.8482000000000005E-2</v>
      </c>
      <c r="O22">
        <v>8.7889999999999996E-2</v>
      </c>
      <c r="P22">
        <v>8.8635000000000005E-2</v>
      </c>
      <c r="Q22">
        <v>8.9943999999999996E-2</v>
      </c>
      <c r="R22">
        <v>9.5838000000000007E-2</v>
      </c>
      <c r="S22">
        <v>9.5838999999999994E-2</v>
      </c>
      <c r="T22">
        <v>9.5929E-2</v>
      </c>
      <c r="U22">
        <v>9.7351999999999994E-2</v>
      </c>
      <c r="V22">
        <v>9.8850999999999994E-2</v>
      </c>
      <c r="W22">
        <v>0.10141</v>
      </c>
      <c r="X22">
        <v>0.10506699999999999</v>
      </c>
      <c r="Y22">
        <v>0.106972</v>
      </c>
      <c r="Z22">
        <v>0.110404</v>
      </c>
      <c r="AA22">
        <v>0.112637</v>
      </c>
      <c r="AB22">
        <v>0.114746</v>
      </c>
      <c r="AC22">
        <v>0.11737</v>
      </c>
      <c r="AD22">
        <v>0.119959</v>
      </c>
      <c r="AE22">
        <v>0.124351</v>
      </c>
      <c r="AF22">
        <v>0.128778</v>
      </c>
      <c r="AG22">
        <v>0.13200500000000001</v>
      </c>
      <c r="AH22">
        <v>0.13613600000000001</v>
      </c>
      <c r="AI22">
        <v>0.139824</v>
      </c>
      <c r="AJ22" s="71">
        <v>3.1E-2</v>
      </c>
    </row>
    <row r="23" spans="1:36" x14ac:dyDescent="0.75">
      <c r="A23" t="s">
        <v>149</v>
      </c>
      <c r="B23" t="s">
        <v>147</v>
      </c>
      <c r="C23" t="s">
        <v>150</v>
      </c>
      <c r="D23" t="s">
        <v>108</v>
      </c>
      <c r="F23">
        <v>3.4324E-2</v>
      </c>
      <c r="G23">
        <v>3.1629999999999998E-2</v>
      </c>
      <c r="H23">
        <v>3.2663999999999999E-2</v>
      </c>
      <c r="I23">
        <v>3.1067000000000001E-2</v>
      </c>
      <c r="J23">
        <v>2.8989000000000001E-2</v>
      </c>
      <c r="K23">
        <v>2.7803999999999999E-2</v>
      </c>
      <c r="L23">
        <v>2.6821000000000001E-2</v>
      </c>
      <c r="M23">
        <v>2.6294000000000001E-2</v>
      </c>
      <c r="N23">
        <v>2.5703E-2</v>
      </c>
      <c r="O23">
        <v>2.5183000000000001E-2</v>
      </c>
      <c r="P23">
        <v>2.4774999999999998E-2</v>
      </c>
      <c r="Q23">
        <v>2.5118999999999999E-2</v>
      </c>
      <c r="R23">
        <v>2.5592E-2</v>
      </c>
      <c r="S23">
        <v>2.5024999999999999E-2</v>
      </c>
      <c r="T23">
        <v>2.4549000000000001E-2</v>
      </c>
      <c r="U23">
        <v>2.4303000000000002E-2</v>
      </c>
      <c r="V23">
        <v>2.4152E-2</v>
      </c>
      <c r="W23">
        <v>2.4312E-2</v>
      </c>
      <c r="X23">
        <v>2.4516E-2</v>
      </c>
      <c r="Y23">
        <v>2.4691999999999999E-2</v>
      </c>
      <c r="Z23">
        <v>2.4847999999999999E-2</v>
      </c>
      <c r="AA23">
        <v>2.486E-2</v>
      </c>
      <c r="AB23">
        <v>2.4878999999999998E-2</v>
      </c>
      <c r="AC23">
        <v>2.4868999999999999E-2</v>
      </c>
      <c r="AD23">
        <v>2.4892000000000001E-2</v>
      </c>
      <c r="AE23">
        <v>2.5346E-2</v>
      </c>
      <c r="AF23">
        <v>2.5631000000000001E-2</v>
      </c>
      <c r="AG23">
        <v>2.5672E-2</v>
      </c>
      <c r="AH23">
        <v>2.5926000000000001E-2</v>
      </c>
      <c r="AI23">
        <v>2.5838E-2</v>
      </c>
      <c r="AJ23" s="71">
        <v>-0.01</v>
      </c>
    </row>
    <row r="24" spans="1:36" x14ac:dyDescent="0.75">
      <c r="A24" t="s">
        <v>151</v>
      </c>
      <c r="B24" t="s">
        <v>152</v>
      </c>
      <c r="C24" t="s">
        <v>153</v>
      </c>
      <c r="D24" t="s">
        <v>108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t="s">
        <v>136</v>
      </c>
    </row>
    <row r="25" spans="1:36" x14ac:dyDescent="0.75">
      <c r="A25" t="s">
        <v>154</v>
      </c>
      <c r="B25" t="s">
        <v>155</v>
      </c>
      <c r="C25" t="s">
        <v>156</v>
      </c>
      <c r="D25" t="s">
        <v>108</v>
      </c>
      <c r="F25">
        <v>2.810565</v>
      </c>
      <c r="G25">
        <v>2.5792950000000001</v>
      </c>
      <c r="H25">
        <v>2.9005109999999998</v>
      </c>
      <c r="I25">
        <v>3.0991559999999998</v>
      </c>
      <c r="J25">
        <v>3.3652739999999999</v>
      </c>
      <c r="K25">
        <v>3.752151</v>
      </c>
      <c r="L25">
        <v>4.0850790000000003</v>
      </c>
      <c r="M25">
        <v>4.4954919999999996</v>
      </c>
      <c r="N25">
        <v>4.8712819999999999</v>
      </c>
      <c r="O25">
        <v>5.1944819999999998</v>
      </c>
      <c r="P25">
        <v>5.4509059999999998</v>
      </c>
      <c r="Q25">
        <v>5.7987690000000001</v>
      </c>
      <c r="R25">
        <v>6.1745089999999996</v>
      </c>
      <c r="S25">
        <v>6.1894619999999998</v>
      </c>
      <c r="T25">
        <v>6.1413770000000003</v>
      </c>
      <c r="U25">
        <v>6.0972109999999997</v>
      </c>
      <c r="V25">
        <v>6.0469020000000002</v>
      </c>
      <c r="W25">
        <v>6.2551769999999998</v>
      </c>
      <c r="X25">
        <v>6.4857379999999996</v>
      </c>
      <c r="Y25">
        <v>6.689171</v>
      </c>
      <c r="Z25">
        <v>6.8860489999999999</v>
      </c>
      <c r="AA25">
        <v>7.0107549999999996</v>
      </c>
      <c r="AB25">
        <v>7.1375010000000003</v>
      </c>
      <c r="AC25">
        <v>7.2389099999999997</v>
      </c>
      <c r="AD25">
        <v>7.2781450000000003</v>
      </c>
      <c r="AE25">
        <v>7.3882669999999999</v>
      </c>
      <c r="AF25">
        <v>7.4550150000000004</v>
      </c>
      <c r="AG25">
        <v>7.4618539999999998</v>
      </c>
      <c r="AH25">
        <v>7.5268550000000003</v>
      </c>
      <c r="AI25">
        <v>7.5094289999999999</v>
      </c>
      <c r="AJ25" s="71">
        <v>3.4000000000000002E-2</v>
      </c>
    </row>
    <row r="26" spans="1:36" x14ac:dyDescent="0.75">
      <c r="A26" t="s">
        <v>157</v>
      </c>
      <c r="B26" t="s">
        <v>158</v>
      </c>
      <c r="C26" t="s">
        <v>159</v>
      </c>
      <c r="D26" t="s">
        <v>108</v>
      </c>
      <c r="F26">
        <v>626.73834199999999</v>
      </c>
      <c r="G26">
        <v>627.01330600000006</v>
      </c>
      <c r="H26">
        <v>665.03002900000001</v>
      </c>
      <c r="I26">
        <v>667.75506600000006</v>
      </c>
      <c r="J26">
        <v>639.65643299999999</v>
      </c>
      <c r="K26">
        <v>629.11425799999995</v>
      </c>
      <c r="L26">
        <v>622.74401899999998</v>
      </c>
      <c r="M26">
        <v>626.83557099999996</v>
      </c>
      <c r="N26">
        <v>632.96844499999997</v>
      </c>
      <c r="O26">
        <v>644.72033699999997</v>
      </c>
      <c r="P26">
        <v>651.51196300000004</v>
      </c>
      <c r="Q26">
        <v>687.04998799999998</v>
      </c>
      <c r="R26">
        <v>710.13922100000002</v>
      </c>
      <c r="S26">
        <v>712.91662599999995</v>
      </c>
      <c r="T26">
        <v>715.95062299999995</v>
      </c>
      <c r="U26">
        <v>723.36199999999997</v>
      </c>
      <c r="V26">
        <v>737.36444100000006</v>
      </c>
      <c r="W26">
        <v>759.89739999999995</v>
      </c>
      <c r="X26">
        <v>780.36608899999999</v>
      </c>
      <c r="Y26">
        <v>806.40118399999994</v>
      </c>
      <c r="Z26">
        <v>825.19988999999998</v>
      </c>
      <c r="AA26">
        <v>839.224243</v>
      </c>
      <c r="AB26">
        <v>855.501892</v>
      </c>
      <c r="AC26">
        <v>866.77459699999997</v>
      </c>
      <c r="AD26">
        <v>873.11395300000004</v>
      </c>
      <c r="AE26">
        <v>891.62335199999995</v>
      </c>
      <c r="AF26">
        <v>903.71875</v>
      </c>
      <c r="AG26">
        <v>910.93670699999996</v>
      </c>
      <c r="AH26">
        <v>927.72332800000004</v>
      </c>
      <c r="AI26">
        <v>929.20703100000003</v>
      </c>
      <c r="AJ26" s="71">
        <v>1.4E-2</v>
      </c>
    </row>
    <row r="27" spans="1:36" x14ac:dyDescent="0.75">
      <c r="A27" t="s">
        <v>160</v>
      </c>
      <c r="B27" t="s">
        <v>161</v>
      </c>
      <c r="C27" t="s">
        <v>162</v>
      </c>
      <c r="D27" t="s">
        <v>163</v>
      </c>
      <c r="F27">
        <v>11.746987000000001</v>
      </c>
      <c r="G27">
        <v>13.472249</v>
      </c>
      <c r="H27">
        <v>14.788416</v>
      </c>
      <c r="I27">
        <v>15.384516</v>
      </c>
      <c r="J27">
        <v>15.598006</v>
      </c>
      <c r="K27">
        <v>15.876053000000001</v>
      </c>
      <c r="L27">
        <v>16.171009000000002</v>
      </c>
      <c r="M27">
        <v>16.488641999999999</v>
      </c>
      <c r="N27">
        <v>16.876179</v>
      </c>
      <c r="O27">
        <v>17.399279</v>
      </c>
      <c r="P27">
        <v>17.857938999999998</v>
      </c>
      <c r="Q27">
        <v>18.531663999999999</v>
      </c>
      <c r="R27">
        <v>19.112214999999999</v>
      </c>
      <c r="S27">
        <v>19.643305000000002</v>
      </c>
      <c r="T27">
        <v>20.196375</v>
      </c>
      <c r="U27">
        <v>20.697823</v>
      </c>
      <c r="V27">
        <v>21.187141</v>
      </c>
      <c r="W27">
        <v>21.703146</v>
      </c>
      <c r="X27">
        <v>22.177455999999999</v>
      </c>
      <c r="Y27">
        <v>22.714169999999999</v>
      </c>
      <c r="Z27">
        <v>23.287618999999999</v>
      </c>
      <c r="AA27">
        <v>23.809956</v>
      </c>
      <c r="AB27">
        <v>24.362717</v>
      </c>
      <c r="AC27">
        <v>24.873922</v>
      </c>
      <c r="AD27">
        <v>25.344545</v>
      </c>
      <c r="AE27">
        <v>25.848886</v>
      </c>
      <c r="AF27">
        <v>26.332108999999999</v>
      </c>
      <c r="AG27">
        <v>26.808083</v>
      </c>
      <c r="AH27">
        <v>27.296935999999999</v>
      </c>
      <c r="AI27">
        <v>27.704445</v>
      </c>
      <c r="AJ27" s="71">
        <v>0.03</v>
      </c>
    </row>
    <row r="28" spans="1:36" x14ac:dyDescent="0.75">
      <c r="A28" t="s">
        <v>164</v>
      </c>
      <c r="B28" t="s">
        <v>165</v>
      </c>
      <c r="C28" t="s">
        <v>166</v>
      </c>
      <c r="D28" t="s">
        <v>108</v>
      </c>
      <c r="F28">
        <v>5335.3110349999997</v>
      </c>
      <c r="G28">
        <v>4654.1103519999997</v>
      </c>
      <c r="H28">
        <v>4496.9658200000003</v>
      </c>
      <c r="I28">
        <v>4340.4360349999997</v>
      </c>
      <c r="J28">
        <v>4100.8857420000004</v>
      </c>
      <c r="K28">
        <v>3962.6616210000002</v>
      </c>
      <c r="L28">
        <v>3850.9907229999999</v>
      </c>
      <c r="M28">
        <v>3801.6206050000001</v>
      </c>
      <c r="N28">
        <v>3750.6621089999999</v>
      </c>
      <c r="O28">
        <v>3705.4428710000002</v>
      </c>
      <c r="P28">
        <v>3648.3041990000002</v>
      </c>
      <c r="Q28">
        <v>3707.438232</v>
      </c>
      <c r="R28">
        <v>3715.6301269999999</v>
      </c>
      <c r="S28">
        <v>3629.3110350000002</v>
      </c>
      <c r="T28">
        <v>3544.9460450000001</v>
      </c>
      <c r="U28">
        <v>3494.8698730000001</v>
      </c>
      <c r="V28">
        <v>3480.2451169999999</v>
      </c>
      <c r="W28">
        <v>3501.3237300000001</v>
      </c>
      <c r="X28">
        <v>3518.7358399999998</v>
      </c>
      <c r="Y28">
        <v>3550.211914</v>
      </c>
      <c r="Z28">
        <v>3543.5134280000002</v>
      </c>
      <c r="AA28">
        <v>3524.6777339999999</v>
      </c>
      <c r="AB28">
        <v>3511.5207519999999</v>
      </c>
      <c r="AC28">
        <v>3484.671875</v>
      </c>
      <c r="AD28">
        <v>3444.9780270000001</v>
      </c>
      <c r="AE28">
        <v>3449.3686520000001</v>
      </c>
      <c r="AF28">
        <v>3432.0026859999998</v>
      </c>
      <c r="AG28">
        <v>3397.9926759999998</v>
      </c>
      <c r="AH28">
        <v>3398.6354980000001</v>
      </c>
      <c r="AI28">
        <v>3354</v>
      </c>
      <c r="AJ28" s="71">
        <v>-1.6E-2</v>
      </c>
    </row>
    <row r="29" spans="1:36" x14ac:dyDescent="0.75">
      <c r="A29" t="s">
        <v>167</v>
      </c>
    </row>
    <row r="30" spans="1:36" x14ac:dyDescent="0.75">
      <c r="A30" t="s">
        <v>168</v>
      </c>
    </row>
    <row r="31" spans="1:36" x14ac:dyDescent="0.75">
      <c r="A31" t="s">
        <v>105</v>
      </c>
      <c r="B31" t="s">
        <v>169</v>
      </c>
      <c r="C31" t="s">
        <v>170</v>
      </c>
      <c r="D31" t="s">
        <v>108</v>
      </c>
      <c r="F31">
        <v>8724.5283199999994</v>
      </c>
      <c r="G31">
        <v>7939.5649409999996</v>
      </c>
      <c r="H31">
        <v>8116.8813479999999</v>
      </c>
      <c r="I31">
        <v>8314.5390619999998</v>
      </c>
      <c r="J31">
        <v>8323.5039059999999</v>
      </c>
      <c r="K31">
        <v>8322.1757809999999</v>
      </c>
      <c r="L31">
        <v>8213.2363280000009</v>
      </c>
      <c r="M31">
        <v>8182.4931640000004</v>
      </c>
      <c r="N31">
        <v>8148.5395509999998</v>
      </c>
      <c r="O31">
        <v>8039.1225590000004</v>
      </c>
      <c r="P31">
        <v>7956.1635740000002</v>
      </c>
      <c r="Q31">
        <v>7892.4267579999996</v>
      </c>
      <c r="R31">
        <v>7877.8208009999998</v>
      </c>
      <c r="S31">
        <v>7680.5063479999999</v>
      </c>
      <c r="T31">
        <v>7491.6279299999997</v>
      </c>
      <c r="U31">
        <v>7401.828125</v>
      </c>
      <c r="V31">
        <v>7379.4506840000004</v>
      </c>
      <c r="W31">
        <v>7421.5366210000002</v>
      </c>
      <c r="X31">
        <v>7516.1909180000002</v>
      </c>
      <c r="Y31">
        <v>7545.408203</v>
      </c>
      <c r="Z31">
        <v>7531.5078119999998</v>
      </c>
      <c r="AA31">
        <v>7480.3242190000001</v>
      </c>
      <c r="AB31">
        <v>7421.3354490000002</v>
      </c>
      <c r="AC31">
        <v>7365.7758789999998</v>
      </c>
      <c r="AD31">
        <v>7297.7700199999999</v>
      </c>
      <c r="AE31">
        <v>7308.1538090000004</v>
      </c>
      <c r="AF31">
        <v>7296.1381840000004</v>
      </c>
      <c r="AG31">
        <v>7261.7114259999998</v>
      </c>
      <c r="AH31">
        <v>7295.6362300000001</v>
      </c>
      <c r="AI31">
        <v>7308.4360349999997</v>
      </c>
      <c r="AJ31" s="71">
        <v>-6.0000000000000001E-3</v>
      </c>
    </row>
    <row r="32" spans="1:36" x14ac:dyDescent="0.75">
      <c r="A32" t="s">
        <v>109</v>
      </c>
      <c r="B32" t="s">
        <v>171</v>
      </c>
      <c r="C32" t="s">
        <v>172</v>
      </c>
      <c r="D32" t="s">
        <v>108</v>
      </c>
      <c r="F32">
        <v>46.418770000000002</v>
      </c>
      <c r="G32">
        <v>51.253639</v>
      </c>
      <c r="H32">
        <v>54.700763999999999</v>
      </c>
      <c r="I32">
        <v>52.197566999999999</v>
      </c>
      <c r="J32">
        <v>51.239521000000003</v>
      </c>
      <c r="K32">
        <v>51.580734</v>
      </c>
      <c r="L32">
        <v>51.742249000000001</v>
      </c>
      <c r="M32">
        <v>52.058838000000002</v>
      </c>
      <c r="N32">
        <v>51.945</v>
      </c>
      <c r="O32">
        <v>52.957183999999998</v>
      </c>
      <c r="P32">
        <v>52.219420999999997</v>
      </c>
      <c r="Q32">
        <v>53.612389</v>
      </c>
      <c r="R32">
        <v>54.034382000000001</v>
      </c>
      <c r="S32">
        <v>53.363276999999997</v>
      </c>
      <c r="T32">
        <v>52.099303999999997</v>
      </c>
      <c r="U32">
        <v>51.40202</v>
      </c>
      <c r="V32">
        <v>50.977820999999999</v>
      </c>
      <c r="W32">
        <v>51.689278000000002</v>
      </c>
      <c r="X32">
        <v>51.969776000000003</v>
      </c>
      <c r="Y32">
        <v>53.049380999999997</v>
      </c>
      <c r="Z32">
        <v>53.070942000000002</v>
      </c>
      <c r="AA32">
        <v>53.386406000000001</v>
      </c>
      <c r="AB32">
        <v>53.157027999999997</v>
      </c>
      <c r="AC32">
        <v>52.364654999999999</v>
      </c>
      <c r="AD32">
        <v>52.270598999999997</v>
      </c>
      <c r="AE32">
        <v>52.341468999999996</v>
      </c>
      <c r="AF32">
        <v>52.742237000000003</v>
      </c>
      <c r="AG32">
        <v>53.071174999999997</v>
      </c>
      <c r="AH32">
        <v>53.468131999999997</v>
      </c>
      <c r="AI32">
        <v>53.209235999999997</v>
      </c>
      <c r="AJ32" s="71">
        <v>5.0000000000000001E-3</v>
      </c>
    </row>
    <row r="33" spans="1:36" x14ac:dyDescent="0.75">
      <c r="A33" t="s">
        <v>173</v>
      </c>
      <c r="B33" t="s">
        <v>174</v>
      </c>
      <c r="C33" t="s">
        <v>175</v>
      </c>
      <c r="D33" t="s">
        <v>108</v>
      </c>
      <c r="F33">
        <v>8770.9472659999992</v>
      </c>
      <c r="G33">
        <v>7990.8183589999999</v>
      </c>
      <c r="H33">
        <v>8171.5820309999999</v>
      </c>
      <c r="I33">
        <v>8366.7363280000009</v>
      </c>
      <c r="J33">
        <v>8374.7431639999995</v>
      </c>
      <c r="K33">
        <v>8373.7568360000005</v>
      </c>
      <c r="L33">
        <v>8264.9785159999992</v>
      </c>
      <c r="M33">
        <v>8234.5517579999996</v>
      </c>
      <c r="N33">
        <v>8200.484375</v>
      </c>
      <c r="O33">
        <v>8092.0795900000003</v>
      </c>
      <c r="P33">
        <v>8008.3828119999998</v>
      </c>
      <c r="Q33">
        <v>7946.0390619999998</v>
      </c>
      <c r="R33">
        <v>7931.8549800000001</v>
      </c>
      <c r="S33">
        <v>7733.8696289999998</v>
      </c>
      <c r="T33">
        <v>7543.7270509999998</v>
      </c>
      <c r="U33">
        <v>7453.2299800000001</v>
      </c>
      <c r="V33">
        <v>7430.4287109999996</v>
      </c>
      <c r="W33">
        <v>7473.2260740000002</v>
      </c>
      <c r="X33">
        <v>7568.1606449999999</v>
      </c>
      <c r="Y33">
        <v>7598.4575199999999</v>
      </c>
      <c r="Z33">
        <v>7584.5786129999997</v>
      </c>
      <c r="AA33">
        <v>7533.7104490000002</v>
      </c>
      <c r="AB33">
        <v>7474.4926759999998</v>
      </c>
      <c r="AC33">
        <v>7418.140625</v>
      </c>
      <c r="AD33">
        <v>7350.0405270000001</v>
      </c>
      <c r="AE33">
        <v>7360.4951170000004</v>
      </c>
      <c r="AF33">
        <v>7348.8803710000002</v>
      </c>
      <c r="AG33">
        <v>7314.7827150000003</v>
      </c>
      <c r="AH33">
        <v>7349.1044920000004</v>
      </c>
      <c r="AI33">
        <v>7361.6455079999996</v>
      </c>
      <c r="AJ33" s="71">
        <v>-6.0000000000000001E-3</v>
      </c>
    </row>
    <row r="34" spans="1:36" x14ac:dyDescent="0.75">
      <c r="A34" t="s">
        <v>176</v>
      </c>
    </row>
    <row r="35" spans="1:36" x14ac:dyDescent="0.75">
      <c r="A35" t="s">
        <v>116</v>
      </c>
      <c r="B35" t="s">
        <v>177</v>
      </c>
      <c r="C35" t="s">
        <v>178</v>
      </c>
      <c r="D35" t="s">
        <v>108</v>
      </c>
      <c r="F35">
        <v>596.27099599999997</v>
      </c>
      <c r="G35">
        <v>546.36578399999996</v>
      </c>
      <c r="H35">
        <v>560.06811500000003</v>
      </c>
      <c r="I35">
        <v>574.928406</v>
      </c>
      <c r="J35">
        <v>576.18988000000002</v>
      </c>
      <c r="K35">
        <v>576.79669200000001</v>
      </c>
      <c r="L35">
        <v>569.94995100000006</v>
      </c>
      <c r="M35">
        <v>568.57684300000005</v>
      </c>
      <c r="N35">
        <v>566.88085899999999</v>
      </c>
      <c r="O35">
        <v>560.06951900000001</v>
      </c>
      <c r="P35">
        <v>554.92858899999999</v>
      </c>
      <c r="Q35">
        <v>552.00311299999998</v>
      </c>
      <c r="R35">
        <v>551.68054199999995</v>
      </c>
      <c r="S35">
        <v>538.38372800000002</v>
      </c>
      <c r="T35">
        <v>525.73877000000005</v>
      </c>
      <c r="U35">
        <v>519.98260500000004</v>
      </c>
      <c r="V35">
        <v>519.21203600000001</v>
      </c>
      <c r="W35">
        <v>522.88903800000003</v>
      </c>
      <c r="X35">
        <v>529.97515899999996</v>
      </c>
      <c r="Y35">
        <v>532.82470699999999</v>
      </c>
      <c r="Z35">
        <v>532.42767300000003</v>
      </c>
      <c r="AA35">
        <v>529.45483400000001</v>
      </c>
      <c r="AB35">
        <v>525.90850799999998</v>
      </c>
      <c r="AC35">
        <v>522.56658900000002</v>
      </c>
      <c r="AD35">
        <v>518.38085899999999</v>
      </c>
      <c r="AE35">
        <v>519.85076900000001</v>
      </c>
      <c r="AF35">
        <v>519.60534700000005</v>
      </c>
      <c r="AG35">
        <v>517.68316700000003</v>
      </c>
      <c r="AH35">
        <v>520.55609100000004</v>
      </c>
      <c r="AI35">
        <v>521.65747099999999</v>
      </c>
      <c r="AJ35" s="71">
        <v>-5.0000000000000001E-3</v>
      </c>
    </row>
    <row r="36" spans="1:36" x14ac:dyDescent="0.75">
      <c r="A36" t="s">
        <v>119</v>
      </c>
      <c r="B36" t="s">
        <v>179</v>
      </c>
      <c r="C36" t="s">
        <v>180</v>
      </c>
      <c r="D36" t="s">
        <v>108</v>
      </c>
      <c r="F36">
        <v>9.3778E-2</v>
      </c>
      <c r="G36">
        <v>8.4561999999999998E-2</v>
      </c>
      <c r="H36">
        <v>8.3866999999999997E-2</v>
      </c>
      <c r="I36">
        <v>8.2933999999999994E-2</v>
      </c>
      <c r="J36">
        <v>7.9842999999999997E-2</v>
      </c>
      <c r="K36">
        <v>7.6699000000000003E-2</v>
      </c>
      <c r="L36">
        <v>7.2664999999999993E-2</v>
      </c>
      <c r="M36">
        <v>6.9365999999999997E-2</v>
      </c>
      <c r="N36">
        <v>6.6087999999999994E-2</v>
      </c>
      <c r="O36">
        <v>6.2316000000000003E-2</v>
      </c>
      <c r="P36">
        <v>5.8749999999999997E-2</v>
      </c>
      <c r="Q36">
        <v>5.5550000000000002E-2</v>
      </c>
      <c r="R36">
        <v>5.2555999999999999E-2</v>
      </c>
      <c r="S36">
        <v>4.8385999999999998E-2</v>
      </c>
      <c r="T36">
        <v>4.4403999999999999E-2</v>
      </c>
      <c r="U36">
        <v>4.1073999999999999E-2</v>
      </c>
      <c r="V36">
        <v>3.8148000000000001E-2</v>
      </c>
      <c r="W36">
        <v>3.5541000000000003E-2</v>
      </c>
      <c r="X36">
        <v>3.3077000000000002E-2</v>
      </c>
      <c r="Y36">
        <v>3.0315999999999999E-2</v>
      </c>
      <c r="Z36">
        <v>2.7324000000000001E-2</v>
      </c>
      <c r="AA36">
        <v>2.4208E-2</v>
      </c>
      <c r="AB36">
        <v>2.1094999999999999E-2</v>
      </c>
      <c r="AC36">
        <v>1.7999999999999999E-2</v>
      </c>
      <c r="AD36">
        <v>1.4900999999999999E-2</v>
      </c>
      <c r="AE36">
        <v>1.1975E-2</v>
      </c>
      <c r="AF36">
        <v>8.9910000000000007E-3</v>
      </c>
      <c r="AG36">
        <v>5.9810000000000002E-3</v>
      </c>
      <c r="AH36">
        <v>3.0119999999999999E-3</v>
      </c>
      <c r="AI36">
        <v>0</v>
      </c>
      <c r="AJ36" t="s">
        <v>136</v>
      </c>
    </row>
    <row r="37" spans="1:36" x14ac:dyDescent="0.75">
      <c r="A37" t="s">
        <v>122</v>
      </c>
      <c r="B37" t="s">
        <v>181</v>
      </c>
      <c r="C37" t="s">
        <v>182</v>
      </c>
      <c r="D37" t="s">
        <v>108</v>
      </c>
      <c r="F37">
        <v>28.579189</v>
      </c>
      <c r="G37">
        <v>37.799796999999998</v>
      </c>
      <c r="H37">
        <v>46.339046000000003</v>
      </c>
      <c r="I37">
        <v>54.261100999999996</v>
      </c>
      <c r="J37">
        <v>58.176040999999998</v>
      </c>
      <c r="K37">
        <v>61.655929999999998</v>
      </c>
      <c r="L37">
        <v>64.917702000000006</v>
      </c>
      <c r="M37">
        <v>68.914390999999995</v>
      </c>
      <c r="N37">
        <v>73.443618999999998</v>
      </c>
      <c r="O37">
        <v>78.091064000000003</v>
      </c>
      <c r="P37">
        <v>80.645233000000005</v>
      </c>
      <c r="Q37">
        <v>85.000327999999996</v>
      </c>
      <c r="R37">
        <v>88.585280999999995</v>
      </c>
      <c r="S37">
        <v>89.981232000000006</v>
      </c>
      <c r="T37">
        <v>91.31456</v>
      </c>
      <c r="U37">
        <v>93.395668000000001</v>
      </c>
      <c r="V37">
        <v>96.163764999999998</v>
      </c>
      <c r="W37">
        <v>99.826248000000007</v>
      </c>
      <c r="X37">
        <v>103.860428</v>
      </c>
      <c r="Y37">
        <v>107.462875</v>
      </c>
      <c r="Z37">
        <v>110.179092</v>
      </c>
      <c r="AA37">
        <v>112.399666</v>
      </c>
      <c r="AB37">
        <v>114.578751</v>
      </c>
      <c r="AC37">
        <v>116.570374</v>
      </c>
      <c r="AD37">
        <v>118.287209</v>
      </c>
      <c r="AE37">
        <v>121.47287799999999</v>
      </c>
      <c r="AF37">
        <v>124.279961</v>
      </c>
      <c r="AG37">
        <v>126.766396</v>
      </c>
      <c r="AH37">
        <v>130.59278900000001</v>
      </c>
      <c r="AI37">
        <v>133.894745</v>
      </c>
      <c r="AJ37" s="71">
        <v>5.5E-2</v>
      </c>
    </row>
    <row r="38" spans="1:36" x14ac:dyDescent="0.75">
      <c r="A38" t="s">
        <v>125</v>
      </c>
      <c r="B38" t="s">
        <v>183</v>
      </c>
      <c r="C38" t="s">
        <v>184</v>
      </c>
      <c r="D38" t="s">
        <v>108</v>
      </c>
      <c r="F38">
        <v>116.33712800000001</v>
      </c>
      <c r="G38">
        <v>128.26812699999999</v>
      </c>
      <c r="H38">
        <v>155.00762900000001</v>
      </c>
      <c r="I38">
        <v>182.89810199999999</v>
      </c>
      <c r="J38">
        <v>195.789841</v>
      </c>
      <c r="K38">
        <v>205.34196499999999</v>
      </c>
      <c r="L38">
        <v>213.27427700000001</v>
      </c>
      <c r="M38">
        <v>223.44061300000001</v>
      </c>
      <c r="N38">
        <v>236.342468</v>
      </c>
      <c r="O38">
        <v>247.95652799999999</v>
      </c>
      <c r="P38">
        <v>258.85949699999998</v>
      </c>
      <c r="Q38">
        <v>282.15914900000001</v>
      </c>
      <c r="R38">
        <v>301.43454000000003</v>
      </c>
      <c r="S38">
        <v>312.80041499999999</v>
      </c>
      <c r="T38">
        <v>324.20504799999998</v>
      </c>
      <c r="U38">
        <v>337.032623</v>
      </c>
      <c r="V38">
        <v>352.85296599999998</v>
      </c>
      <c r="W38">
        <v>373.29519699999997</v>
      </c>
      <c r="X38">
        <v>393.44055200000003</v>
      </c>
      <c r="Y38">
        <v>416.24755900000002</v>
      </c>
      <c r="Z38">
        <v>434.52276599999999</v>
      </c>
      <c r="AA38">
        <v>451.46810900000003</v>
      </c>
      <c r="AB38">
        <v>469.557098</v>
      </c>
      <c r="AC38">
        <v>484.46343999999999</v>
      </c>
      <c r="AD38">
        <v>496.07870500000001</v>
      </c>
      <c r="AE38">
        <v>515.07562299999995</v>
      </c>
      <c r="AF38">
        <v>530.70703100000003</v>
      </c>
      <c r="AG38">
        <v>543.75414999999998</v>
      </c>
      <c r="AH38">
        <v>562.824341</v>
      </c>
      <c r="AI38">
        <v>573.33343500000001</v>
      </c>
      <c r="AJ38" s="71">
        <v>5.7000000000000002E-2</v>
      </c>
    </row>
    <row r="39" spans="1:36" x14ac:dyDescent="0.75">
      <c r="A39" t="s">
        <v>128</v>
      </c>
      <c r="B39" t="s">
        <v>185</v>
      </c>
      <c r="C39" t="s">
        <v>130</v>
      </c>
      <c r="D39" t="s">
        <v>108</v>
      </c>
      <c r="F39">
        <v>55.057670999999999</v>
      </c>
      <c r="G39">
        <v>53.127327000000001</v>
      </c>
      <c r="H39">
        <v>53.622996999999998</v>
      </c>
      <c r="I39">
        <v>53.152264000000002</v>
      </c>
      <c r="J39">
        <v>51.774372</v>
      </c>
      <c r="K39">
        <v>51.004989999999999</v>
      </c>
      <c r="L39">
        <v>50.355651999999999</v>
      </c>
      <c r="M39">
        <v>50.621254</v>
      </c>
      <c r="N39">
        <v>51.208556999999999</v>
      </c>
      <c r="O39">
        <v>52.072277</v>
      </c>
      <c r="P39">
        <v>53.217650999999996</v>
      </c>
      <c r="Q39">
        <v>55.713206999999997</v>
      </c>
      <c r="R39">
        <v>57.525776</v>
      </c>
      <c r="S39">
        <v>58.145057999999999</v>
      </c>
      <c r="T39">
        <v>58.647334999999998</v>
      </c>
      <c r="U39">
        <v>59.694374000000003</v>
      </c>
      <c r="V39">
        <v>61.187140999999997</v>
      </c>
      <c r="W39">
        <v>63.272671000000003</v>
      </c>
      <c r="X39">
        <v>65.542450000000002</v>
      </c>
      <c r="Y39">
        <v>67.744652000000002</v>
      </c>
      <c r="Z39">
        <v>69.149833999999998</v>
      </c>
      <c r="AA39">
        <v>70.186065999999997</v>
      </c>
      <c r="AB39">
        <v>71.208481000000006</v>
      </c>
      <c r="AC39">
        <v>71.972328000000005</v>
      </c>
      <c r="AD39">
        <v>72.425597999999994</v>
      </c>
      <c r="AE39">
        <v>73.737701000000001</v>
      </c>
      <c r="AF39">
        <v>74.667357999999993</v>
      </c>
      <c r="AG39">
        <v>75.298148999999995</v>
      </c>
      <c r="AH39">
        <v>76.662216000000001</v>
      </c>
      <c r="AI39">
        <v>77.354256000000007</v>
      </c>
      <c r="AJ39" s="71">
        <v>1.2E-2</v>
      </c>
    </row>
    <row r="40" spans="1:36" x14ac:dyDescent="0.75">
      <c r="A40" t="s">
        <v>131</v>
      </c>
      <c r="B40" t="s">
        <v>186</v>
      </c>
      <c r="C40" t="s">
        <v>130</v>
      </c>
      <c r="D40" t="s">
        <v>108</v>
      </c>
      <c r="F40">
        <v>36.218811000000002</v>
      </c>
      <c r="G40">
        <v>154.586761</v>
      </c>
      <c r="H40">
        <v>190.44366500000001</v>
      </c>
      <c r="I40">
        <v>194.14935299999999</v>
      </c>
      <c r="J40">
        <v>189.67103599999999</v>
      </c>
      <c r="K40">
        <v>186.11908</v>
      </c>
      <c r="L40">
        <v>182.59335300000001</v>
      </c>
      <c r="M40">
        <v>182.38986199999999</v>
      </c>
      <c r="N40">
        <v>183.34767199999999</v>
      </c>
      <c r="O40">
        <v>185.21614099999999</v>
      </c>
      <c r="P40">
        <v>188.22491500000001</v>
      </c>
      <c r="Q40">
        <v>195.500427</v>
      </c>
      <c r="R40">
        <v>201.602203</v>
      </c>
      <c r="S40">
        <v>202.48445100000001</v>
      </c>
      <c r="T40">
        <v>203.07191499999999</v>
      </c>
      <c r="U40">
        <v>205.48602299999999</v>
      </c>
      <c r="V40">
        <v>209.44358800000001</v>
      </c>
      <c r="W40">
        <v>215.51011700000001</v>
      </c>
      <c r="X40">
        <v>222.27899199999999</v>
      </c>
      <c r="Y40">
        <v>228.56625399999999</v>
      </c>
      <c r="Z40">
        <v>232.799881</v>
      </c>
      <c r="AA40">
        <v>235.78497300000001</v>
      </c>
      <c r="AB40">
        <v>238.747772</v>
      </c>
      <c r="AC40">
        <v>241.03796399999999</v>
      </c>
      <c r="AD40">
        <v>242.18598900000001</v>
      </c>
      <c r="AE40">
        <v>246.25103799999999</v>
      </c>
      <c r="AF40">
        <v>249.15150499999999</v>
      </c>
      <c r="AG40">
        <v>250.96052599999999</v>
      </c>
      <c r="AH40">
        <v>255.18679800000001</v>
      </c>
      <c r="AI40">
        <v>257.30136099999999</v>
      </c>
      <c r="AJ40" s="71">
        <v>7.0000000000000007E-2</v>
      </c>
    </row>
    <row r="41" spans="1:36" x14ac:dyDescent="0.75">
      <c r="A41" t="s">
        <v>133</v>
      </c>
      <c r="B41" t="s">
        <v>187</v>
      </c>
      <c r="C41" t="s">
        <v>188</v>
      </c>
      <c r="D41" t="s">
        <v>108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t="s">
        <v>136</v>
      </c>
    </row>
    <row r="42" spans="1:36" x14ac:dyDescent="0.75">
      <c r="A42" t="s">
        <v>137</v>
      </c>
      <c r="B42" t="s">
        <v>189</v>
      </c>
      <c r="C42" t="s">
        <v>190</v>
      </c>
      <c r="D42" t="s">
        <v>108</v>
      </c>
      <c r="F42">
        <v>458.01428199999998</v>
      </c>
      <c r="G42">
        <v>501.93493699999999</v>
      </c>
      <c r="H42">
        <v>547.27465800000004</v>
      </c>
      <c r="I42">
        <v>565.82757600000002</v>
      </c>
      <c r="J42">
        <v>565.51458700000001</v>
      </c>
      <c r="K42">
        <v>565.17663600000003</v>
      </c>
      <c r="L42">
        <v>560.31372099999999</v>
      </c>
      <c r="M42">
        <v>561.88214100000005</v>
      </c>
      <c r="N42">
        <v>563.16980000000001</v>
      </c>
      <c r="O42">
        <v>562.63098100000002</v>
      </c>
      <c r="P42">
        <v>562.89172399999995</v>
      </c>
      <c r="Q42">
        <v>570.48767099999998</v>
      </c>
      <c r="R42">
        <v>576.23821999999996</v>
      </c>
      <c r="S42">
        <v>567.89605700000004</v>
      </c>
      <c r="T42">
        <v>558.94799799999998</v>
      </c>
      <c r="U42">
        <v>556.03161599999999</v>
      </c>
      <c r="V42">
        <v>558.466858</v>
      </c>
      <c r="W42">
        <v>566.629639</v>
      </c>
      <c r="X42">
        <v>576.86871299999996</v>
      </c>
      <c r="Y42">
        <v>585.97894299999996</v>
      </c>
      <c r="Z42">
        <v>589.79345699999999</v>
      </c>
      <c r="AA42">
        <v>590.86480700000004</v>
      </c>
      <c r="AB42">
        <v>591.52166699999998</v>
      </c>
      <c r="AC42">
        <v>591.03228799999999</v>
      </c>
      <c r="AD42">
        <v>588.61328100000003</v>
      </c>
      <c r="AE42">
        <v>593.19030799999996</v>
      </c>
      <c r="AF42">
        <v>595.053406</v>
      </c>
      <c r="AG42">
        <v>594.78008999999997</v>
      </c>
      <c r="AH42">
        <v>600.26403800000003</v>
      </c>
      <c r="AI42">
        <v>601.24218800000006</v>
      </c>
      <c r="AJ42" s="71">
        <v>8.9999999999999993E-3</v>
      </c>
    </row>
    <row r="43" spans="1:36" x14ac:dyDescent="0.75">
      <c r="A43" t="s">
        <v>140</v>
      </c>
      <c r="B43" t="s">
        <v>191</v>
      </c>
      <c r="C43" t="s">
        <v>192</v>
      </c>
      <c r="D43" t="s">
        <v>108</v>
      </c>
      <c r="F43">
        <v>0.110323</v>
      </c>
      <c r="G43">
        <v>0.137763</v>
      </c>
      <c r="H43">
        <v>0.183253</v>
      </c>
      <c r="I43">
        <v>0.23328199999999999</v>
      </c>
      <c r="J43">
        <v>0.25928400000000001</v>
      </c>
      <c r="K43">
        <v>0.269482</v>
      </c>
      <c r="L43">
        <v>0.27029700000000001</v>
      </c>
      <c r="M43">
        <v>0.26854499999999998</v>
      </c>
      <c r="N43">
        <v>0.26186599999999999</v>
      </c>
      <c r="O43">
        <v>0.26164300000000001</v>
      </c>
      <c r="P43">
        <v>0.25868000000000002</v>
      </c>
      <c r="Q43">
        <v>0.26290200000000002</v>
      </c>
      <c r="R43">
        <v>0.26259500000000002</v>
      </c>
      <c r="S43">
        <v>0.25814100000000001</v>
      </c>
      <c r="T43">
        <v>0.25338300000000002</v>
      </c>
      <c r="U43">
        <v>0.25079400000000002</v>
      </c>
      <c r="V43">
        <v>0.25117600000000001</v>
      </c>
      <c r="W43">
        <v>0.25495699999999999</v>
      </c>
      <c r="X43">
        <v>0.25800600000000001</v>
      </c>
      <c r="Y43">
        <v>0.26522499999999999</v>
      </c>
      <c r="Z43">
        <v>0.26688400000000001</v>
      </c>
      <c r="AA43">
        <v>0.27162900000000001</v>
      </c>
      <c r="AB43">
        <v>0.277702</v>
      </c>
      <c r="AC43">
        <v>0.28060000000000002</v>
      </c>
      <c r="AD43">
        <v>0.28139700000000001</v>
      </c>
      <c r="AE43">
        <v>0.28559200000000001</v>
      </c>
      <c r="AF43">
        <v>0.28731699999999999</v>
      </c>
      <c r="AG43">
        <v>0.28775299999999998</v>
      </c>
      <c r="AH43">
        <v>0.29196899999999998</v>
      </c>
      <c r="AI43">
        <v>0.29115400000000002</v>
      </c>
      <c r="AJ43" s="71">
        <v>3.4000000000000002E-2</v>
      </c>
    </row>
    <row r="44" spans="1:36" x14ac:dyDescent="0.75">
      <c r="A44" t="s">
        <v>143</v>
      </c>
      <c r="B44" t="s">
        <v>193</v>
      </c>
      <c r="C44" t="s">
        <v>194</v>
      </c>
      <c r="D44" t="s">
        <v>108</v>
      </c>
      <c r="F44">
        <v>2.1523E-2</v>
      </c>
      <c r="G44">
        <v>2.2523000000000001E-2</v>
      </c>
      <c r="H44">
        <v>2.3244999999999998E-2</v>
      </c>
      <c r="I44">
        <v>2.4621000000000001E-2</v>
      </c>
      <c r="J44">
        <v>2.5132999999999999E-2</v>
      </c>
      <c r="K44">
        <v>2.5956E-2</v>
      </c>
      <c r="L44">
        <v>2.6793999999999998E-2</v>
      </c>
      <c r="M44">
        <v>2.7444E-2</v>
      </c>
      <c r="N44">
        <v>2.7904000000000002E-2</v>
      </c>
      <c r="O44">
        <v>2.8843000000000001E-2</v>
      </c>
      <c r="P44">
        <v>2.9156000000000001E-2</v>
      </c>
      <c r="Q44">
        <v>3.0003999999999999E-2</v>
      </c>
      <c r="R44">
        <v>3.0705E-2</v>
      </c>
      <c r="S44">
        <v>3.0901000000000001E-2</v>
      </c>
      <c r="T44">
        <v>3.1073E-2</v>
      </c>
      <c r="U44">
        <v>3.1642999999999998E-2</v>
      </c>
      <c r="V44">
        <v>3.2497999999999999E-2</v>
      </c>
      <c r="W44">
        <v>3.3938999999999997E-2</v>
      </c>
      <c r="X44">
        <v>3.4952999999999998E-2</v>
      </c>
      <c r="Y44">
        <v>3.7253000000000001E-2</v>
      </c>
      <c r="Z44">
        <v>3.8560999999999998E-2</v>
      </c>
      <c r="AA44">
        <v>4.0196000000000003E-2</v>
      </c>
      <c r="AB44">
        <v>4.2286999999999998E-2</v>
      </c>
      <c r="AC44">
        <v>4.3834999999999999E-2</v>
      </c>
      <c r="AD44">
        <v>4.5184000000000002E-2</v>
      </c>
      <c r="AE44">
        <v>4.7343000000000003E-2</v>
      </c>
      <c r="AF44">
        <v>4.9064999999999998E-2</v>
      </c>
      <c r="AG44">
        <v>5.0527000000000002E-2</v>
      </c>
      <c r="AH44">
        <v>5.2706999999999997E-2</v>
      </c>
      <c r="AI44">
        <v>5.3215999999999999E-2</v>
      </c>
      <c r="AJ44" s="71">
        <v>3.2000000000000001E-2</v>
      </c>
    </row>
    <row r="45" spans="1:36" x14ac:dyDescent="0.75">
      <c r="A45" t="s">
        <v>146</v>
      </c>
      <c r="B45" t="s">
        <v>195</v>
      </c>
      <c r="C45" t="s">
        <v>196</v>
      </c>
      <c r="D45" t="s">
        <v>108</v>
      </c>
      <c r="F45">
        <v>0.454287</v>
      </c>
      <c r="G45">
        <v>0.61953199999999997</v>
      </c>
      <c r="H45">
        <v>0.69791700000000001</v>
      </c>
      <c r="I45">
        <v>0.73194599999999999</v>
      </c>
      <c r="J45">
        <v>0.74988699999999997</v>
      </c>
      <c r="K45">
        <v>0.77173599999999998</v>
      </c>
      <c r="L45">
        <v>0.785443</v>
      </c>
      <c r="M45">
        <v>0.79760399999999998</v>
      </c>
      <c r="N45">
        <v>0.80721799999999999</v>
      </c>
      <c r="O45">
        <v>0.821994</v>
      </c>
      <c r="P45">
        <v>0.82895200000000002</v>
      </c>
      <c r="Q45">
        <v>0.86267899999999997</v>
      </c>
      <c r="R45">
        <v>0.88248800000000005</v>
      </c>
      <c r="S45">
        <v>0.88968400000000003</v>
      </c>
      <c r="T45">
        <v>0.89937299999999998</v>
      </c>
      <c r="U45">
        <v>0.91783199999999998</v>
      </c>
      <c r="V45">
        <v>0.94411299999999998</v>
      </c>
      <c r="W45">
        <v>0.98437600000000003</v>
      </c>
      <c r="X45">
        <v>1.0265660000000001</v>
      </c>
      <c r="Y45">
        <v>1.076635</v>
      </c>
      <c r="Z45">
        <v>1.1149789999999999</v>
      </c>
      <c r="AA45">
        <v>1.1537139999999999</v>
      </c>
      <c r="AB45">
        <v>1.190774</v>
      </c>
      <c r="AC45">
        <v>1.2256609999999999</v>
      </c>
      <c r="AD45">
        <v>1.2712019999999999</v>
      </c>
      <c r="AE45">
        <v>1.3486309999999999</v>
      </c>
      <c r="AF45">
        <v>1.4238010000000001</v>
      </c>
      <c r="AG45">
        <v>1.489571</v>
      </c>
      <c r="AH45">
        <v>1.572449</v>
      </c>
      <c r="AI45">
        <v>1.6329180000000001</v>
      </c>
      <c r="AJ45" s="71">
        <v>4.4999999999999998E-2</v>
      </c>
    </row>
    <row r="46" spans="1:36" x14ac:dyDescent="0.75">
      <c r="A46" t="s">
        <v>149</v>
      </c>
      <c r="B46" t="s">
        <v>197</v>
      </c>
      <c r="C46" t="s">
        <v>198</v>
      </c>
      <c r="D46" t="s">
        <v>108</v>
      </c>
      <c r="F46">
        <v>5.8349999999999999E-3</v>
      </c>
      <c r="G46">
        <v>5.803E-3</v>
      </c>
      <c r="H46">
        <v>6.4859999999999996E-3</v>
      </c>
      <c r="I46">
        <v>6.6709999999999998E-3</v>
      </c>
      <c r="J46">
        <v>6.7279999999999996E-3</v>
      </c>
      <c r="K46">
        <v>6.8190000000000004E-3</v>
      </c>
      <c r="L46">
        <v>6.8370000000000002E-3</v>
      </c>
      <c r="M46">
        <v>6.7780000000000002E-3</v>
      </c>
      <c r="N46">
        <v>6.7070000000000003E-3</v>
      </c>
      <c r="O46">
        <v>6.7419999999999997E-3</v>
      </c>
      <c r="P46">
        <v>6.6670000000000002E-3</v>
      </c>
      <c r="Q46">
        <v>7.0340000000000003E-3</v>
      </c>
      <c r="R46">
        <v>7.0559999999999998E-3</v>
      </c>
      <c r="S46">
        <v>7.0060000000000001E-3</v>
      </c>
      <c r="T46">
        <v>7.0140000000000003E-3</v>
      </c>
      <c r="U46">
        <v>7.0619999999999997E-3</v>
      </c>
      <c r="V46">
        <v>7.123E-3</v>
      </c>
      <c r="W46">
        <v>7.3049999999999999E-3</v>
      </c>
      <c r="X46">
        <v>7.45E-3</v>
      </c>
      <c r="Y46">
        <v>7.7349999999999997E-3</v>
      </c>
      <c r="Z46">
        <v>7.8759999999999993E-3</v>
      </c>
      <c r="AA46">
        <v>8.0409999999999995E-3</v>
      </c>
      <c r="AB46">
        <v>8.1890000000000001E-3</v>
      </c>
      <c r="AC46">
        <v>8.2909999999999998E-3</v>
      </c>
      <c r="AD46">
        <v>8.4980000000000003E-3</v>
      </c>
      <c r="AE46">
        <v>8.9510000000000006E-3</v>
      </c>
      <c r="AF46">
        <v>9.3039999999999998E-3</v>
      </c>
      <c r="AG46">
        <v>9.5560000000000003E-3</v>
      </c>
      <c r="AH46">
        <v>9.92E-3</v>
      </c>
      <c r="AI46">
        <v>1.0041E-2</v>
      </c>
      <c r="AJ46" s="71">
        <v>1.9E-2</v>
      </c>
    </row>
    <row r="47" spans="1:36" x14ac:dyDescent="0.75">
      <c r="A47" t="s">
        <v>151</v>
      </c>
      <c r="B47" t="s">
        <v>199</v>
      </c>
      <c r="C47" t="s">
        <v>200</v>
      </c>
      <c r="D47" t="s">
        <v>108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t="s">
        <v>136</v>
      </c>
    </row>
    <row r="48" spans="1:36" x14ac:dyDescent="0.75">
      <c r="A48" t="s">
        <v>154</v>
      </c>
      <c r="B48" t="s">
        <v>201</v>
      </c>
      <c r="C48" t="s">
        <v>202</v>
      </c>
      <c r="D48" t="s">
        <v>108</v>
      </c>
      <c r="F48">
        <v>6.3100000000000005E-4</v>
      </c>
      <c r="G48">
        <v>3.9240000000000004E-3</v>
      </c>
      <c r="H48">
        <v>7.607E-3</v>
      </c>
      <c r="I48">
        <v>1.1663E-2</v>
      </c>
      <c r="J48">
        <v>1.6934000000000001E-2</v>
      </c>
      <c r="K48">
        <v>2.146E-2</v>
      </c>
      <c r="L48">
        <v>2.5975000000000002E-2</v>
      </c>
      <c r="M48">
        <v>3.1001000000000001E-2</v>
      </c>
      <c r="N48">
        <v>3.6346000000000003E-2</v>
      </c>
      <c r="O48">
        <v>4.1800999999999998E-2</v>
      </c>
      <c r="P48">
        <v>4.7445000000000001E-2</v>
      </c>
      <c r="Q48">
        <v>5.4151999999999999E-2</v>
      </c>
      <c r="R48">
        <v>6.1150000000000003E-2</v>
      </c>
      <c r="S48">
        <v>6.6989000000000007E-2</v>
      </c>
      <c r="T48">
        <v>7.3028999999999997E-2</v>
      </c>
      <c r="U48">
        <v>8.0170000000000005E-2</v>
      </c>
      <c r="V48">
        <v>8.8482000000000005E-2</v>
      </c>
      <c r="W48">
        <v>9.8235000000000003E-2</v>
      </c>
      <c r="X48">
        <v>0.108999</v>
      </c>
      <c r="Y48">
        <v>0.120353</v>
      </c>
      <c r="Z48">
        <v>0.13120999999999999</v>
      </c>
      <c r="AA48">
        <v>0.142038</v>
      </c>
      <c r="AB48">
        <v>0.153393</v>
      </c>
      <c r="AC48">
        <v>0.16478300000000001</v>
      </c>
      <c r="AD48">
        <v>0.176149</v>
      </c>
      <c r="AE48">
        <v>0.19006200000000001</v>
      </c>
      <c r="AF48">
        <v>0.20350299999999999</v>
      </c>
      <c r="AG48">
        <v>0.21637600000000001</v>
      </c>
      <c r="AH48">
        <v>0.232098</v>
      </c>
      <c r="AI48">
        <v>0.245919</v>
      </c>
      <c r="AJ48" s="71">
        <v>0.22800000000000001</v>
      </c>
    </row>
    <row r="49" spans="1:36" x14ac:dyDescent="0.75">
      <c r="A49" t="s">
        <v>203</v>
      </c>
      <c r="B49" t="s">
        <v>204</v>
      </c>
      <c r="C49" t="s">
        <v>205</v>
      </c>
      <c r="D49" t="s">
        <v>108</v>
      </c>
      <c r="F49">
        <v>1291.1644289999999</v>
      </c>
      <c r="G49">
        <v>1422.9570309999999</v>
      </c>
      <c r="H49">
        <v>1553.7583010000001</v>
      </c>
      <c r="I49">
        <v>1626.3079829999999</v>
      </c>
      <c r="J49">
        <v>1638.2535399999999</v>
      </c>
      <c r="K49">
        <v>1647.267578</v>
      </c>
      <c r="L49">
        <v>1642.5926509999999</v>
      </c>
      <c r="M49">
        <v>1657.025879</v>
      </c>
      <c r="N49">
        <v>1675.599121</v>
      </c>
      <c r="O49">
        <v>1687.2597659999999</v>
      </c>
      <c r="P49">
        <v>1699.997437</v>
      </c>
      <c r="Q49">
        <v>1742.1363530000001</v>
      </c>
      <c r="R49">
        <v>1778.363159</v>
      </c>
      <c r="S49">
        <v>1770.9920649999999</v>
      </c>
      <c r="T49">
        <v>1763.234009</v>
      </c>
      <c r="U49">
        <v>1772.951538</v>
      </c>
      <c r="V49">
        <v>1798.687866</v>
      </c>
      <c r="W49">
        <v>1842.83728</v>
      </c>
      <c r="X49">
        <v>1893.4354249999999</v>
      </c>
      <c r="Y49">
        <v>1940.3625489999999</v>
      </c>
      <c r="Z49">
        <v>1970.459595</v>
      </c>
      <c r="AA49">
        <v>1991.7983400000001</v>
      </c>
      <c r="AB49">
        <v>2013.2158199999999</v>
      </c>
      <c r="AC49">
        <v>2029.3842770000001</v>
      </c>
      <c r="AD49">
        <v>2037.769043</v>
      </c>
      <c r="AE49">
        <v>2071.470703</v>
      </c>
      <c r="AF49">
        <v>2095.4467770000001</v>
      </c>
      <c r="AG49">
        <v>2111.3022460000002</v>
      </c>
      <c r="AH49">
        <v>2148.2485350000002</v>
      </c>
      <c r="AI49">
        <v>2167.0166020000001</v>
      </c>
      <c r="AJ49" s="71">
        <v>1.7999999999999999E-2</v>
      </c>
    </row>
    <row r="50" spans="1:36" x14ac:dyDescent="0.75">
      <c r="A50" t="s">
        <v>206</v>
      </c>
      <c r="B50" t="s">
        <v>207</v>
      </c>
      <c r="C50" t="s">
        <v>208</v>
      </c>
      <c r="D50" t="s">
        <v>163</v>
      </c>
      <c r="F50">
        <v>12.831943000000001</v>
      </c>
      <c r="G50">
        <v>15.115688</v>
      </c>
      <c r="H50">
        <v>15.97639</v>
      </c>
      <c r="I50">
        <v>16.274401000000001</v>
      </c>
      <c r="J50">
        <v>16.361270999999999</v>
      </c>
      <c r="K50">
        <v>16.438116000000001</v>
      </c>
      <c r="L50">
        <v>16.579166000000001</v>
      </c>
      <c r="M50">
        <v>16.751884</v>
      </c>
      <c r="N50">
        <v>16.966229999999999</v>
      </c>
      <c r="O50">
        <v>17.253309000000002</v>
      </c>
      <c r="P50">
        <v>17.510619999999999</v>
      </c>
      <c r="Q50">
        <v>17.982088000000001</v>
      </c>
      <c r="R50">
        <v>18.314347999999999</v>
      </c>
      <c r="S50">
        <v>18.632486</v>
      </c>
      <c r="T50">
        <v>18.945323999999999</v>
      </c>
      <c r="U50">
        <v>19.216526000000002</v>
      </c>
      <c r="V50">
        <v>19.489274999999999</v>
      </c>
      <c r="W50">
        <v>19.781286000000001</v>
      </c>
      <c r="X50">
        <v>20.011797000000001</v>
      </c>
      <c r="Y50">
        <v>20.341745</v>
      </c>
      <c r="Z50">
        <v>20.622205999999998</v>
      </c>
      <c r="AA50">
        <v>20.910150999999999</v>
      </c>
      <c r="AB50">
        <v>21.219197999999999</v>
      </c>
      <c r="AC50">
        <v>21.480591</v>
      </c>
      <c r="AD50">
        <v>21.706543</v>
      </c>
      <c r="AE50">
        <v>21.962237999999999</v>
      </c>
      <c r="AF50">
        <v>22.187359000000001</v>
      </c>
      <c r="AG50">
        <v>22.398506000000001</v>
      </c>
      <c r="AH50">
        <v>22.619444000000001</v>
      </c>
      <c r="AI50">
        <v>22.742086</v>
      </c>
      <c r="AJ50" s="71">
        <v>0.02</v>
      </c>
    </row>
    <row r="51" spans="1:36" x14ac:dyDescent="0.75">
      <c r="A51" t="s">
        <v>209</v>
      </c>
      <c r="B51" t="s">
        <v>210</v>
      </c>
      <c r="C51" t="s">
        <v>211</v>
      </c>
      <c r="D51" t="s">
        <v>108</v>
      </c>
      <c r="F51">
        <v>10062.111328000001</v>
      </c>
      <c r="G51">
        <v>9413.7753909999992</v>
      </c>
      <c r="H51">
        <v>9725.3398440000001</v>
      </c>
      <c r="I51">
        <v>9993.0439449999994</v>
      </c>
      <c r="J51">
        <v>10012.997069999999</v>
      </c>
      <c r="K51">
        <v>10021.024414</v>
      </c>
      <c r="L51">
        <v>9907.5712889999995</v>
      </c>
      <c r="M51">
        <v>9891.578125</v>
      </c>
      <c r="N51">
        <v>9876.0839840000008</v>
      </c>
      <c r="O51">
        <v>9779.3398440000001</v>
      </c>
      <c r="P51">
        <v>9708.3798829999996</v>
      </c>
      <c r="Q51">
        <v>9688.1757809999999</v>
      </c>
      <c r="R51">
        <v>9710.2177730000003</v>
      </c>
      <c r="S51">
        <v>9504.8613280000009</v>
      </c>
      <c r="T51">
        <v>9306.9609380000002</v>
      </c>
      <c r="U51">
        <v>9226.1816409999992</v>
      </c>
      <c r="V51">
        <v>9229.1162110000005</v>
      </c>
      <c r="W51">
        <v>9316.0634769999997</v>
      </c>
      <c r="X51">
        <v>9461.5957030000009</v>
      </c>
      <c r="Y51">
        <v>9538.8203119999998</v>
      </c>
      <c r="Z51">
        <v>9555.0380860000005</v>
      </c>
      <c r="AA51">
        <v>9525.5087889999995</v>
      </c>
      <c r="AB51">
        <v>9487.7089840000008</v>
      </c>
      <c r="AC51">
        <v>9447.5253909999992</v>
      </c>
      <c r="AD51">
        <v>9387.8095699999994</v>
      </c>
      <c r="AE51">
        <v>9431.9658199999994</v>
      </c>
      <c r="AF51">
        <v>9444.3271480000003</v>
      </c>
      <c r="AG51">
        <v>9426.0849610000005</v>
      </c>
      <c r="AH51">
        <v>9497.3535159999992</v>
      </c>
      <c r="AI51">
        <v>9528.6621090000008</v>
      </c>
      <c r="AJ51" s="71">
        <v>-2E-3</v>
      </c>
    </row>
    <row r="52" spans="1:36" x14ac:dyDescent="0.75">
      <c r="A52" t="s">
        <v>212</v>
      </c>
      <c r="B52" t="s">
        <v>213</v>
      </c>
      <c r="C52" t="s">
        <v>214</v>
      </c>
      <c r="D52" t="s">
        <v>163</v>
      </c>
      <c r="F52">
        <v>12.455999</v>
      </c>
      <c r="G52">
        <v>14.571984</v>
      </c>
      <c r="H52">
        <v>15.600765000000001</v>
      </c>
      <c r="I52">
        <v>16.004926999999999</v>
      </c>
      <c r="J52">
        <v>16.139498</v>
      </c>
      <c r="K52">
        <v>16.278839000000001</v>
      </c>
      <c r="L52">
        <v>16.464922000000001</v>
      </c>
      <c r="M52">
        <v>16.678802000000001</v>
      </c>
      <c r="N52">
        <v>16.941445999999999</v>
      </c>
      <c r="O52">
        <v>17.293423000000001</v>
      </c>
      <c r="P52">
        <v>17.605484000000001</v>
      </c>
      <c r="Q52">
        <v>18.134191999999999</v>
      </c>
      <c r="R52">
        <v>18.535164000000002</v>
      </c>
      <c r="S52">
        <v>18.911802000000002</v>
      </c>
      <c r="T52">
        <v>19.290403000000001</v>
      </c>
      <c r="U52">
        <v>19.623487000000001</v>
      </c>
      <c r="V52">
        <v>19.95421</v>
      </c>
      <c r="W52">
        <v>20.306281999999999</v>
      </c>
      <c r="X52">
        <v>20.598869000000001</v>
      </c>
      <c r="Y52">
        <v>20.985233000000001</v>
      </c>
      <c r="Z52">
        <v>21.343271000000001</v>
      </c>
      <c r="AA52">
        <v>21.693348</v>
      </c>
      <c r="AB52">
        <v>22.068369000000001</v>
      </c>
      <c r="AC52">
        <v>22.394946999999998</v>
      </c>
      <c r="AD52">
        <v>22.683171999999999</v>
      </c>
      <c r="AE52">
        <v>23.003008000000001</v>
      </c>
      <c r="AF52">
        <v>23.292082000000001</v>
      </c>
      <c r="AG52">
        <v>23.56691</v>
      </c>
      <c r="AH52">
        <v>23.852163000000001</v>
      </c>
      <c r="AI52">
        <v>24.034039</v>
      </c>
      <c r="AJ52" s="71">
        <v>2.3E-2</v>
      </c>
    </row>
    <row r="53" spans="1:36" x14ac:dyDescent="0.75">
      <c r="A53" t="s">
        <v>215</v>
      </c>
      <c r="B53" t="s">
        <v>216</v>
      </c>
      <c r="C53" t="s">
        <v>217</v>
      </c>
      <c r="D53" t="s">
        <v>108</v>
      </c>
      <c r="F53">
        <v>74.063698000000002</v>
      </c>
      <c r="G53">
        <v>70.525611999999995</v>
      </c>
      <c r="H53">
        <v>74.440796000000006</v>
      </c>
      <c r="I53">
        <v>77.914856</v>
      </c>
      <c r="J53">
        <v>79.591187000000005</v>
      </c>
      <c r="K53">
        <v>81.828643999999997</v>
      </c>
      <c r="L53">
        <v>83.563957000000002</v>
      </c>
      <c r="M53">
        <v>86.347922999999994</v>
      </c>
      <c r="N53">
        <v>89.081992999999997</v>
      </c>
      <c r="O53">
        <v>91.337913999999998</v>
      </c>
      <c r="P53">
        <v>93.610977000000005</v>
      </c>
      <c r="Q53">
        <v>97.199439999999996</v>
      </c>
      <c r="R53">
        <v>100.757164</v>
      </c>
      <c r="S53">
        <v>101.646019</v>
      </c>
      <c r="T53">
        <v>102.49258399999999</v>
      </c>
      <c r="U53">
        <v>104.427734</v>
      </c>
      <c r="V53">
        <v>107.304947</v>
      </c>
      <c r="W53">
        <v>111.214264</v>
      </c>
      <c r="X53">
        <v>115.60329400000001</v>
      </c>
      <c r="Y53">
        <v>119.628677</v>
      </c>
      <c r="Z53">
        <v>122.810913</v>
      </c>
      <c r="AA53">
        <v>125.418648</v>
      </c>
      <c r="AB53">
        <v>128.010651</v>
      </c>
      <c r="AC53">
        <v>130.39082300000001</v>
      </c>
      <c r="AD53">
        <v>132.36084</v>
      </c>
      <c r="AE53">
        <v>135.846069</v>
      </c>
      <c r="AF53">
        <v>138.75170900000001</v>
      </c>
      <c r="AG53">
        <v>141.09641999999999</v>
      </c>
      <c r="AH53">
        <v>144.80079699999999</v>
      </c>
      <c r="AI53">
        <v>147.26542699999999</v>
      </c>
      <c r="AJ53" s="71">
        <v>2.4E-2</v>
      </c>
    </row>
    <row r="54" spans="1:36" x14ac:dyDescent="0.75">
      <c r="A54" t="s">
        <v>218</v>
      </c>
      <c r="B54" t="s">
        <v>219</v>
      </c>
      <c r="C54" t="s">
        <v>220</v>
      </c>
      <c r="D54" t="s">
        <v>108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 t="s">
        <v>136</v>
      </c>
    </row>
    <row r="55" spans="1:36" x14ac:dyDescent="0.75">
      <c r="A55" t="s">
        <v>221</v>
      </c>
      <c r="B55" t="s">
        <v>222</v>
      </c>
    </row>
    <row r="56" spans="1:36" x14ac:dyDescent="0.75">
      <c r="A56" t="s">
        <v>223</v>
      </c>
      <c r="B56" t="s">
        <v>224</v>
      </c>
      <c r="C56" t="s">
        <v>225</v>
      </c>
      <c r="D56" t="s">
        <v>108</v>
      </c>
      <c r="F56">
        <v>13433.044921999999</v>
      </c>
      <c r="G56">
        <v>11966.610352</v>
      </c>
      <c r="H56">
        <v>11948.764648</v>
      </c>
      <c r="I56">
        <v>11987.172852</v>
      </c>
      <c r="J56">
        <v>11784.688477</v>
      </c>
      <c r="K56">
        <v>11655.679688</v>
      </c>
      <c r="L56">
        <v>11441.440430000001</v>
      </c>
      <c r="M56">
        <v>11357.236328000001</v>
      </c>
      <c r="N56">
        <v>11266.191406</v>
      </c>
      <c r="O56">
        <v>11099.802734000001</v>
      </c>
      <c r="P56">
        <v>10952.915039</v>
      </c>
      <c r="Q56">
        <v>10912.773438</v>
      </c>
      <c r="R56">
        <v>10883.269531</v>
      </c>
      <c r="S56">
        <v>10596.859375</v>
      </c>
      <c r="T56">
        <v>10320.581055000001</v>
      </c>
      <c r="U56">
        <v>10173.295898</v>
      </c>
      <c r="V56">
        <v>10122.291992</v>
      </c>
      <c r="W56">
        <v>10162.921875</v>
      </c>
      <c r="X56">
        <v>10254.520508</v>
      </c>
      <c r="Y56">
        <v>10289.177734000001</v>
      </c>
      <c r="Z56">
        <v>10249.780273</v>
      </c>
      <c r="AA56">
        <v>10165.737305000001</v>
      </c>
      <c r="AB56">
        <v>10077.313477</v>
      </c>
      <c r="AC56">
        <v>9983.6328119999998</v>
      </c>
      <c r="AD56">
        <v>9869.5947269999997</v>
      </c>
      <c r="AE56">
        <v>9865.8603519999997</v>
      </c>
      <c r="AF56">
        <v>9824.3828119999998</v>
      </c>
      <c r="AG56">
        <v>9748.7285159999992</v>
      </c>
      <c r="AH56">
        <v>9766.5087889999995</v>
      </c>
      <c r="AI56">
        <v>9733.1904300000006</v>
      </c>
      <c r="AJ56" s="71">
        <v>-1.0999999999999999E-2</v>
      </c>
    </row>
    <row r="57" spans="1:36" x14ac:dyDescent="0.75">
      <c r="A57" t="s">
        <v>226</v>
      </c>
      <c r="B57" t="s">
        <v>227</v>
      </c>
      <c r="C57" t="s">
        <v>228</v>
      </c>
      <c r="D57" t="s">
        <v>108</v>
      </c>
      <c r="F57">
        <v>46.474376999999997</v>
      </c>
      <c r="G57">
        <v>51.306229000000002</v>
      </c>
      <c r="H57">
        <v>54.753540000000001</v>
      </c>
      <c r="I57">
        <v>52.244777999999997</v>
      </c>
      <c r="J57">
        <v>51.283470000000001</v>
      </c>
      <c r="K57">
        <v>51.623837000000002</v>
      </c>
      <c r="L57">
        <v>51.784702000000003</v>
      </c>
      <c r="M57">
        <v>52.100876</v>
      </c>
      <c r="N57">
        <v>51.986438999999997</v>
      </c>
      <c r="O57">
        <v>52.998814000000003</v>
      </c>
      <c r="P57">
        <v>52.260264999999997</v>
      </c>
      <c r="Q57">
        <v>53.654530000000001</v>
      </c>
      <c r="R57">
        <v>54.077171</v>
      </c>
      <c r="S57">
        <v>53.405434</v>
      </c>
      <c r="T57">
        <v>52.140526000000001</v>
      </c>
      <c r="U57">
        <v>51.442619000000001</v>
      </c>
      <c r="V57">
        <v>51.017975</v>
      </c>
      <c r="W57">
        <v>51.729782</v>
      </c>
      <c r="X57">
        <v>52.010216</v>
      </c>
      <c r="Y57">
        <v>53.090339999999998</v>
      </c>
      <c r="Z57">
        <v>53.111794000000003</v>
      </c>
      <c r="AA57">
        <v>53.427242</v>
      </c>
      <c r="AB57">
        <v>53.197605000000003</v>
      </c>
      <c r="AC57">
        <v>52.404533000000001</v>
      </c>
      <c r="AD57">
        <v>52.310116000000001</v>
      </c>
      <c r="AE57">
        <v>52.380814000000001</v>
      </c>
      <c r="AF57">
        <v>52.781520999999998</v>
      </c>
      <c r="AG57">
        <v>53.110270999999997</v>
      </c>
      <c r="AH57">
        <v>53.507114000000001</v>
      </c>
      <c r="AI57">
        <v>53.247481999999998</v>
      </c>
      <c r="AJ57" s="71">
        <v>5.0000000000000001E-3</v>
      </c>
    </row>
    <row r="58" spans="1:36" x14ac:dyDescent="0.75">
      <c r="A58" t="s">
        <v>229</v>
      </c>
      <c r="B58" t="s">
        <v>230</v>
      </c>
      <c r="C58" t="s">
        <v>231</v>
      </c>
      <c r="D58" t="s">
        <v>108</v>
      </c>
      <c r="F58">
        <v>666.61431900000002</v>
      </c>
      <c r="G58">
        <v>606.91516100000001</v>
      </c>
      <c r="H58">
        <v>618.10919200000001</v>
      </c>
      <c r="I58">
        <v>630.56426999999996</v>
      </c>
      <c r="J58">
        <v>628.59216300000003</v>
      </c>
      <c r="K58">
        <v>627.243469</v>
      </c>
      <c r="L58">
        <v>618.80017099999998</v>
      </c>
      <c r="M58">
        <v>616.67511000000002</v>
      </c>
      <c r="N58">
        <v>614.18988000000002</v>
      </c>
      <c r="O58">
        <v>606.61181599999998</v>
      </c>
      <c r="P58">
        <v>600.61334199999999</v>
      </c>
      <c r="Q58">
        <v>598.06311000000005</v>
      </c>
      <c r="R58">
        <v>597.705017</v>
      </c>
      <c r="S58">
        <v>583.15295400000002</v>
      </c>
      <c r="T58">
        <v>569.26599099999999</v>
      </c>
      <c r="U58">
        <v>562.737122</v>
      </c>
      <c r="V58">
        <v>561.62786900000003</v>
      </c>
      <c r="W58">
        <v>565.39031999999997</v>
      </c>
      <c r="X58">
        <v>572.54345699999999</v>
      </c>
      <c r="Y58">
        <v>575.56957999999997</v>
      </c>
      <c r="Z58">
        <v>574.92236300000002</v>
      </c>
      <c r="AA58">
        <v>571.55651899999998</v>
      </c>
      <c r="AB58">
        <v>567.67687999999998</v>
      </c>
      <c r="AC58">
        <v>563.86743200000001</v>
      </c>
      <c r="AD58">
        <v>559.07037400000002</v>
      </c>
      <c r="AE58">
        <v>560.43005400000004</v>
      </c>
      <c r="AF58">
        <v>559.84020999999996</v>
      </c>
      <c r="AG58">
        <v>557.37432899999999</v>
      </c>
      <c r="AH58">
        <v>560.09771699999999</v>
      </c>
      <c r="AI58">
        <v>560.37127699999996</v>
      </c>
      <c r="AJ58" s="71">
        <v>-6.0000000000000001E-3</v>
      </c>
    </row>
    <row r="59" spans="1:36" x14ac:dyDescent="0.75">
      <c r="A59" t="s">
        <v>232</v>
      </c>
      <c r="B59" t="s">
        <v>233</v>
      </c>
      <c r="C59" t="s">
        <v>234</v>
      </c>
      <c r="D59" t="s">
        <v>108</v>
      </c>
      <c r="F59">
        <v>317.67672700000003</v>
      </c>
      <c r="G59">
        <v>349.16574100000003</v>
      </c>
      <c r="H59">
        <v>402.02710000000002</v>
      </c>
      <c r="I59">
        <v>448.68017600000002</v>
      </c>
      <c r="J59">
        <v>459.36792000000003</v>
      </c>
      <c r="K59">
        <v>469.61071800000002</v>
      </c>
      <c r="L59">
        <v>478.50216699999999</v>
      </c>
      <c r="M59">
        <v>494.52203400000002</v>
      </c>
      <c r="N59">
        <v>516.58148200000005</v>
      </c>
      <c r="O59">
        <v>542.41241500000001</v>
      </c>
      <c r="P59">
        <v>562.09228499999995</v>
      </c>
      <c r="Q59">
        <v>609.23364300000003</v>
      </c>
      <c r="R59">
        <v>647.51092500000004</v>
      </c>
      <c r="S59">
        <v>667.82763699999998</v>
      </c>
      <c r="T59">
        <v>688.57690400000001</v>
      </c>
      <c r="U59">
        <v>712.34136999999998</v>
      </c>
      <c r="V59">
        <v>742.12219200000004</v>
      </c>
      <c r="W59">
        <v>781.10626200000002</v>
      </c>
      <c r="X59">
        <v>819.298767</v>
      </c>
      <c r="Y59">
        <v>862.25433299999997</v>
      </c>
      <c r="Z59">
        <v>896.63806199999999</v>
      </c>
      <c r="AA59">
        <v>927.93292199999996</v>
      </c>
      <c r="AB59">
        <v>961.92571999999996</v>
      </c>
      <c r="AC59">
        <v>989.92858899999999</v>
      </c>
      <c r="AD59">
        <v>1011.607666</v>
      </c>
      <c r="AE59">
        <v>1048.212524</v>
      </c>
      <c r="AF59">
        <v>1078.1363530000001</v>
      </c>
      <c r="AG59">
        <v>1102.805298</v>
      </c>
      <c r="AH59">
        <v>1139.619385</v>
      </c>
      <c r="AI59">
        <v>1159.5817870000001</v>
      </c>
      <c r="AJ59" s="71">
        <v>4.5999999999999999E-2</v>
      </c>
    </row>
    <row r="60" spans="1:36" x14ac:dyDescent="0.75">
      <c r="A60" t="s">
        <v>235</v>
      </c>
      <c r="B60" t="s">
        <v>236</v>
      </c>
      <c r="C60" t="s">
        <v>237</v>
      </c>
      <c r="D60" t="s">
        <v>108</v>
      </c>
      <c r="F60">
        <v>139.402084</v>
      </c>
      <c r="G60">
        <v>251.00242600000001</v>
      </c>
      <c r="H60">
        <v>281.45022599999999</v>
      </c>
      <c r="I60">
        <v>282.72653200000002</v>
      </c>
      <c r="J60">
        <v>276.52441399999998</v>
      </c>
      <c r="K60">
        <v>271.612213</v>
      </c>
      <c r="L60">
        <v>267.38400300000001</v>
      </c>
      <c r="M60">
        <v>268.012878</v>
      </c>
      <c r="N60">
        <v>270.37866200000002</v>
      </c>
      <c r="O60">
        <v>274.466339</v>
      </c>
      <c r="P60">
        <v>279.971924</v>
      </c>
      <c r="Q60">
        <v>293.645081</v>
      </c>
      <c r="R60">
        <v>303.75567599999999</v>
      </c>
      <c r="S60">
        <v>306.29040500000002</v>
      </c>
      <c r="T60">
        <v>308.38085899999999</v>
      </c>
      <c r="U60">
        <v>313.05123900000001</v>
      </c>
      <c r="V60">
        <v>320.13070699999997</v>
      </c>
      <c r="W60">
        <v>330.45059199999997</v>
      </c>
      <c r="X60">
        <v>341.32626299999998</v>
      </c>
      <c r="Y60">
        <v>352.33605999999997</v>
      </c>
      <c r="Z60">
        <v>359.36456299999998</v>
      </c>
      <c r="AA60">
        <v>364.57547</v>
      </c>
      <c r="AB60">
        <v>369.86917099999999</v>
      </c>
      <c r="AC60">
        <v>373.76666299999999</v>
      </c>
      <c r="AD60">
        <v>375.84780899999998</v>
      </c>
      <c r="AE60">
        <v>382.561981</v>
      </c>
      <c r="AF60">
        <v>387.16751099999999</v>
      </c>
      <c r="AG60">
        <v>390.01711999999998</v>
      </c>
      <c r="AH60">
        <v>396.67990099999997</v>
      </c>
      <c r="AI60">
        <v>399.29531900000001</v>
      </c>
      <c r="AJ60" s="71">
        <v>3.6999999999999998E-2</v>
      </c>
    </row>
    <row r="61" spans="1:36" x14ac:dyDescent="0.75">
      <c r="A61" t="s">
        <v>238</v>
      </c>
      <c r="B61" t="s">
        <v>239</v>
      </c>
      <c r="C61" t="s">
        <v>240</v>
      </c>
      <c r="D61" t="s">
        <v>108</v>
      </c>
      <c r="F61">
        <v>790.50091599999996</v>
      </c>
      <c r="G61">
        <v>839.18139599999995</v>
      </c>
      <c r="H61">
        <v>912.99688700000002</v>
      </c>
      <c r="I61">
        <v>927.59228499999995</v>
      </c>
      <c r="J61">
        <v>908.62213099999997</v>
      </c>
      <c r="K61">
        <v>902.69940199999996</v>
      </c>
      <c r="L61">
        <v>895.091858</v>
      </c>
      <c r="M61">
        <v>898.67065400000001</v>
      </c>
      <c r="N61">
        <v>901.05969200000004</v>
      </c>
      <c r="O61">
        <v>901.79303000000004</v>
      </c>
      <c r="P61">
        <v>901.87097200000005</v>
      </c>
      <c r="Q61">
        <v>920.89209000000005</v>
      </c>
      <c r="R61">
        <v>931.76556400000004</v>
      </c>
      <c r="S61">
        <v>918.854736</v>
      </c>
      <c r="T61">
        <v>905.22100799999998</v>
      </c>
      <c r="U61">
        <v>900.46618699999999</v>
      </c>
      <c r="V61">
        <v>904.46850600000005</v>
      </c>
      <c r="W61">
        <v>917.81658900000002</v>
      </c>
      <c r="X61">
        <v>932.36926300000005</v>
      </c>
      <c r="Y61">
        <v>948.06146200000001</v>
      </c>
      <c r="Z61">
        <v>955.93798800000002</v>
      </c>
      <c r="AA61">
        <v>957.97692900000004</v>
      </c>
      <c r="AB61">
        <v>960.07733199999996</v>
      </c>
      <c r="AC61">
        <v>959.27154499999995</v>
      </c>
      <c r="AD61">
        <v>954.93206799999996</v>
      </c>
      <c r="AE61">
        <v>962.25</v>
      </c>
      <c r="AF61">
        <v>964.21698000000004</v>
      </c>
      <c r="AG61">
        <v>962.14801</v>
      </c>
      <c r="AH61">
        <v>969.50476100000003</v>
      </c>
      <c r="AI61">
        <v>966.84655799999996</v>
      </c>
      <c r="AJ61" s="71">
        <v>7.0000000000000001E-3</v>
      </c>
    </row>
    <row r="62" spans="1:36" x14ac:dyDescent="0.75">
      <c r="A62" t="s">
        <v>241</v>
      </c>
      <c r="B62" t="s">
        <v>242</v>
      </c>
      <c r="C62" t="s">
        <v>243</v>
      </c>
      <c r="D62" t="s">
        <v>108</v>
      </c>
      <c r="F62">
        <v>0.89753700000000003</v>
      </c>
      <c r="G62">
        <v>1.122171</v>
      </c>
      <c r="H62">
        <v>1.2970619999999999</v>
      </c>
      <c r="I62">
        <v>1.3888579999999999</v>
      </c>
      <c r="J62">
        <v>1.4211180000000001</v>
      </c>
      <c r="K62">
        <v>1.4423170000000001</v>
      </c>
      <c r="L62">
        <v>1.4473929999999999</v>
      </c>
      <c r="M62">
        <v>1.454261</v>
      </c>
      <c r="N62">
        <v>1.450253</v>
      </c>
      <c r="O62">
        <v>1.460388</v>
      </c>
      <c r="P62">
        <v>1.4622360000000001</v>
      </c>
      <c r="Q62">
        <v>1.499341</v>
      </c>
      <c r="R62">
        <v>1.529442</v>
      </c>
      <c r="S62">
        <v>1.526526</v>
      </c>
      <c r="T62">
        <v>1.525431</v>
      </c>
      <c r="U62">
        <v>1.5401469999999999</v>
      </c>
      <c r="V62">
        <v>1.567688</v>
      </c>
      <c r="W62">
        <v>1.617386</v>
      </c>
      <c r="X62">
        <v>1.6690210000000001</v>
      </c>
      <c r="Y62">
        <v>1.732613</v>
      </c>
      <c r="Z62">
        <v>1.7791999999999999</v>
      </c>
      <c r="AA62">
        <v>1.827841</v>
      </c>
      <c r="AB62">
        <v>1.8775200000000001</v>
      </c>
      <c r="AC62">
        <v>1.9207970000000001</v>
      </c>
      <c r="AD62">
        <v>1.9707490000000001</v>
      </c>
      <c r="AE62">
        <v>2.0615239999999999</v>
      </c>
      <c r="AF62">
        <v>2.1457250000000001</v>
      </c>
      <c r="AG62">
        <v>2.2158959999999999</v>
      </c>
      <c r="AH62">
        <v>2.3111060000000001</v>
      </c>
      <c r="AI62">
        <v>2.3734769999999998</v>
      </c>
      <c r="AJ62" s="71">
        <v>3.4000000000000002E-2</v>
      </c>
    </row>
    <row r="63" spans="1:36" x14ac:dyDescent="0.75">
      <c r="A63" t="s">
        <v>244</v>
      </c>
      <c r="B63" t="s">
        <v>245</v>
      </c>
      <c r="C63" t="s">
        <v>246</v>
      </c>
      <c r="D63" t="s">
        <v>108</v>
      </c>
      <c r="F63">
        <v>2.8111969999999999</v>
      </c>
      <c r="G63">
        <v>2.5832190000000002</v>
      </c>
      <c r="H63">
        <v>2.908118</v>
      </c>
      <c r="I63">
        <v>3.1108189999999998</v>
      </c>
      <c r="J63">
        <v>3.3822079999999999</v>
      </c>
      <c r="K63">
        <v>3.7736109999999998</v>
      </c>
      <c r="L63">
        <v>4.1110540000000002</v>
      </c>
      <c r="M63">
        <v>4.5264930000000003</v>
      </c>
      <c r="N63">
        <v>4.9076279999999999</v>
      </c>
      <c r="O63">
        <v>5.2362830000000002</v>
      </c>
      <c r="P63">
        <v>5.4983510000000004</v>
      </c>
      <c r="Q63">
        <v>5.8529210000000003</v>
      </c>
      <c r="R63">
        <v>6.2356590000000001</v>
      </c>
      <c r="S63">
        <v>6.2564510000000002</v>
      </c>
      <c r="T63">
        <v>6.2144060000000003</v>
      </c>
      <c r="U63">
        <v>6.1773809999999996</v>
      </c>
      <c r="V63">
        <v>6.1353840000000002</v>
      </c>
      <c r="W63">
        <v>6.3534119999999996</v>
      </c>
      <c r="X63">
        <v>6.5947370000000003</v>
      </c>
      <c r="Y63">
        <v>6.8095239999999997</v>
      </c>
      <c r="Z63">
        <v>7.0172600000000003</v>
      </c>
      <c r="AA63">
        <v>7.1527919999999998</v>
      </c>
      <c r="AB63">
        <v>7.2908939999999998</v>
      </c>
      <c r="AC63">
        <v>7.4036929999999996</v>
      </c>
      <c r="AD63">
        <v>7.454294</v>
      </c>
      <c r="AE63">
        <v>7.5783290000000001</v>
      </c>
      <c r="AF63">
        <v>7.6585179999999999</v>
      </c>
      <c r="AG63">
        <v>7.678229</v>
      </c>
      <c r="AH63">
        <v>7.758953</v>
      </c>
      <c r="AI63">
        <v>7.7553479999999997</v>
      </c>
      <c r="AJ63" s="71">
        <v>3.5999999999999997E-2</v>
      </c>
    </row>
    <row r="64" spans="1:36" x14ac:dyDescent="0.75">
      <c r="A64" t="s">
        <v>247</v>
      </c>
      <c r="B64" t="s">
        <v>248</v>
      </c>
      <c r="C64" t="s">
        <v>249</v>
      </c>
      <c r="D64" t="s">
        <v>108</v>
      </c>
      <c r="F64">
        <v>15397.421875</v>
      </c>
      <c r="G64">
        <v>14067.885742</v>
      </c>
      <c r="H64">
        <v>14222.305664</v>
      </c>
      <c r="I64">
        <v>14333.480469</v>
      </c>
      <c r="J64">
        <v>14113.882812</v>
      </c>
      <c r="K64">
        <v>13983.685546999999</v>
      </c>
      <c r="L64">
        <v>13758.5625</v>
      </c>
      <c r="M64">
        <v>13693.199219</v>
      </c>
      <c r="N64">
        <v>13626.746094</v>
      </c>
      <c r="O64">
        <v>13484.783203000001</v>
      </c>
      <c r="P64">
        <v>13356.683594</v>
      </c>
      <c r="Q64">
        <v>13395.614258</v>
      </c>
      <c r="R64">
        <v>13425.847656</v>
      </c>
      <c r="S64">
        <v>13134.171875</v>
      </c>
      <c r="T64">
        <v>12851.907227</v>
      </c>
      <c r="U64">
        <v>12721.051758</v>
      </c>
      <c r="V64">
        <v>12709.361328000001</v>
      </c>
      <c r="W64">
        <v>12817.386719</v>
      </c>
      <c r="X64">
        <v>12980.332031</v>
      </c>
      <c r="Y64">
        <v>13089.032227</v>
      </c>
      <c r="Z64">
        <v>13098.551758</v>
      </c>
      <c r="AA64">
        <v>13050.186523</v>
      </c>
      <c r="AB64">
        <v>12999.229492</v>
      </c>
      <c r="AC64">
        <v>12932.197265999999</v>
      </c>
      <c r="AD64">
        <v>12832.787109000001</v>
      </c>
      <c r="AE64">
        <v>12881.333984000001</v>
      </c>
      <c r="AF64">
        <v>12876.330078000001</v>
      </c>
      <c r="AG64">
        <v>12824.078125</v>
      </c>
      <c r="AH64">
        <v>12895.989258</v>
      </c>
      <c r="AI64">
        <v>12882.662109000001</v>
      </c>
      <c r="AJ64" s="71">
        <v>-6.0000000000000001E-3</v>
      </c>
    </row>
    <row r="65" spans="1:36" x14ac:dyDescent="0.75">
      <c r="A65" t="s">
        <v>250</v>
      </c>
      <c r="B65" t="s">
        <v>251</v>
      </c>
      <c r="C65" t="s">
        <v>252</v>
      </c>
      <c r="D65" t="s">
        <v>108</v>
      </c>
      <c r="F65">
        <v>4953.1132809999999</v>
      </c>
      <c r="G65">
        <v>4668.9975590000004</v>
      </c>
      <c r="H65">
        <v>4958.1450199999999</v>
      </c>
      <c r="I65">
        <v>5404.3681640000004</v>
      </c>
      <c r="J65">
        <v>5500.1508789999998</v>
      </c>
      <c r="K65">
        <v>5639.5771480000003</v>
      </c>
      <c r="L65">
        <v>5625.3178710000002</v>
      </c>
      <c r="M65">
        <v>5668.8452150000003</v>
      </c>
      <c r="N65">
        <v>5678.7172849999997</v>
      </c>
      <c r="O65">
        <v>5624.515625</v>
      </c>
      <c r="P65">
        <v>5562.1196289999998</v>
      </c>
      <c r="Q65">
        <v>5547.9023440000001</v>
      </c>
      <c r="R65">
        <v>5531.2270509999998</v>
      </c>
      <c r="S65">
        <v>5383.1025390000004</v>
      </c>
      <c r="T65">
        <v>5267.1528319999998</v>
      </c>
      <c r="U65">
        <v>5226.7104490000002</v>
      </c>
      <c r="V65">
        <v>5235.1162109999996</v>
      </c>
      <c r="W65">
        <v>5280.4731449999999</v>
      </c>
      <c r="X65">
        <v>5356.3334960000002</v>
      </c>
      <c r="Y65">
        <v>5373.9345700000003</v>
      </c>
      <c r="Z65">
        <v>5357.4409180000002</v>
      </c>
      <c r="AA65">
        <v>5315.6723629999997</v>
      </c>
      <c r="AB65">
        <v>5287.2612300000001</v>
      </c>
      <c r="AC65">
        <v>5251.5776370000003</v>
      </c>
      <c r="AD65">
        <v>5206.2436520000001</v>
      </c>
      <c r="AE65">
        <v>5220.0102539999998</v>
      </c>
      <c r="AF65">
        <v>5220.5039059999999</v>
      </c>
      <c r="AG65">
        <v>5181.3950199999999</v>
      </c>
      <c r="AH65">
        <v>5202.6357420000004</v>
      </c>
      <c r="AI65">
        <v>5189.8833009999998</v>
      </c>
      <c r="AJ65" s="71">
        <v>2E-3</v>
      </c>
    </row>
    <row r="66" spans="1:36" x14ac:dyDescent="0.75">
      <c r="A66" t="s">
        <v>253</v>
      </c>
      <c r="B66" t="s">
        <v>254</v>
      </c>
      <c r="C66" t="s">
        <v>255</v>
      </c>
      <c r="D66" t="s">
        <v>108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t="s">
        <v>136</v>
      </c>
    </row>
    <row r="67" spans="1:36" x14ac:dyDescent="0.75">
      <c r="A67" t="s">
        <v>256</v>
      </c>
      <c r="B67" t="s">
        <v>257</v>
      </c>
      <c r="C67" t="s">
        <v>249</v>
      </c>
      <c r="D67" t="s">
        <v>108</v>
      </c>
      <c r="F67">
        <v>6917.4902339999999</v>
      </c>
      <c r="G67">
        <v>6770.2744140000004</v>
      </c>
      <c r="H67">
        <v>7231.6865230000003</v>
      </c>
      <c r="I67">
        <v>7750.6748049999997</v>
      </c>
      <c r="J67">
        <v>7829.3447269999997</v>
      </c>
      <c r="K67">
        <v>7967.5820309999999</v>
      </c>
      <c r="L67">
        <v>7942.4384769999997</v>
      </c>
      <c r="M67">
        <v>8004.8066410000001</v>
      </c>
      <c r="N67">
        <v>8039.2714839999999</v>
      </c>
      <c r="O67">
        <v>8009.4941410000001</v>
      </c>
      <c r="P67">
        <v>7965.8896480000003</v>
      </c>
      <c r="Q67">
        <v>8030.7421880000002</v>
      </c>
      <c r="R67">
        <v>8073.8066410000001</v>
      </c>
      <c r="S67">
        <v>7920.4160160000001</v>
      </c>
      <c r="T67">
        <v>7798.4775390000004</v>
      </c>
      <c r="U67">
        <v>7774.4658200000003</v>
      </c>
      <c r="V67">
        <v>7822.1865230000003</v>
      </c>
      <c r="W67">
        <v>7934.9375</v>
      </c>
      <c r="X67">
        <v>8082.1455079999996</v>
      </c>
      <c r="Y67">
        <v>8173.7871089999999</v>
      </c>
      <c r="Z67">
        <v>8206.2119139999995</v>
      </c>
      <c r="AA67">
        <v>8200.1220699999994</v>
      </c>
      <c r="AB67">
        <v>8209.1767579999996</v>
      </c>
      <c r="AC67">
        <v>8200.140625</v>
      </c>
      <c r="AD67">
        <v>8169.4365230000003</v>
      </c>
      <c r="AE67">
        <v>8235.4853519999997</v>
      </c>
      <c r="AF67">
        <v>8272.4511719999991</v>
      </c>
      <c r="AG67">
        <v>8256.7441409999992</v>
      </c>
      <c r="AH67">
        <v>8332.1142579999996</v>
      </c>
      <c r="AI67">
        <v>8339.3544920000004</v>
      </c>
      <c r="AJ67" s="71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165B-DD12-4423-A2BA-35A2934A5C51}">
  <dimension ref="A1:AF87"/>
  <sheetViews>
    <sheetView workbookViewId="0">
      <selection activeCell="I10" sqref="I10"/>
    </sheetView>
  </sheetViews>
  <sheetFormatPr defaultRowHeight="14.75" x14ac:dyDescent="0.75"/>
  <sheetData>
    <row r="1" spans="1:32" ht="15.5" thickBot="1" x14ac:dyDescent="0.9">
      <c r="A1" s="76" t="s">
        <v>265</v>
      </c>
      <c r="B1" s="77">
        <v>2022</v>
      </c>
      <c r="C1" s="77">
        <v>2023</v>
      </c>
      <c r="D1" s="77">
        <v>2024</v>
      </c>
      <c r="E1" s="77">
        <v>2025</v>
      </c>
      <c r="F1" s="77">
        <v>2026</v>
      </c>
      <c r="G1" s="77">
        <v>2027</v>
      </c>
      <c r="H1" s="77">
        <v>2028</v>
      </c>
      <c r="I1" s="77">
        <v>2029</v>
      </c>
      <c r="J1" s="77">
        <v>2030</v>
      </c>
      <c r="K1" s="77">
        <v>2031</v>
      </c>
      <c r="L1" s="77">
        <v>2032</v>
      </c>
      <c r="M1" s="77">
        <v>2033</v>
      </c>
      <c r="N1" s="77">
        <v>2034</v>
      </c>
      <c r="O1" s="77">
        <v>2035</v>
      </c>
      <c r="P1" s="77">
        <v>2036</v>
      </c>
      <c r="Q1" s="77">
        <v>2037</v>
      </c>
      <c r="R1" s="77">
        <v>2038</v>
      </c>
      <c r="S1" s="77">
        <v>2039</v>
      </c>
      <c r="T1" s="77">
        <v>2040</v>
      </c>
      <c r="U1" s="77">
        <v>2041</v>
      </c>
      <c r="V1" s="77">
        <v>2042</v>
      </c>
      <c r="W1" s="77">
        <v>2043</v>
      </c>
      <c r="X1" s="77">
        <v>2044</v>
      </c>
      <c r="Y1" s="77">
        <v>2045</v>
      </c>
      <c r="Z1" s="77">
        <v>2046</v>
      </c>
      <c r="AA1" s="77">
        <v>2047</v>
      </c>
      <c r="AB1" s="77">
        <v>2048</v>
      </c>
      <c r="AC1" s="77">
        <v>2049</v>
      </c>
      <c r="AD1" s="77">
        <v>2050</v>
      </c>
    </row>
    <row r="2" spans="1:32" ht="15.5" thickTop="1" x14ac:dyDescent="0.75"/>
    <row r="3" spans="1:32" x14ac:dyDescent="0.75">
      <c r="B3" s="78" t="s">
        <v>266</v>
      </c>
      <c r="C3" s="78" t="s">
        <v>267</v>
      </c>
      <c r="D3" s="79"/>
      <c r="E3" s="79"/>
      <c r="F3" s="79"/>
    </row>
    <row r="4" spans="1:32" x14ac:dyDescent="0.75">
      <c r="B4" s="78" t="s">
        <v>268</v>
      </c>
      <c r="C4" s="78" t="s">
        <v>269</v>
      </c>
      <c r="D4" s="79"/>
      <c r="E4" s="79"/>
      <c r="F4" s="78" t="s">
        <v>270</v>
      </c>
    </row>
    <row r="5" spans="1:32" x14ac:dyDescent="0.75">
      <c r="B5" s="78" t="s">
        <v>271</v>
      </c>
      <c r="C5" s="78" t="s">
        <v>272</v>
      </c>
      <c r="D5" s="79"/>
      <c r="E5" s="79"/>
      <c r="F5" s="79"/>
    </row>
    <row r="6" spans="1:32" x14ac:dyDescent="0.75">
      <c r="B6" s="78" t="s">
        <v>273</v>
      </c>
      <c r="C6" s="79"/>
      <c r="D6" s="78" t="s">
        <v>274</v>
      </c>
      <c r="E6" s="79"/>
      <c r="F6" s="79"/>
    </row>
    <row r="10" spans="1:32" ht="16" x14ac:dyDescent="0.8">
      <c r="A10" s="81" t="s">
        <v>546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3" t="s">
        <v>277</v>
      </c>
      <c r="AF10" s="82"/>
    </row>
    <row r="11" spans="1:32" x14ac:dyDescent="0.75">
      <c r="A11" s="84" t="s">
        <v>547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3" t="s">
        <v>278</v>
      </c>
      <c r="AF11" s="82"/>
    </row>
    <row r="12" spans="1:32" x14ac:dyDescent="0.75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3" t="s">
        <v>279</v>
      </c>
      <c r="AF12" s="82"/>
    </row>
    <row r="13" spans="1:32" ht="38" thickBot="1" x14ac:dyDescent="0.9">
      <c r="A13" s="86" t="s">
        <v>548</v>
      </c>
      <c r="B13" s="86">
        <v>2022</v>
      </c>
      <c r="C13" s="86">
        <v>2023</v>
      </c>
      <c r="D13" s="86">
        <v>2024</v>
      </c>
      <c r="E13" s="86">
        <v>2025</v>
      </c>
      <c r="F13" s="86">
        <v>2026</v>
      </c>
      <c r="G13" s="86">
        <v>2027</v>
      </c>
      <c r="H13" s="86">
        <v>2028</v>
      </c>
      <c r="I13" s="86">
        <v>2029</v>
      </c>
      <c r="J13" s="86">
        <v>2030</v>
      </c>
      <c r="K13" s="86">
        <v>2031</v>
      </c>
      <c r="L13" s="86">
        <v>2032</v>
      </c>
      <c r="M13" s="86">
        <v>2033</v>
      </c>
      <c r="N13" s="86">
        <v>2034</v>
      </c>
      <c r="O13" s="86">
        <v>2035</v>
      </c>
      <c r="P13" s="86">
        <v>2036</v>
      </c>
      <c r="Q13" s="86">
        <v>2037</v>
      </c>
      <c r="R13" s="86">
        <v>2038</v>
      </c>
      <c r="S13" s="86">
        <v>2039</v>
      </c>
      <c r="T13" s="86">
        <v>2040</v>
      </c>
      <c r="U13" s="86">
        <v>2041</v>
      </c>
      <c r="V13" s="86">
        <v>2042</v>
      </c>
      <c r="W13" s="86">
        <v>2043</v>
      </c>
      <c r="X13" s="86">
        <v>2044</v>
      </c>
      <c r="Y13" s="86">
        <v>2045</v>
      </c>
      <c r="Z13" s="86">
        <v>2046</v>
      </c>
      <c r="AA13" s="86">
        <v>2047</v>
      </c>
      <c r="AB13" s="86">
        <v>2048</v>
      </c>
      <c r="AC13" s="86">
        <v>2049</v>
      </c>
      <c r="AD13" s="86">
        <v>2050</v>
      </c>
      <c r="AE13" s="87">
        <v>2050</v>
      </c>
      <c r="AF13" s="82"/>
    </row>
    <row r="14" spans="1:32" ht="15.5" thickTop="1" x14ac:dyDescent="0.7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</row>
    <row r="15" spans="1:32" ht="25" x14ac:dyDescent="0.75">
      <c r="A15" s="88" t="s">
        <v>549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</row>
    <row r="16" spans="1:32" ht="37.25" x14ac:dyDescent="0.75">
      <c r="A16" s="88" t="s">
        <v>550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</row>
    <row r="17" spans="1:32" ht="25" x14ac:dyDescent="0.75">
      <c r="A17" s="89" t="s">
        <v>551</v>
      </c>
      <c r="B17" s="90">
        <v>745.48858600000005</v>
      </c>
      <c r="C17" s="90">
        <v>752.84777799999995</v>
      </c>
      <c r="D17" s="90">
        <v>752.35827600000005</v>
      </c>
      <c r="E17" s="90">
        <v>735.73345900000004</v>
      </c>
      <c r="F17" s="90">
        <v>714.39776600000005</v>
      </c>
      <c r="G17" s="90">
        <v>699.98785399999997</v>
      </c>
      <c r="H17" s="90">
        <v>685.04046600000004</v>
      </c>
      <c r="I17" s="90">
        <v>673.87493900000004</v>
      </c>
      <c r="J17" s="90">
        <v>663.85052499999995</v>
      </c>
      <c r="K17" s="90">
        <v>653.93218999999999</v>
      </c>
      <c r="L17" s="90">
        <v>646.67608600000005</v>
      </c>
      <c r="M17" s="90">
        <v>638</v>
      </c>
      <c r="N17" s="90">
        <v>632.65362500000003</v>
      </c>
      <c r="O17" s="90">
        <v>629.94421399999999</v>
      </c>
      <c r="P17" s="90">
        <v>630.54656999999997</v>
      </c>
      <c r="Q17" s="90">
        <v>627.93365500000004</v>
      </c>
      <c r="R17" s="90">
        <v>625.11895800000002</v>
      </c>
      <c r="S17" s="90">
        <v>622.16143799999998</v>
      </c>
      <c r="T17" s="90">
        <v>618.44097899999997</v>
      </c>
      <c r="U17" s="90">
        <v>611.17291299999999</v>
      </c>
      <c r="V17" s="90">
        <v>603.78057899999999</v>
      </c>
      <c r="W17" s="90">
        <v>594.08050500000002</v>
      </c>
      <c r="X17" s="90">
        <v>586.63452099999995</v>
      </c>
      <c r="Y17" s="90">
        <v>582.16729699999996</v>
      </c>
      <c r="Z17" s="90">
        <v>581.98821999999996</v>
      </c>
      <c r="AA17" s="90">
        <v>575.44702099999995</v>
      </c>
      <c r="AB17" s="90">
        <v>569.67370600000004</v>
      </c>
      <c r="AC17" s="90">
        <v>564.75280799999996</v>
      </c>
      <c r="AD17" s="90">
        <v>561.188354</v>
      </c>
      <c r="AE17" s="91">
        <v>-1.0090999999999999E-2</v>
      </c>
      <c r="AF17" s="82"/>
    </row>
    <row r="18" spans="1:32" ht="25" x14ac:dyDescent="0.75">
      <c r="A18" s="89" t="s">
        <v>552</v>
      </c>
      <c r="B18" s="90">
        <v>0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1" t="s">
        <v>298</v>
      </c>
      <c r="AF18" s="82"/>
    </row>
    <row r="19" spans="1:32" ht="37.25" x14ac:dyDescent="0.75">
      <c r="A19" s="89" t="s">
        <v>553</v>
      </c>
      <c r="B19" s="90">
        <v>745.48858600000005</v>
      </c>
      <c r="C19" s="90">
        <v>752.84777799999995</v>
      </c>
      <c r="D19" s="90">
        <v>752.35827600000005</v>
      </c>
      <c r="E19" s="90">
        <v>735.73345900000004</v>
      </c>
      <c r="F19" s="90">
        <v>714.39776600000005</v>
      </c>
      <c r="G19" s="90">
        <v>699.98785399999997</v>
      </c>
      <c r="H19" s="90">
        <v>685.04046600000004</v>
      </c>
      <c r="I19" s="90">
        <v>673.87493900000004</v>
      </c>
      <c r="J19" s="90">
        <v>663.85052499999995</v>
      </c>
      <c r="K19" s="90">
        <v>653.93218999999999</v>
      </c>
      <c r="L19" s="90">
        <v>646.67608600000005</v>
      </c>
      <c r="M19" s="90">
        <v>638</v>
      </c>
      <c r="N19" s="90">
        <v>632.65362500000003</v>
      </c>
      <c r="O19" s="90">
        <v>629.94421399999999</v>
      </c>
      <c r="P19" s="90">
        <v>630.54656999999997</v>
      </c>
      <c r="Q19" s="90">
        <v>627.93365500000004</v>
      </c>
      <c r="R19" s="90">
        <v>625.11895800000002</v>
      </c>
      <c r="S19" s="90">
        <v>622.16143799999998</v>
      </c>
      <c r="T19" s="90">
        <v>618.44097899999997</v>
      </c>
      <c r="U19" s="90">
        <v>611.17291299999999</v>
      </c>
      <c r="V19" s="90">
        <v>603.78057899999999</v>
      </c>
      <c r="W19" s="90">
        <v>594.08050500000002</v>
      </c>
      <c r="X19" s="90">
        <v>586.63452099999995</v>
      </c>
      <c r="Y19" s="90">
        <v>582.16729699999996</v>
      </c>
      <c r="Z19" s="90">
        <v>581.98821999999996</v>
      </c>
      <c r="AA19" s="90">
        <v>575.44702099999995</v>
      </c>
      <c r="AB19" s="90">
        <v>569.67370600000004</v>
      </c>
      <c r="AC19" s="90">
        <v>564.75280799999996</v>
      </c>
      <c r="AD19" s="90">
        <v>561.188354</v>
      </c>
      <c r="AE19" s="91">
        <v>-1.0090999999999999E-2</v>
      </c>
      <c r="AF19" s="82"/>
    </row>
    <row r="20" spans="1:32" x14ac:dyDescent="0.75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</row>
    <row r="21" spans="1:32" ht="25" x14ac:dyDescent="0.75">
      <c r="A21" s="88" t="s">
        <v>554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</row>
    <row r="22" spans="1:32" ht="37.25" x14ac:dyDescent="0.75">
      <c r="A22" s="89" t="s">
        <v>555</v>
      </c>
      <c r="B22" s="90">
        <v>27.701494</v>
      </c>
      <c r="C22" s="90">
        <v>28.161213</v>
      </c>
      <c r="D22" s="90">
        <v>28.336245999999999</v>
      </c>
      <c r="E22" s="90">
        <v>27.930389000000002</v>
      </c>
      <c r="F22" s="90">
        <v>27.360482999999999</v>
      </c>
      <c r="G22" s="90">
        <v>27.062560999999999</v>
      </c>
      <c r="H22" s="90">
        <v>26.745170999999999</v>
      </c>
      <c r="I22" s="90">
        <v>26.574788999999999</v>
      </c>
      <c r="J22" s="90">
        <v>26.450092000000001</v>
      </c>
      <c r="K22" s="90">
        <v>26.327152000000002</v>
      </c>
      <c r="L22" s="90">
        <v>26.309853</v>
      </c>
      <c r="M22" s="90">
        <v>26.236436999999999</v>
      </c>
      <c r="N22" s="90">
        <v>26.300083000000001</v>
      </c>
      <c r="O22" s="90">
        <v>26.476437000000001</v>
      </c>
      <c r="P22" s="90">
        <v>26.802655999999999</v>
      </c>
      <c r="Q22" s="90">
        <v>26.993179000000001</v>
      </c>
      <c r="R22" s="90">
        <v>27.175011000000001</v>
      </c>
      <c r="S22" s="90">
        <v>27.356400000000001</v>
      </c>
      <c r="T22" s="90">
        <v>27.506229000000001</v>
      </c>
      <c r="U22" s="90">
        <v>27.497744000000001</v>
      </c>
      <c r="V22" s="90">
        <v>27.485579999999999</v>
      </c>
      <c r="W22" s="90">
        <v>27.36544</v>
      </c>
      <c r="X22" s="90">
        <v>27.347321999999998</v>
      </c>
      <c r="Y22" s="90">
        <v>27.466481999999999</v>
      </c>
      <c r="Z22" s="90">
        <v>27.773669999999999</v>
      </c>
      <c r="AA22" s="90">
        <v>27.796990999999998</v>
      </c>
      <c r="AB22" s="90">
        <v>27.862095</v>
      </c>
      <c r="AC22" s="90">
        <v>27.968413999999999</v>
      </c>
      <c r="AD22" s="90">
        <v>27.940854999999999</v>
      </c>
      <c r="AE22" s="91">
        <v>3.0699999999999998E-4</v>
      </c>
      <c r="AF22" s="82"/>
    </row>
    <row r="23" spans="1:32" ht="37.25" x14ac:dyDescent="0.75">
      <c r="A23" s="89" t="s">
        <v>556</v>
      </c>
      <c r="B23" s="90">
        <v>1.7337320000000001</v>
      </c>
      <c r="C23" s="90">
        <v>2.0157180000000001</v>
      </c>
      <c r="D23" s="90">
        <v>2.2821009999999999</v>
      </c>
      <c r="E23" s="90">
        <v>2.4943019999999998</v>
      </c>
      <c r="F23" s="90">
        <v>2.6786949999999998</v>
      </c>
      <c r="G23" s="90">
        <v>2.8791380000000002</v>
      </c>
      <c r="H23" s="90">
        <v>3.0706500000000001</v>
      </c>
      <c r="I23" s="90">
        <v>3.2738580000000002</v>
      </c>
      <c r="J23" s="90">
        <v>3.4792079999999999</v>
      </c>
      <c r="K23" s="90">
        <v>3.682477</v>
      </c>
      <c r="L23" s="90">
        <v>3.8991889999999998</v>
      </c>
      <c r="M23" s="90">
        <v>4.1060140000000001</v>
      </c>
      <c r="N23" s="90">
        <v>4.3339280000000002</v>
      </c>
      <c r="O23" s="90">
        <v>4.5820100000000004</v>
      </c>
      <c r="P23" s="90">
        <v>4.8586029999999996</v>
      </c>
      <c r="Q23" s="90">
        <v>5.1157849999999998</v>
      </c>
      <c r="R23" s="90">
        <v>5.3752430000000002</v>
      </c>
      <c r="S23" s="90">
        <v>5.6369210000000001</v>
      </c>
      <c r="T23" s="90">
        <v>5.8950500000000003</v>
      </c>
      <c r="U23" s="90">
        <v>6.1207330000000004</v>
      </c>
      <c r="V23" s="90">
        <v>6.3446160000000003</v>
      </c>
      <c r="W23" s="90">
        <v>6.5425950000000004</v>
      </c>
      <c r="X23" s="90">
        <v>6.7636419999999999</v>
      </c>
      <c r="Y23" s="90">
        <v>7.0199959999999999</v>
      </c>
      <c r="Z23" s="90">
        <v>7.3329820000000003</v>
      </c>
      <c r="AA23" s="90">
        <v>7.5693910000000004</v>
      </c>
      <c r="AB23" s="90">
        <v>7.8167439999999999</v>
      </c>
      <c r="AC23" s="90">
        <v>8.0776070000000004</v>
      </c>
      <c r="AD23" s="90">
        <v>8.3581129999999995</v>
      </c>
      <c r="AE23" s="91">
        <v>5.7785000000000003E-2</v>
      </c>
      <c r="AF23" s="82"/>
    </row>
    <row r="24" spans="1:32" ht="37.25" x14ac:dyDescent="0.75">
      <c r="A24" s="89" t="s">
        <v>557</v>
      </c>
      <c r="B24" s="90">
        <v>2.34727</v>
      </c>
      <c r="C24" s="90">
        <v>4.4234220000000004</v>
      </c>
      <c r="D24" s="90">
        <v>6.5103299999999997</v>
      </c>
      <c r="E24" s="90">
        <v>8.4475149999999992</v>
      </c>
      <c r="F24" s="90">
        <v>10.260118</v>
      </c>
      <c r="G24" s="90">
        <v>12.106405000000001</v>
      </c>
      <c r="H24" s="90">
        <v>13.894964</v>
      </c>
      <c r="I24" s="90">
        <v>15.720405</v>
      </c>
      <c r="J24" s="90">
        <v>17.546631000000001</v>
      </c>
      <c r="K24" s="90">
        <v>19.353251</v>
      </c>
      <c r="L24" s="90">
        <v>21.224616999999999</v>
      </c>
      <c r="M24" s="90">
        <v>23.038656</v>
      </c>
      <c r="N24" s="90">
        <v>24.968584</v>
      </c>
      <c r="O24" s="90">
        <v>27.018315999999999</v>
      </c>
      <c r="P24" s="90">
        <v>29.246431000000001</v>
      </c>
      <c r="Q24" s="90">
        <v>31.364456000000001</v>
      </c>
      <c r="R24" s="90">
        <v>33.500416000000001</v>
      </c>
      <c r="S24" s="90">
        <v>35.655448999999997</v>
      </c>
      <c r="T24" s="90">
        <v>37.791504000000003</v>
      </c>
      <c r="U24" s="90">
        <v>39.719631</v>
      </c>
      <c r="V24" s="90">
        <v>41.633910999999998</v>
      </c>
      <c r="W24" s="90">
        <v>43.373733999999999</v>
      </c>
      <c r="X24" s="90">
        <v>45.262123000000003</v>
      </c>
      <c r="Y24" s="90">
        <v>47.386184999999998</v>
      </c>
      <c r="Z24" s="90">
        <v>49.898257999999998</v>
      </c>
      <c r="AA24" s="90">
        <v>51.892063</v>
      </c>
      <c r="AB24" s="90">
        <v>53.959820000000001</v>
      </c>
      <c r="AC24" s="90">
        <v>56.121364999999997</v>
      </c>
      <c r="AD24" s="90">
        <v>58.420788000000002</v>
      </c>
      <c r="AE24" s="91">
        <v>0.12164999999999999</v>
      </c>
      <c r="AF24" s="82"/>
    </row>
    <row r="25" spans="1:32" ht="37.25" x14ac:dyDescent="0.75">
      <c r="A25" s="89" t="s">
        <v>558</v>
      </c>
      <c r="B25" s="90">
        <v>16.660831000000002</v>
      </c>
      <c r="C25" s="90">
        <v>19.503101000000001</v>
      </c>
      <c r="D25" s="90">
        <v>22.200614999999999</v>
      </c>
      <c r="E25" s="90">
        <v>24.367394999999998</v>
      </c>
      <c r="F25" s="90">
        <v>26.257739999999998</v>
      </c>
      <c r="G25" s="90">
        <v>28.301953999999999</v>
      </c>
      <c r="H25" s="90">
        <v>30.256197</v>
      </c>
      <c r="I25" s="90">
        <v>32.324257000000003</v>
      </c>
      <c r="J25" s="90">
        <v>34.412506</v>
      </c>
      <c r="K25" s="90">
        <v>36.479725000000002</v>
      </c>
      <c r="L25" s="90">
        <v>38.679713999999997</v>
      </c>
      <c r="M25" s="90">
        <v>40.781128000000002</v>
      </c>
      <c r="N25" s="90">
        <v>43.091830999999999</v>
      </c>
      <c r="O25" s="90">
        <v>45.603496999999997</v>
      </c>
      <c r="P25" s="90">
        <v>48.399467000000001</v>
      </c>
      <c r="Q25" s="90">
        <v>51.002944999999997</v>
      </c>
      <c r="R25" s="90">
        <v>53.629680999999998</v>
      </c>
      <c r="S25" s="90">
        <v>56.278992000000002</v>
      </c>
      <c r="T25" s="90">
        <v>58.893321999999998</v>
      </c>
      <c r="U25" s="90">
        <v>61.183750000000003</v>
      </c>
      <c r="V25" s="90">
        <v>63.455978000000002</v>
      </c>
      <c r="W25" s="90">
        <v>65.468964</v>
      </c>
      <c r="X25" s="90">
        <v>67.712502000000001</v>
      </c>
      <c r="Y25" s="90">
        <v>70.309714999999997</v>
      </c>
      <c r="Z25" s="90">
        <v>73.475539999999995</v>
      </c>
      <c r="AA25" s="90">
        <v>75.873489000000006</v>
      </c>
      <c r="AB25" s="90">
        <v>78.380973999999995</v>
      </c>
      <c r="AC25" s="90">
        <v>81.024094000000005</v>
      </c>
      <c r="AD25" s="90">
        <v>83.864440999999999</v>
      </c>
      <c r="AE25" s="91">
        <v>5.9417999999999999E-2</v>
      </c>
      <c r="AF25" s="82"/>
    </row>
    <row r="26" spans="1:32" ht="37.25" x14ac:dyDescent="0.75">
      <c r="A26" s="89" t="s">
        <v>559</v>
      </c>
      <c r="B26" s="90">
        <v>2.4163809999999999</v>
      </c>
      <c r="C26" s="90">
        <v>2.7793239999999999</v>
      </c>
      <c r="D26" s="90">
        <v>3.1208979999999999</v>
      </c>
      <c r="E26" s="90">
        <v>3.388887</v>
      </c>
      <c r="F26" s="90">
        <v>3.6195200000000001</v>
      </c>
      <c r="G26" s="90">
        <v>3.871928</v>
      </c>
      <c r="H26" s="90">
        <v>4.112279</v>
      </c>
      <c r="I26" s="90">
        <v>4.3681489999999998</v>
      </c>
      <c r="J26" s="90">
        <v>4.6265349999999996</v>
      </c>
      <c r="K26" s="90">
        <v>4.8819739999999996</v>
      </c>
      <c r="L26" s="90">
        <v>5.155017</v>
      </c>
      <c r="M26" s="90">
        <v>5.4144670000000001</v>
      </c>
      <c r="N26" s="90">
        <v>5.7013439999999997</v>
      </c>
      <c r="O26" s="90">
        <v>6.0141749999999998</v>
      </c>
      <c r="P26" s="90">
        <v>6.3630979999999999</v>
      </c>
      <c r="Q26" s="90">
        <v>6.6865069999999998</v>
      </c>
      <c r="R26" s="90">
        <v>7.0129149999999996</v>
      </c>
      <c r="S26" s="90">
        <v>7.3414060000000001</v>
      </c>
      <c r="T26" s="90">
        <v>7.6650020000000003</v>
      </c>
      <c r="U26" s="90">
        <v>7.9463210000000002</v>
      </c>
      <c r="V26" s="90">
        <v>8.2245559999999998</v>
      </c>
      <c r="W26" s="90">
        <v>8.4691089999999996</v>
      </c>
      <c r="X26" s="90">
        <v>8.7432219999999994</v>
      </c>
      <c r="Y26" s="90">
        <v>9.0630970000000008</v>
      </c>
      <c r="Z26" s="90">
        <v>9.4596110000000007</v>
      </c>
      <c r="AA26" s="90">
        <v>9.7537870000000009</v>
      </c>
      <c r="AB26" s="90">
        <v>10.060923000000001</v>
      </c>
      <c r="AC26" s="90">
        <v>10.385608</v>
      </c>
      <c r="AD26" s="90">
        <v>10.734817</v>
      </c>
      <c r="AE26" s="91">
        <v>5.4702000000000001E-2</v>
      </c>
      <c r="AF26" s="82"/>
    </row>
    <row r="27" spans="1:32" ht="37.25" x14ac:dyDescent="0.75">
      <c r="A27" s="89" t="s">
        <v>560</v>
      </c>
      <c r="B27" s="90">
        <v>0.85057000000000005</v>
      </c>
      <c r="C27" s="90">
        <v>1.2301299999999999</v>
      </c>
      <c r="D27" s="90">
        <v>1.607591</v>
      </c>
      <c r="E27" s="90">
        <v>1.9478629999999999</v>
      </c>
      <c r="F27" s="90">
        <v>2.2618490000000002</v>
      </c>
      <c r="G27" s="90">
        <v>2.5850010000000001</v>
      </c>
      <c r="H27" s="90">
        <v>2.8968669999999999</v>
      </c>
      <c r="I27" s="90">
        <v>3.2170930000000002</v>
      </c>
      <c r="J27" s="90">
        <v>3.5376099999999999</v>
      </c>
      <c r="K27" s="90">
        <v>3.854425</v>
      </c>
      <c r="L27" s="90">
        <v>4.1841910000000002</v>
      </c>
      <c r="M27" s="90">
        <v>4.5023179999999998</v>
      </c>
      <c r="N27" s="90">
        <v>4.8428490000000002</v>
      </c>
      <c r="O27" s="90">
        <v>5.2059860000000002</v>
      </c>
      <c r="P27" s="90">
        <v>5.6019449999999997</v>
      </c>
      <c r="Q27" s="90">
        <v>5.9765319999999997</v>
      </c>
      <c r="R27" s="90">
        <v>6.354444</v>
      </c>
      <c r="S27" s="90">
        <v>6.7350919999999999</v>
      </c>
      <c r="T27" s="90">
        <v>7.1118160000000001</v>
      </c>
      <c r="U27" s="90">
        <v>7.4493419999999997</v>
      </c>
      <c r="V27" s="90">
        <v>7.7836749999999997</v>
      </c>
      <c r="W27" s="90">
        <v>8.0854420000000005</v>
      </c>
      <c r="X27" s="90">
        <v>8.414771</v>
      </c>
      <c r="Y27" s="90">
        <v>8.7880479999999999</v>
      </c>
      <c r="Z27" s="90">
        <v>9.2362420000000007</v>
      </c>
      <c r="AA27" s="90">
        <v>9.5852740000000001</v>
      </c>
      <c r="AB27" s="90">
        <v>9.9469960000000004</v>
      </c>
      <c r="AC27" s="90">
        <v>10.326148</v>
      </c>
      <c r="AD27" s="90">
        <v>10.729991999999999</v>
      </c>
      <c r="AE27" s="91">
        <v>9.4756000000000007E-2</v>
      </c>
      <c r="AF27" s="82"/>
    </row>
    <row r="28" spans="1:32" ht="37.25" x14ac:dyDescent="0.75">
      <c r="A28" s="89" t="s">
        <v>561</v>
      </c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1" t="s">
        <v>298</v>
      </c>
      <c r="AF28" s="82"/>
    </row>
    <row r="29" spans="1:32" ht="37.25" x14ac:dyDescent="0.75">
      <c r="A29" s="89" t="s">
        <v>562</v>
      </c>
      <c r="B29" s="90">
        <v>32.527453999999999</v>
      </c>
      <c r="C29" s="90">
        <v>34.683559000000002</v>
      </c>
      <c r="D29" s="90">
        <v>36.517467000000003</v>
      </c>
      <c r="E29" s="90">
        <v>37.527821000000003</v>
      </c>
      <c r="F29" s="90">
        <v>38.211796</v>
      </c>
      <c r="G29" s="90">
        <v>39.194439000000003</v>
      </c>
      <c r="H29" s="90">
        <v>40.098598000000003</v>
      </c>
      <c r="I29" s="90">
        <v>41.186400999999996</v>
      </c>
      <c r="J29" s="90">
        <v>42.318877999999998</v>
      </c>
      <c r="K29" s="90">
        <v>43.439338999999997</v>
      </c>
      <c r="L29" s="90">
        <v>44.725349000000001</v>
      </c>
      <c r="M29" s="90">
        <v>45.902386</v>
      </c>
      <c r="N29" s="90">
        <v>47.315739000000001</v>
      </c>
      <c r="O29" s="90">
        <v>48.939678000000001</v>
      </c>
      <c r="P29" s="90">
        <v>50.848151999999999</v>
      </c>
      <c r="Q29" s="90">
        <v>52.535007</v>
      </c>
      <c r="R29" s="90">
        <v>54.232723</v>
      </c>
      <c r="S29" s="90">
        <v>55.940033</v>
      </c>
      <c r="T29" s="90">
        <v>57.601685000000003</v>
      </c>
      <c r="U29" s="90">
        <v>58.942470999999998</v>
      </c>
      <c r="V29" s="90">
        <v>60.265563999999998</v>
      </c>
      <c r="W29" s="90">
        <v>61.346801999999997</v>
      </c>
      <c r="X29" s="90">
        <v>62.647990999999998</v>
      </c>
      <c r="Y29" s="90">
        <v>64.274544000000006</v>
      </c>
      <c r="Z29" s="90">
        <v>66.418464999999998</v>
      </c>
      <c r="AA29" s="90">
        <v>67.851569999999995</v>
      </c>
      <c r="AB29" s="90">
        <v>69.378135999999998</v>
      </c>
      <c r="AC29" s="90">
        <v>71.021629000000004</v>
      </c>
      <c r="AD29" s="90">
        <v>72.830382999999998</v>
      </c>
      <c r="AE29" s="91">
        <v>2.9205999999999999E-2</v>
      </c>
      <c r="AF29" s="82"/>
    </row>
    <row r="30" spans="1:32" ht="25" x14ac:dyDescent="0.75">
      <c r="A30" s="89" t="s">
        <v>563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1" t="s">
        <v>298</v>
      </c>
      <c r="AF30" s="82"/>
    </row>
    <row r="31" spans="1:32" ht="25" x14ac:dyDescent="0.75">
      <c r="A31" s="89" t="s">
        <v>564</v>
      </c>
      <c r="B31" s="90">
        <v>0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1" t="s">
        <v>298</v>
      </c>
      <c r="AF31" s="82"/>
    </row>
    <row r="32" spans="1:32" ht="25" x14ac:dyDescent="0.75">
      <c r="A32" s="89" t="s">
        <v>565</v>
      </c>
      <c r="B32" s="90">
        <v>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1" t="s">
        <v>298</v>
      </c>
      <c r="AF32" s="82"/>
    </row>
    <row r="33" spans="1:32" ht="25" x14ac:dyDescent="0.75">
      <c r="A33" s="89" t="s">
        <v>566</v>
      </c>
      <c r="B33" s="90">
        <v>0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1" t="s">
        <v>298</v>
      </c>
      <c r="AF33" s="82"/>
    </row>
    <row r="34" spans="1:32" ht="25" x14ac:dyDescent="0.75">
      <c r="A34" s="89" t="s">
        <v>567</v>
      </c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1" t="s">
        <v>298</v>
      </c>
      <c r="AF34" s="82"/>
    </row>
    <row r="35" spans="1:32" ht="25" x14ac:dyDescent="0.75">
      <c r="A35" s="89" t="s">
        <v>568</v>
      </c>
      <c r="B35" s="90">
        <v>4.8113000000000003E-2</v>
      </c>
      <c r="C35" s="90">
        <v>9.2383999999999994E-2</v>
      </c>
      <c r="D35" s="90">
        <v>0.13745099999999999</v>
      </c>
      <c r="E35" s="90">
        <v>0.179425</v>
      </c>
      <c r="F35" s="90">
        <v>0.218551</v>
      </c>
      <c r="G35" s="90">
        <v>0.25812099999999999</v>
      </c>
      <c r="H35" s="90">
        <v>0.29622999999999999</v>
      </c>
      <c r="I35" s="90">
        <v>0.33490500000000001</v>
      </c>
      <c r="J35" s="90">
        <v>0.37334200000000001</v>
      </c>
      <c r="K35" s="90">
        <v>0.41120699999999999</v>
      </c>
      <c r="L35" s="90">
        <v>0.45029799999999998</v>
      </c>
      <c r="M35" s="90">
        <v>0.48788300000000001</v>
      </c>
      <c r="N35" s="90">
        <v>0.52772200000000002</v>
      </c>
      <c r="O35" s="90">
        <v>0.56985600000000003</v>
      </c>
      <c r="P35" s="90">
        <v>0.61519100000000004</v>
      </c>
      <c r="Q35" s="90">
        <v>0.65825</v>
      </c>
      <c r="R35" s="90">
        <v>0.70174800000000004</v>
      </c>
      <c r="S35" s="90">
        <v>0.74530600000000002</v>
      </c>
      <c r="T35" s="90">
        <v>0.78837999999999997</v>
      </c>
      <c r="U35" s="90">
        <v>0.82708400000000004</v>
      </c>
      <c r="V35" s="90">
        <v>0.86512500000000003</v>
      </c>
      <c r="W35" s="90">
        <v>0.89946000000000004</v>
      </c>
      <c r="X35" s="90">
        <v>0.93670200000000003</v>
      </c>
      <c r="Y35" s="90">
        <v>0.97888399999999998</v>
      </c>
      <c r="Z35" s="90">
        <v>1.03084</v>
      </c>
      <c r="AA35" s="90">
        <v>1.070397</v>
      </c>
      <c r="AB35" s="90">
        <v>1.1109290000000001</v>
      </c>
      <c r="AC35" s="90">
        <v>1.1534819999999999</v>
      </c>
      <c r="AD35" s="90">
        <v>1.1985399999999999</v>
      </c>
      <c r="AE35" s="91">
        <v>0.121686</v>
      </c>
      <c r="AF35" s="82"/>
    </row>
    <row r="36" spans="1:32" ht="37.25" x14ac:dyDescent="0.75">
      <c r="A36" s="89" t="s">
        <v>569</v>
      </c>
      <c r="B36" s="90">
        <v>84.285843</v>
      </c>
      <c r="C36" s="90">
        <v>92.888846999999998</v>
      </c>
      <c r="D36" s="90">
        <v>100.7127</v>
      </c>
      <c r="E36" s="90">
        <v>106.283592</v>
      </c>
      <c r="F36" s="90">
        <v>110.868759</v>
      </c>
      <c r="G36" s="90">
        <v>116.25954400000001</v>
      </c>
      <c r="H36" s="90">
        <v>121.370949</v>
      </c>
      <c r="I36" s="90">
        <v>126.999863</v>
      </c>
      <c r="J36" s="90">
        <v>132.74479700000001</v>
      </c>
      <c r="K36" s="90">
        <v>138.42955000000001</v>
      </c>
      <c r="L36" s="90">
        <v>144.62823499999999</v>
      </c>
      <c r="M36" s="90">
        <v>150.46928399999999</v>
      </c>
      <c r="N36" s="90">
        <v>157.082077</v>
      </c>
      <c r="O36" s="90">
        <v>164.40995799999999</v>
      </c>
      <c r="P36" s="90">
        <v>172.73554999999999</v>
      </c>
      <c r="Q36" s="90">
        <v>180.33265700000001</v>
      </c>
      <c r="R36" s="90">
        <v>187.982193</v>
      </c>
      <c r="S36" s="90">
        <v>195.689606</v>
      </c>
      <c r="T36" s="90">
        <v>203.25299100000001</v>
      </c>
      <c r="U36" s="90">
        <v>209.687073</v>
      </c>
      <c r="V36" s="90">
        <v>216.059021</v>
      </c>
      <c r="W36" s="90">
        <v>221.55154400000001</v>
      </c>
      <c r="X36" s="90">
        <v>227.82827800000001</v>
      </c>
      <c r="Y36" s="90">
        <v>235.286957</v>
      </c>
      <c r="Z36" s="90">
        <v>244.62560999999999</v>
      </c>
      <c r="AA36" s="90">
        <v>251.39295999999999</v>
      </c>
      <c r="AB36" s="90">
        <v>258.51663200000002</v>
      </c>
      <c r="AC36" s="90">
        <v>266.07833900000003</v>
      </c>
      <c r="AD36" s="90">
        <v>274.07794200000001</v>
      </c>
      <c r="AE36" s="91">
        <v>4.3013999999999997E-2</v>
      </c>
      <c r="AF36" s="82"/>
    </row>
    <row r="37" spans="1:32" x14ac:dyDescent="0.75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</row>
    <row r="38" spans="1:32" ht="37.25" x14ac:dyDescent="0.75">
      <c r="A38" s="89" t="s">
        <v>570</v>
      </c>
      <c r="B38" s="90">
        <v>10.157681</v>
      </c>
      <c r="C38" s="90">
        <v>10.983188999999999</v>
      </c>
      <c r="D38" s="90">
        <v>11.805899999999999</v>
      </c>
      <c r="E38" s="90">
        <v>12.622498999999999</v>
      </c>
      <c r="F38" s="90">
        <v>13.434297000000001</v>
      </c>
      <c r="G38" s="90">
        <v>14.243176</v>
      </c>
      <c r="H38" s="90">
        <v>15.050748</v>
      </c>
      <c r="I38" s="90">
        <v>15.857642999999999</v>
      </c>
      <c r="J38" s="90">
        <v>16.664019</v>
      </c>
      <c r="K38" s="90">
        <v>17.470499</v>
      </c>
      <c r="L38" s="90">
        <v>18.277194999999999</v>
      </c>
      <c r="M38" s="90">
        <v>19.083721000000001</v>
      </c>
      <c r="N38" s="90">
        <v>19.890460999999998</v>
      </c>
      <c r="O38" s="90">
        <v>20.697310999999999</v>
      </c>
      <c r="P38" s="90">
        <v>21.503720999999999</v>
      </c>
      <c r="Q38" s="90">
        <v>22.311045</v>
      </c>
      <c r="R38" s="90">
        <v>23.119164999999999</v>
      </c>
      <c r="S38" s="90">
        <v>23.927289999999999</v>
      </c>
      <c r="T38" s="90">
        <v>24.735849000000002</v>
      </c>
      <c r="U38" s="90">
        <v>25.544803999999999</v>
      </c>
      <c r="V38" s="90">
        <v>26.353815000000001</v>
      </c>
      <c r="W38" s="90">
        <v>27.163171999999999</v>
      </c>
      <c r="X38" s="90">
        <v>27.972829999999998</v>
      </c>
      <c r="Y38" s="90">
        <v>28.782892</v>
      </c>
      <c r="Z38" s="90">
        <v>29.593699999999998</v>
      </c>
      <c r="AA38" s="90">
        <v>30.404064000000002</v>
      </c>
      <c r="AB38" s="90">
        <v>31.214642000000001</v>
      </c>
      <c r="AC38" s="90">
        <v>32.025562000000001</v>
      </c>
      <c r="AD38" s="90">
        <v>32.813243999999997</v>
      </c>
      <c r="AE38" s="91">
        <v>4.2768E-2</v>
      </c>
      <c r="AF38" s="82"/>
    </row>
    <row r="39" spans="1:32" ht="25" x14ac:dyDescent="0.75">
      <c r="A39" s="89" t="s">
        <v>571</v>
      </c>
      <c r="B39" s="90">
        <v>829.77441399999998</v>
      </c>
      <c r="C39" s="90">
        <v>845.73663299999998</v>
      </c>
      <c r="D39" s="90">
        <v>853.07098399999995</v>
      </c>
      <c r="E39" s="90">
        <v>842.01702899999998</v>
      </c>
      <c r="F39" s="90">
        <v>825.26654099999996</v>
      </c>
      <c r="G39" s="90">
        <v>816.24737500000003</v>
      </c>
      <c r="H39" s="90">
        <v>806.41143799999998</v>
      </c>
      <c r="I39" s="90">
        <v>800.87481700000001</v>
      </c>
      <c r="J39" s="90">
        <v>796.59533699999997</v>
      </c>
      <c r="K39" s="90">
        <v>792.36175500000002</v>
      </c>
      <c r="L39" s="90">
        <v>791.30432099999996</v>
      </c>
      <c r="M39" s="90">
        <v>788.46929899999998</v>
      </c>
      <c r="N39" s="90">
        <v>789.73571800000002</v>
      </c>
      <c r="O39" s="90">
        <v>794.35418700000002</v>
      </c>
      <c r="P39" s="90">
        <v>803.282104</v>
      </c>
      <c r="Q39" s="90">
        <v>808.26629600000001</v>
      </c>
      <c r="R39" s="90">
        <v>813.101135</v>
      </c>
      <c r="S39" s="90">
        <v>817.85107400000004</v>
      </c>
      <c r="T39" s="90">
        <v>821.69397000000004</v>
      </c>
      <c r="U39" s="90">
        <v>820.85998500000005</v>
      </c>
      <c r="V39" s="90">
        <v>819.83960000000002</v>
      </c>
      <c r="W39" s="90">
        <v>815.63207999999997</v>
      </c>
      <c r="X39" s="90">
        <v>814.46276899999998</v>
      </c>
      <c r="Y39" s="90">
        <v>817.45422399999995</v>
      </c>
      <c r="Z39" s="90">
        <v>826.613831</v>
      </c>
      <c r="AA39" s="90">
        <v>826.839966</v>
      </c>
      <c r="AB39" s="90">
        <v>828.19030799999996</v>
      </c>
      <c r="AC39" s="90">
        <v>830.83117700000003</v>
      </c>
      <c r="AD39" s="90">
        <v>835.26629600000001</v>
      </c>
      <c r="AE39" s="91">
        <v>2.3599999999999999E-4</v>
      </c>
      <c r="AF39" s="82"/>
    </row>
    <row r="40" spans="1:32" x14ac:dyDescent="0.75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</row>
    <row r="41" spans="1:32" ht="37.25" x14ac:dyDescent="0.75">
      <c r="A41" s="88" t="s">
        <v>572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</row>
    <row r="42" spans="1:32" ht="49.5" x14ac:dyDescent="0.75">
      <c r="A42" s="88" t="s">
        <v>573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</row>
    <row r="43" spans="1:32" ht="25" x14ac:dyDescent="0.75">
      <c r="A43" s="89" t="s">
        <v>551</v>
      </c>
      <c r="B43" s="90">
        <v>1139.8826899999999</v>
      </c>
      <c r="C43" s="90">
        <v>1177.592163</v>
      </c>
      <c r="D43" s="90">
        <v>1225.1961670000001</v>
      </c>
      <c r="E43" s="90">
        <v>1266.6292719999999</v>
      </c>
      <c r="F43" s="90">
        <v>1280.5263669999999</v>
      </c>
      <c r="G43" s="90">
        <v>1273.6563719999999</v>
      </c>
      <c r="H43" s="90">
        <v>1266.3192140000001</v>
      </c>
      <c r="I43" s="90">
        <v>1266.370361</v>
      </c>
      <c r="J43" s="90">
        <v>1255.4794919999999</v>
      </c>
      <c r="K43" s="90">
        <v>1247.123413</v>
      </c>
      <c r="L43" s="90">
        <v>1238.2232670000001</v>
      </c>
      <c r="M43" s="90">
        <v>1229.9169919999999</v>
      </c>
      <c r="N43" s="90">
        <v>1228.6763920000001</v>
      </c>
      <c r="O43" s="90">
        <v>1234.7006839999999</v>
      </c>
      <c r="P43" s="90">
        <v>1240.9655760000001</v>
      </c>
      <c r="Q43" s="90">
        <v>1247.8654790000001</v>
      </c>
      <c r="R43" s="90">
        <v>1256.841919</v>
      </c>
      <c r="S43" s="90">
        <v>1264.0477289999999</v>
      </c>
      <c r="T43" s="90">
        <v>1273.665039</v>
      </c>
      <c r="U43" s="90">
        <v>1276.9398189999999</v>
      </c>
      <c r="V43" s="90">
        <v>1280.798096</v>
      </c>
      <c r="W43" s="90">
        <v>1284.902832</v>
      </c>
      <c r="X43" s="90">
        <v>1287.0942379999999</v>
      </c>
      <c r="Y43" s="90">
        <v>1296.9729</v>
      </c>
      <c r="Z43" s="90">
        <v>1299.4545900000001</v>
      </c>
      <c r="AA43" s="90">
        <v>1304.3114009999999</v>
      </c>
      <c r="AB43" s="90">
        <v>1303.9990230000001</v>
      </c>
      <c r="AC43" s="90">
        <v>1310.53125</v>
      </c>
      <c r="AD43" s="90">
        <v>1318.357544</v>
      </c>
      <c r="AE43" s="91">
        <v>5.2090000000000001E-3</v>
      </c>
      <c r="AF43" s="82"/>
    </row>
    <row r="44" spans="1:32" ht="25" x14ac:dyDescent="0.75">
      <c r="A44" s="89" t="s">
        <v>552</v>
      </c>
      <c r="B44" s="90">
        <v>4.2833999999999997E-2</v>
      </c>
      <c r="C44" s="90">
        <v>4.48E-2</v>
      </c>
      <c r="D44" s="90">
        <v>4.7136999999999998E-2</v>
      </c>
      <c r="E44" s="90">
        <v>4.9204999999999999E-2</v>
      </c>
      <c r="F44" s="90">
        <v>5.0164E-2</v>
      </c>
      <c r="G44" s="90">
        <v>5.0279999999999998E-2</v>
      </c>
      <c r="H44" s="90">
        <v>5.0354000000000003E-2</v>
      </c>
      <c r="I44" s="90">
        <v>5.0707000000000002E-2</v>
      </c>
      <c r="J44" s="90">
        <v>5.0605999999999998E-2</v>
      </c>
      <c r="K44" s="90">
        <v>5.0601E-2</v>
      </c>
      <c r="L44" s="90">
        <v>5.0573E-2</v>
      </c>
      <c r="M44" s="90">
        <v>5.0560000000000001E-2</v>
      </c>
      <c r="N44" s="90">
        <v>5.0837E-2</v>
      </c>
      <c r="O44" s="90">
        <v>5.1416000000000003E-2</v>
      </c>
      <c r="P44" s="90">
        <v>5.1998999999999997E-2</v>
      </c>
      <c r="Q44" s="90">
        <v>5.2623000000000003E-2</v>
      </c>
      <c r="R44" s="90">
        <v>5.3331999999999997E-2</v>
      </c>
      <c r="S44" s="90">
        <v>5.3966E-2</v>
      </c>
      <c r="T44" s="90">
        <v>5.4716000000000001E-2</v>
      </c>
      <c r="U44" s="90">
        <v>5.5203000000000002E-2</v>
      </c>
      <c r="V44" s="90">
        <v>5.5719999999999999E-2</v>
      </c>
      <c r="W44" s="90">
        <v>5.6253999999999998E-2</v>
      </c>
      <c r="X44" s="90">
        <v>5.6709000000000002E-2</v>
      </c>
      <c r="Y44" s="90">
        <v>5.7514999999999997E-2</v>
      </c>
      <c r="Z44" s="90">
        <v>5.8032E-2</v>
      </c>
      <c r="AA44" s="90">
        <v>5.8631999999999997E-2</v>
      </c>
      <c r="AB44" s="90">
        <v>5.8999000000000003E-2</v>
      </c>
      <c r="AC44" s="90">
        <v>5.9676E-2</v>
      </c>
      <c r="AD44" s="90">
        <v>6.0409999999999998E-2</v>
      </c>
      <c r="AE44" s="91">
        <v>1.2355E-2</v>
      </c>
      <c r="AF44" s="82"/>
    </row>
    <row r="45" spans="1:32" ht="49.5" x14ac:dyDescent="0.75">
      <c r="A45" s="89" t="s">
        <v>574</v>
      </c>
      <c r="B45" s="90">
        <v>1139.9255370000001</v>
      </c>
      <c r="C45" s="90">
        <v>1177.6369629999999</v>
      </c>
      <c r="D45" s="90">
        <v>1225.2432859999999</v>
      </c>
      <c r="E45" s="90">
        <v>1266.678467</v>
      </c>
      <c r="F45" s="90">
        <v>1280.576538</v>
      </c>
      <c r="G45" s="90">
        <v>1273.7066649999999</v>
      </c>
      <c r="H45" s="90">
        <v>1266.369629</v>
      </c>
      <c r="I45" s="90">
        <v>1266.4210210000001</v>
      </c>
      <c r="J45" s="90">
        <v>1255.5301509999999</v>
      </c>
      <c r="K45" s="90">
        <v>1247.174072</v>
      </c>
      <c r="L45" s="90">
        <v>1238.2738039999999</v>
      </c>
      <c r="M45" s="90">
        <v>1229.967529</v>
      </c>
      <c r="N45" s="90">
        <v>1228.727173</v>
      </c>
      <c r="O45" s="90">
        <v>1234.7520750000001</v>
      </c>
      <c r="P45" s="90">
        <v>1241.017578</v>
      </c>
      <c r="Q45" s="90">
        <v>1247.918091</v>
      </c>
      <c r="R45" s="90">
        <v>1256.895264</v>
      </c>
      <c r="S45" s="90">
        <v>1264.1016850000001</v>
      </c>
      <c r="T45" s="90">
        <v>1273.7197269999999</v>
      </c>
      <c r="U45" s="90">
        <v>1276.994995</v>
      </c>
      <c r="V45" s="90">
        <v>1280.85376</v>
      </c>
      <c r="W45" s="90">
        <v>1284.959106</v>
      </c>
      <c r="X45" s="90">
        <v>1287.151001</v>
      </c>
      <c r="Y45" s="90">
        <v>1297.0303960000001</v>
      </c>
      <c r="Z45" s="90">
        <v>1299.512573</v>
      </c>
      <c r="AA45" s="90">
        <v>1304.369995</v>
      </c>
      <c r="AB45" s="90">
        <v>1304.0579829999999</v>
      </c>
      <c r="AC45" s="90">
        <v>1310.590942</v>
      </c>
      <c r="AD45" s="90">
        <v>1318.4179690000001</v>
      </c>
      <c r="AE45" s="91">
        <v>5.2090000000000001E-3</v>
      </c>
      <c r="AF45" s="82"/>
    </row>
    <row r="46" spans="1:32" x14ac:dyDescent="0.7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</row>
    <row r="47" spans="1:32" ht="37.25" x14ac:dyDescent="0.75">
      <c r="A47" s="88" t="s">
        <v>575</v>
      </c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</row>
    <row r="48" spans="1:32" ht="37.25" x14ac:dyDescent="0.75">
      <c r="A48" s="89" t="s">
        <v>555</v>
      </c>
      <c r="B48" s="90">
        <v>97.975632000000004</v>
      </c>
      <c r="C48" s="90">
        <v>102.396866</v>
      </c>
      <c r="D48" s="90">
        <v>107.670074</v>
      </c>
      <c r="E48" s="90">
        <v>112.335747</v>
      </c>
      <c r="F48" s="90">
        <v>114.480133</v>
      </c>
      <c r="G48" s="90">
        <v>114.707611</v>
      </c>
      <c r="H48" s="90">
        <v>114.84384900000001</v>
      </c>
      <c r="I48" s="90">
        <v>115.61747699999999</v>
      </c>
      <c r="J48" s="90">
        <v>115.360405</v>
      </c>
      <c r="K48" s="90">
        <v>115.324371</v>
      </c>
      <c r="L48" s="90">
        <v>115.233521</v>
      </c>
      <c r="M48" s="90">
        <v>115.18001599999999</v>
      </c>
      <c r="N48" s="90">
        <v>115.78655999999999</v>
      </c>
      <c r="O48" s="90">
        <v>117.082176</v>
      </c>
      <c r="P48" s="90">
        <v>118.387558</v>
      </c>
      <c r="Q48" s="90">
        <v>119.784828</v>
      </c>
      <c r="R48" s="90">
        <v>121.377831</v>
      </c>
      <c r="S48" s="90">
        <v>122.802498</v>
      </c>
      <c r="T48" s="90">
        <v>124.48741099999999</v>
      </c>
      <c r="U48" s="90">
        <v>125.57402</v>
      </c>
      <c r="V48" s="90">
        <v>126.727165</v>
      </c>
      <c r="W48" s="90">
        <v>127.91965500000001</v>
      </c>
      <c r="X48" s="90">
        <v>128.931488</v>
      </c>
      <c r="Y48" s="90">
        <v>130.741165</v>
      </c>
      <c r="Z48" s="90">
        <v>131.88453699999999</v>
      </c>
      <c r="AA48" s="90">
        <v>133.223083</v>
      </c>
      <c r="AB48" s="90">
        <v>134.03350800000001</v>
      </c>
      <c r="AC48" s="90">
        <v>135.54968299999999</v>
      </c>
      <c r="AD48" s="90">
        <v>137.19546500000001</v>
      </c>
      <c r="AE48" s="91">
        <v>1.2097E-2</v>
      </c>
      <c r="AF48" s="82"/>
    </row>
    <row r="49" spans="1:32" ht="37.25" x14ac:dyDescent="0.75">
      <c r="A49" s="89" t="s">
        <v>556</v>
      </c>
      <c r="B49" s="90">
        <v>7.7187000000000006E-2</v>
      </c>
      <c r="C49" s="90">
        <v>7.6893000000000003E-2</v>
      </c>
      <c r="D49" s="90">
        <v>7.7079999999999996E-2</v>
      </c>
      <c r="E49" s="90">
        <v>7.6725000000000002E-2</v>
      </c>
      <c r="F49" s="90">
        <v>7.4614E-2</v>
      </c>
      <c r="G49" s="90">
        <v>7.1290999999999993E-2</v>
      </c>
      <c r="H49" s="90">
        <v>6.7976999999999996E-2</v>
      </c>
      <c r="I49" s="90">
        <v>6.5073000000000006E-2</v>
      </c>
      <c r="J49" s="90">
        <v>6.1624999999999999E-2</v>
      </c>
      <c r="K49" s="90">
        <v>5.8332000000000002E-2</v>
      </c>
      <c r="L49" s="90">
        <v>5.5036000000000002E-2</v>
      </c>
      <c r="M49" s="90">
        <v>5.1792999999999999E-2</v>
      </c>
      <c r="N49" s="90">
        <v>4.8852E-2</v>
      </c>
      <c r="O49" s="90">
        <v>4.6171999999999998E-2</v>
      </c>
      <c r="P49" s="90">
        <v>4.3458999999999998E-2</v>
      </c>
      <c r="Q49" s="90">
        <v>4.0714E-2</v>
      </c>
      <c r="R49" s="90">
        <v>3.7982000000000002E-2</v>
      </c>
      <c r="S49" s="90">
        <v>3.5138999999999997E-2</v>
      </c>
      <c r="T49" s="90">
        <v>3.2300000000000002E-2</v>
      </c>
      <c r="U49" s="90">
        <v>2.9246000000000001E-2</v>
      </c>
      <c r="V49" s="90">
        <v>2.6165999999999998E-2</v>
      </c>
      <c r="W49" s="90">
        <v>2.3050000000000001E-2</v>
      </c>
      <c r="X49" s="90">
        <v>1.9861E-2</v>
      </c>
      <c r="Y49" s="90">
        <v>1.6736000000000001E-2</v>
      </c>
      <c r="Z49" s="90">
        <v>1.3457999999999999E-2</v>
      </c>
      <c r="AA49" s="90">
        <v>1.0167000000000001E-2</v>
      </c>
      <c r="AB49" s="90">
        <v>6.8009999999999998E-3</v>
      </c>
      <c r="AC49" s="90">
        <v>3.4299999999999999E-3</v>
      </c>
      <c r="AD49" s="90">
        <v>0</v>
      </c>
      <c r="AE49" s="91" t="s">
        <v>298</v>
      </c>
      <c r="AF49" s="82"/>
    </row>
    <row r="50" spans="1:32" ht="37.25" x14ac:dyDescent="0.75">
      <c r="A50" s="89" t="s">
        <v>557</v>
      </c>
      <c r="B50" s="90">
        <v>3.6266189999999998</v>
      </c>
      <c r="C50" s="90">
        <v>7.1142820000000002</v>
      </c>
      <c r="D50" s="90">
        <v>10.936429</v>
      </c>
      <c r="E50" s="90">
        <v>14.991846000000001</v>
      </c>
      <c r="F50" s="90">
        <v>18.91403</v>
      </c>
      <c r="G50" s="90">
        <v>22.581854</v>
      </c>
      <c r="H50" s="90">
        <v>26.231238999999999</v>
      </c>
      <c r="I50" s="90">
        <v>30.044129999999999</v>
      </c>
      <c r="J50" s="90">
        <v>33.597034000000001</v>
      </c>
      <c r="K50" s="90">
        <v>37.191940000000002</v>
      </c>
      <c r="L50" s="90">
        <v>40.750644999999999</v>
      </c>
      <c r="M50" s="90">
        <v>44.308708000000003</v>
      </c>
      <c r="N50" s="90">
        <v>48.125022999999999</v>
      </c>
      <c r="O50" s="90">
        <v>52.274918</v>
      </c>
      <c r="P50" s="90">
        <v>56.508243999999998</v>
      </c>
      <c r="Q50" s="90">
        <v>60.848197999999996</v>
      </c>
      <c r="R50" s="90">
        <v>65.376472000000007</v>
      </c>
      <c r="S50" s="90">
        <v>69.901756000000006</v>
      </c>
      <c r="T50" s="90">
        <v>74.653328000000002</v>
      </c>
      <c r="U50" s="90">
        <v>79.114174000000006</v>
      </c>
      <c r="V50" s="90">
        <v>83.673812999999996</v>
      </c>
      <c r="W50" s="90">
        <v>88.316001999999997</v>
      </c>
      <c r="X50" s="90">
        <v>92.888107000000005</v>
      </c>
      <c r="Y50" s="90">
        <v>98.097862000000006</v>
      </c>
      <c r="Z50" s="90">
        <v>102.834633</v>
      </c>
      <c r="AA50" s="90">
        <v>107.82616400000001</v>
      </c>
      <c r="AB50" s="90">
        <v>112.44903600000001</v>
      </c>
      <c r="AC50" s="90">
        <v>117.727913</v>
      </c>
      <c r="AD50" s="90">
        <v>123.218712</v>
      </c>
      <c r="AE50" s="91">
        <v>0.134187</v>
      </c>
      <c r="AF50" s="82"/>
    </row>
    <row r="51" spans="1:32" ht="37.25" x14ac:dyDescent="0.75">
      <c r="A51" s="89" t="s">
        <v>558</v>
      </c>
      <c r="B51" s="90">
        <v>1.5407519999999999</v>
      </c>
      <c r="C51" s="90">
        <v>2.0549010000000001</v>
      </c>
      <c r="D51" s="90">
        <v>2.6251910000000001</v>
      </c>
      <c r="E51" s="90">
        <v>3.2232090000000002</v>
      </c>
      <c r="F51" s="90">
        <v>3.7786979999999999</v>
      </c>
      <c r="G51" s="90">
        <v>4.2807060000000003</v>
      </c>
      <c r="H51" s="90">
        <v>4.7801239999999998</v>
      </c>
      <c r="I51" s="90">
        <v>5.3091759999999999</v>
      </c>
      <c r="J51" s="90">
        <v>5.7925469999999999</v>
      </c>
      <c r="K51" s="90">
        <v>6.2841839999999998</v>
      </c>
      <c r="L51" s="90">
        <v>6.7704449999999996</v>
      </c>
      <c r="M51" s="90">
        <v>7.25732</v>
      </c>
      <c r="N51" s="90">
        <v>7.7865450000000003</v>
      </c>
      <c r="O51" s="90">
        <v>8.3687529999999999</v>
      </c>
      <c r="P51" s="90">
        <v>8.9629480000000008</v>
      </c>
      <c r="Q51" s="90">
        <v>9.5726270000000007</v>
      </c>
      <c r="R51" s="90">
        <v>10.210526</v>
      </c>
      <c r="S51" s="90">
        <v>10.846562</v>
      </c>
      <c r="T51" s="90">
        <v>11.516315000000001</v>
      </c>
      <c r="U51" s="90">
        <v>12.140107</v>
      </c>
      <c r="V51" s="90">
        <v>12.778309</v>
      </c>
      <c r="W51" s="90">
        <v>13.428331999999999</v>
      </c>
      <c r="X51" s="90">
        <v>14.067024</v>
      </c>
      <c r="Y51" s="90">
        <v>14.801416</v>
      </c>
      <c r="Z51" s="90">
        <v>15.463592</v>
      </c>
      <c r="AA51" s="90">
        <v>16.163537999999999</v>
      </c>
      <c r="AB51" s="90">
        <v>16.80772</v>
      </c>
      <c r="AC51" s="90">
        <v>17.549416999999998</v>
      </c>
      <c r="AD51" s="90">
        <v>18.321916999999999</v>
      </c>
      <c r="AE51" s="91">
        <v>9.2450000000000004E-2</v>
      </c>
      <c r="AF51" s="82"/>
    </row>
    <row r="52" spans="1:32" ht="37.25" x14ac:dyDescent="0.75">
      <c r="A52" s="89" t="s">
        <v>559</v>
      </c>
      <c r="B52" s="90">
        <v>4.7443010000000001</v>
      </c>
      <c r="C52" s="90">
        <v>5.0455069999999997</v>
      </c>
      <c r="D52" s="90">
        <v>5.4024989999999997</v>
      </c>
      <c r="E52" s="90">
        <v>5.7478610000000003</v>
      </c>
      <c r="F52" s="90">
        <v>5.9794809999999998</v>
      </c>
      <c r="G52" s="90">
        <v>6.1178429999999997</v>
      </c>
      <c r="H52" s="90">
        <v>6.2542980000000004</v>
      </c>
      <c r="I52" s="90">
        <v>6.4282649999999997</v>
      </c>
      <c r="J52" s="90">
        <v>6.5471839999999997</v>
      </c>
      <c r="K52" s="90">
        <v>6.6780039999999996</v>
      </c>
      <c r="L52" s="90">
        <v>6.8046899999999999</v>
      </c>
      <c r="M52" s="90">
        <v>6.9338360000000003</v>
      </c>
      <c r="N52" s="90">
        <v>7.1027570000000004</v>
      </c>
      <c r="O52" s="90">
        <v>7.3157490000000003</v>
      </c>
      <c r="P52" s="90">
        <v>7.5340819999999997</v>
      </c>
      <c r="Q52" s="90">
        <v>7.758972</v>
      </c>
      <c r="R52" s="90">
        <v>8.0011349999999997</v>
      </c>
      <c r="S52" s="90">
        <v>8.2362789999999997</v>
      </c>
      <c r="T52" s="90">
        <v>8.490767</v>
      </c>
      <c r="U52" s="90">
        <v>8.7061309999999992</v>
      </c>
      <c r="V52" s="90">
        <v>8.9281260000000007</v>
      </c>
      <c r="W52" s="90">
        <v>9.1544550000000005</v>
      </c>
      <c r="X52" s="90">
        <v>9.3696739999999998</v>
      </c>
      <c r="Y52" s="90">
        <v>9.6438179999999996</v>
      </c>
      <c r="Z52" s="90">
        <v>9.8639759999999992</v>
      </c>
      <c r="AA52" s="90">
        <v>10.107215</v>
      </c>
      <c r="AB52" s="90">
        <v>10.313154000000001</v>
      </c>
      <c r="AC52" s="90">
        <v>10.576283999999999</v>
      </c>
      <c r="AD52" s="90">
        <v>10.854796</v>
      </c>
      <c r="AE52" s="91">
        <v>3.0001E-2</v>
      </c>
      <c r="AF52" s="82"/>
    </row>
    <row r="53" spans="1:32" ht="37.25" x14ac:dyDescent="0.75">
      <c r="A53" s="89" t="s">
        <v>560</v>
      </c>
      <c r="B53" s="90">
        <v>0.34685300000000002</v>
      </c>
      <c r="C53" s="90">
        <v>0.68548900000000001</v>
      </c>
      <c r="D53" s="90">
        <v>1.054651</v>
      </c>
      <c r="E53" s="90">
        <v>1.4450639999999999</v>
      </c>
      <c r="F53" s="90">
        <v>1.8217939999999999</v>
      </c>
      <c r="G53" s="90">
        <v>2.1732770000000001</v>
      </c>
      <c r="H53" s="90">
        <v>2.522332</v>
      </c>
      <c r="I53" s="90">
        <v>2.8865059999999998</v>
      </c>
      <c r="J53" s="90">
        <v>3.2252179999999999</v>
      </c>
      <c r="K53" s="90">
        <v>3.5672820000000001</v>
      </c>
      <c r="L53" s="90">
        <v>3.9051309999999999</v>
      </c>
      <c r="M53" s="90">
        <v>4.2424379999999999</v>
      </c>
      <c r="N53" s="90">
        <v>4.6038059999999996</v>
      </c>
      <c r="O53" s="90">
        <v>4.9964139999999997</v>
      </c>
      <c r="P53" s="90">
        <v>5.3968340000000001</v>
      </c>
      <c r="Q53" s="90">
        <v>5.8063060000000002</v>
      </c>
      <c r="R53" s="90">
        <v>6.2335190000000003</v>
      </c>
      <c r="S53" s="90">
        <v>6.6600770000000002</v>
      </c>
      <c r="T53" s="90">
        <v>7.1071929999999996</v>
      </c>
      <c r="U53" s="90">
        <v>7.525671</v>
      </c>
      <c r="V53" s="90">
        <v>7.9528939999999997</v>
      </c>
      <c r="W53" s="90">
        <v>8.3870989999999992</v>
      </c>
      <c r="X53" s="90">
        <v>8.8139050000000001</v>
      </c>
      <c r="Y53" s="90">
        <v>9.2999410000000005</v>
      </c>
      <c r="Z53" s="90">
        <v>9.7377129999999994</v>
      </c>
      <c r="AA53" s="90">
        <v>10.201078000000001</v>
      </c>
      <c r="AB53" s="90">
        <v>10.629158</v>
      </c>
      <c r="AC53" s="90">
        <v>11.118840000000001</v>
      </c>
      <c r="AD53" s="90">
        <v>11.628693999999999</v>
      </c>
      <c r="AE53" s="91">
        <v>0.13364799999999999</v>
      </c>
      <c r="AF53" s="82"/>
    </row>
    <row r="54" spans="1:32" ht="37.25" x14ac:dyDescent="0.75">
      <c r="A54" s="89" t="s">
        <v>561</v>
      </c>
      <c r="B54" s="90">
        <v>0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1" t="s">
        <v>298</v>
      </c>
      <c r="AF54" s="82"/>
    </row>
    <row r="55" spans="1:32" ht="37.25" x14ac:dyDescent="0.75">
      <c r="A55" s="89" t="s">
        <v>562</v>
      </c>
      <c r="B55" s="90">
        <v>37.296287999999997</v>
      </c>
      <c r="C55" s="90">
        <v>39.102524000000003</v>
      </c>
      <c r="D55" s="90">
        <v>41.305427999999999</v>
      </c>
      <c r="E55" s="90">
        <v>43.376812000000001</v>
      </c>
      <c r="F55" s="90">
        <v>44.561202999999999</v>
      </c>
      <c r="G55" s="90">
        <v>45.045020999999998</v>
      </c>
      <c r="H55" s="90">
        <v>45.519053999999997</v>
      </c>
      <c r="I55" s="90">
        <v>46.267310999999999</v>
      </c>
      <c r="J55" s="90">
        <v>46.621571000000003</v>
      </c>
      <c r="K55" s="90">
        <v>47.067920999999998</v>
      </c>
      <c r="L55" s="90">
        <v>47.492344000000003</v>
      </c>
      <c r="M55" s="90">
        <v>47.939545000000003</v>
      </c>
      <c r="N55" s="90">
        <v>48.665664999999997</v>
      </c>
      <c r="O55" s="90">
        <v>49.692073999999998</v>
      </c>
      <c r="P55" s="90">
        <v>50.747635000000002</v>
      </c>
      <c r="Q55" s="90">
        <v>51.845730000000003</v>
      </c>
      <c r="R55" s="90">
        <v>53.052174000000001</v>
      </c>
      <c r="S55" s="90">
        <v>54.205021000000002</v>
      </c>
      <c r="T55" s="90">
        <v>55.481574999999999</v>
      </c>
      <c r="U55" s="90">
        <v>56.500191000000001</v>
      </c>
      <c r="V55" s="90">
        <v>57.560111999999997</v>
      </c>
      <c r="W55" s="90">
        <v>58.646866000000003</v>
      </c>
      <c r="X55" s="90">
        <v>59.661129000000003</v>
      </c>
      <c r="Y55" s="90">
        <v>61.050877</v>
      </c>
      <c r="Z55" s="90">
        <v>62.110481</v>
      </c>
      <c r="AA55" s="90">
        <v>63.303482000000002</v>
      </c>
      <c r="AB55" s="90">
        <v>64.260459999999995</v>
      </c>
      <c r="AC55" s="90">
        <v>65.571258999999998</v>
      </c>
      <c r="AD55" s="90">
        <v>66.969986000000006</v>
      </c>
      <c r="AE55" s="91">
        <v>2.1125000000000001E-2</v>
      </c>
      <c r="AF55" s="82"/>
    </row>
    <row r="56" spans="1:32" ht="25" x14ac:dyDescent="0.75">
      <c r="A56" s="89" t="s">
        <v>563</v>
      </c>
      <c r="B56" s="90">
        <v>0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1" t="s">
        <v>298</v>
      </c>
      <c r="AF56" s="82"/>
    </row>
    <row r="57" spans="1:32" ht="25" x14ac:dyDescent="0.75">
      <c r="A57" s="89" t="s">
        <v>564</v>
      </c>
      <c r="B57" s="90">
        <v>0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1" t="s">
        <v>298</v>
      </c>
      <c r="AF57" s="82"/>
    </row>
    <row r="58" spans="1:32" ht="25" x14ac:dyDescent="0.75">
      <c r="A58" s="89" t="s">
        <v>565</v>
      </c>
      <c r="B58" s="90">
        <v>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1" t="s">
        <v>298</v>
      </c>
      <c r="AF58" s="82"/>
    </row>
    <row r="59" spans="1:32" ht="25" x14ac:dyDescent="0.75">
      <c r="A59" s="89" t="s">
        <v>566</v>
      </c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1" t="s">
        <v>298</v>
      </c>
      <c r="AF59" s="82"/>
    </row>
    <row r="60" spans="1:32" ht="25" x14ac:dyDescent="0.75">
      <c r="A60" s="89" t="s">
        <v>567</v>
      </c>
      <c r="B60" s="90">
        <v>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1" t="s">
        <v>298</v>
      </c>
      <c r="AF60" s="82"/>
    </row>
    <row r="61" spans="1:32" ht="25" x14ac:dyDescent="0.75">
      <c r="A61" s="89" t="s">
        <v>568</v>
      </c>
      <c r="B61" s="90">
        <v>2.0339999999999998E-3</v>
      </c>
      <c r="C61" s="90">
        <v>4.2249999999999996E-3</v>
      </c>
      <c r="D61" s="90">
        <v>6.6280000000000002E-3</v>
      </c>
      <c r="E61" s="90">
        <v>9.1800000000000007E-3</v>
      </c>
      <c r="F61" s="90">
        <v>1.1653E-2</v>
      </c>
      <c r="G61" s="90">
        <v>1.3968E-2</v>
      </c>
      <c r="H61" s="90">
        <v>1.6271000000000001E-2</v>
      </c>
      <c r="I61" s="90">
        <v>1.8672000000000001E-2</v>
      </c>
      <c r="J61" s="90">
        <v>2.0910999999999999E-2</v>
      </c>
      <c r="K61" s="90">
        <v>2.3172999999999999E-2</v>
      </c>
      <c r="L61" s="90">
        <v>2.5411E-2</v>
      </c>
      <c r="M61" s="90">
        <v>2.7647000000000001E-2</v>
      </c>
      <c r="N61" s="90">
        <v>3.0044000000000001E-2</v>
      </c>
      <c r="O61" s="90">
        <v>3.2647000000000002E-2</v>
      </c>
      <c r="P61" s="90">
        <v>3.5303000000000001E-2</v>
      </c>
      <c r="Q61" s="90">
        <v>3.8024000000000002E-2</v>
      </c>
      <c r="R61" s="90">
        <v>4.0863999999999998E-2</v>
      </c>
      <c r="S61" s="90">
        <v>4.3702999999999999E-2</v>
      </c>
      <c r="T61" s="90">
        <v>4.6681E-2</v>
      </c>
      <c r="U61" s="90">
        <v>4.9474999999999998E-2</v>
      </c>
      <c r="V61" s="90">
        <v>5.2331000000000003E-2</v>
      </c>
      <c r="W61" s="90">
        <v>5.5236E-2</v>
      </c>
      <c r="X61" s="90">
        <v>5.8096000000000002E-2</v>
      </c>
      <c r="Y61" s="90">
        <v>6.1351999999999997E-2</v>
      </c>
      <c r="Z61" s="90">
        <v>6.4301999999999998E-2</v>
      </c>
      <c r="AA61" s="90">
        <v>6.7421999999999996E-2</v>
      </c>
      <c r="AB61" s="90">
        <v>7.0310999999999998E-2</v>
      </c>
      <c r="AC61" s="90">
        <v>7.3610999999999996E-2</v>
      </c>
      <c r="AD61" s="90">
        <v>7.7048000000000005E-2</v>
      </c>
      <c r="AE61" s="91">
        <v>0.13860700000000001</v>
      </c>
      <c r="AF61" s="82"/>
    </row>
    <row r="62" spans="1:32" ht="37.25" x14ac:dyDescent="0.75">
      <c r="A62" s="89" t="s">
        <v>576</v>
      </c>
      <c r="B62" s="90">
        <v>145.60966500000001</v>
      </c>
      <c r="C62" s="90">
        <v>156.480682</v>
      </c>
      <c r="D62" s="90">
        <v>169.07797199999999</v>
      </c>
      <c r="E62" s="90">
        <v>181.20645099999999</v>
      </c>
      <c r="F62" s="90">
        <v>189.621613</v>
      </c>
      <c r="G62" s="90">
        <v>194.99156199999999</v>
      </c>
      <c r="H62" s="90">
        <v>200.235153</v>
      </c>
      <c r="I62" s="90">
        <v>206.636627</v>
      </c>
      <c r="J62" s="90">
        <v>211.226471</v>
      </c>
      <c r="K62" s="90">
        <v>216.195221</v>
      </c>
      <c r="L62" s="90">
        <v>221.037216</v>
      </c>
      <c r="M62" s="90">
        <v>225.941315</v>
      </c>
      <c r="N62" s="90">
        <v>232.14924600000001</v>
      </c>
      <c r="O62" s="90">
        <v>239.80892900000001</v>
      </c>
      <c r="P62" s="90">
        <v>247.616074</v>
      </c>
      <c r="Q62" s="90">
        <v>255.695404</v>
      </c>
      <c r="R62" s="90">
        <v>264.33047499999998</v>
      </c>
      <c r="S62" s="90">
        <v>272.73104899999998</v>
      </c>
      <c r="T62" s="90">
        <v>281.81561299999998</v>
      </c>
      <c r="U62" s="90">
        <v>289.63900799999999</v>
      </c>
      <c r="V62" s="90">
        <v>297.69894399999998</v>
      </c>
      <c r="W62" s="90">
        <v>305.930725</v>
      </c>
      <c r="X62" s="90">
        <v>313.80929600000002</v>
      </c>
      <c r="Y62" s="90">
        <v>323.713165</v>
      </c>
      <c r="Z62" s="90">
        <v>331.97268700000001</v>
      </c>
      <c r="AA62" s="90">
        <v>340.90216099999998</v>
      </c>
      <c r="AB62" s="90">
        <v>348.57012900000001</v>
      </c>
      <c r="AC62" s="90">
        <v>358.17044099999998</v>
      </c>
      <c r="AD62" s="90">
        <v>368.26666299999999</v>
      </c>
      <c r="AE62" s="91">
        <v>3.3694000000000002E-2</v>
      </c>
      <c r="AF62" s="82"/>
    </row>
    <row r="63" spans="1:32" x14ac:dyDescent="0.7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</row>
    <row r="64" spans="1:32" ht="49.5" x14ac:dyDescent="0.75">
      <c r="A64" s="89" t="s">
        <v>577</v>
      </c>
      <c r="B64" s="90">
        <v>11.326775</v>
      </c>
      <c r="C64" s="90">
        <v>11.729151999999999</v>
      </c>
      <c r="D64" s="90">
        <v>12.126184</v>
      </c>
      <c r="E64" s="90">
        <v>12.515253</v>
      </c>
      <c r="F64" s="90">
        <v>12.897691</v>
      </c>
      <c r="G64" s="90">
        <v>13.276489</v>
      </c>
      <c r="H64" s="90">
        <v>13.652972999999999</v>
      </c>
      <c r="I64" s="90">
        <v>14.027736000000001</v>
      </c>
      <c r="J64" s="90">
        <v>14.400922</v>
      </c>
      <c r="K64" s="90">
        <v>14.773797999999999</v>
      </c>
      <c r="L64" s="90">
        <v>15.146682999999999</v>
      </c>
      <c r="M64" s="90">
        <v>15.518919</v>
      </c>
      <c r="N64" s="90">
        <v>15.891093</v>
      </c>
      <c r="O64" s="90">
        <v>16.263072999999999</v>
      </c>
      <c r="P64" s="90">
        <v>16.633780999999999</v>
      </c>
      <c r="Q64" s="90">
        <v>17.005393999999999</v>
      </c>
      <c r="R64" s="90">
        <v>17.376149999999999</v>
      </c>
      <c r="S64" s="90">
        <v>17.746307000000002</v>
      </c>
      <c r="T64" s="90">
        <v>18.116952999999999</v>
      </c>
      <c r="U64" s="90">
        <v>18.487981999999999</v>
      </c>
      <c r="V64" s="90">
        <v>18.858979999999999</v>
      </c>
      <c r="W64" s="90">
        <v>19.230163999999998</v>
      </c>
      <c r="X64" s="90">
        <v>19.601316000000001</v>
      </c>
      <c r="Y64" s="90">
        <v>19.973127000000002</v>
      </c>
      <c r="Z64" s="90">
        <v>20.347881000000001</v>
      </c>
      <c r="AA64" s="90">
        <v>20.720106000000001</v>
      </c>
      <c r="AB64" s="90">
        <v>21.091866</v>
      </c>
      <c r="AC64" s="90">
        <v>21.463251</v>
      </c>
      <c r="AD64" s="90">
        <v>21.833759000000001</v>
      </c>
      <c r="AE64" s="91">
        <v>2.3716000000000001E-2</v>
      </c>
      <c r="AF64" s="82"/>
    </row>
    <row r="65" spans="1:32" ht="37.25" x14ac:dyDescent="0.75">
      <c r="A65" s="89" t="s">
        <v>578</v>
      </c>
      <c r="B65" s="90">
        <v>1285.5351559999999</v>
      </c>
      <c r="C65" s="90">
        <v>1334.1176760000001</v>
      </c>
      <c r="D65" s="90">
        <v>1394.321289</v>
      </c>
      <c r="E65" s="90">
        <v>1447.884888</v>
      </c>
      <c r="F65" s="90">
        <v>1470.19812</v>
      </c>
      <c r="G65" s="90">
        <v>1468.6982419999999</v>
      </c>
      <c r="H65" s="90">
        <v>1466.604736</v>
      </c>
      <c r="I65" s="90">
        <v>1473.0576169999999</v>
      </c>
      <c r="J65" s="90">
        <v>1466.756592</v>
      </c>
      <c r="K65" s="90">
        <v>1463.369263</v>
      </c>
      <c r="L65" s="90">
        <v>1459.3110349999999</v>
      </c>
      <c r="M65" s="90">
        <v>1455.908813</v>
      </c>
      <c r="N65" s="90">
        <v>1460.8764650000001</v>
      </c>
      <c r="O65" s="90">
        <v>1474.5610349999999</v>
      </c>
      <c r="P65" s="90">
        <v>1488.6336670000001</v>
      </c>
      <c r="Q65" s="90">
        <v>1503.613525</v>
      </c>
      <c r="R65" s="90">
        <v>1521.2257079999999</v>
      </c>
      <c r="S65" s="90">
        <v>1536.832764</v>
      </c>
      <c r="T65" s="90">
        <v>1555.5354</v>
      </c>
      <c r="U65" s="90">
        <v>1566.634033</v>
      </c>
      <c r="V65" s="90">
        <v>1578.5527340000001</v>
      </c>
      <c r="W65" s="90">
        <v>1590.889893</v>
      </c>
      <c r="X65" s="90">
        <v>1600.960327</v>
      </c>
      <c r="Y65" s="90">
        <v>1620.74353</v>
      </c>
      <c r="Z65" s="90">
        <v>1631.4852289999999</v>
      </c>
      <c r="AA65" s="90">
        <v>1645.272217</v>
      </c>
      <c r="AB65" s="90">
        <v>1652.6281739999999</v>
      </c>
      <c r="AC65" s="90">
        <v>1668.7613530000001</v>
      </c>
      <c r="AD65" s="90">
        <v>1686.6845699999999</v>
      </c>
      <c r="AE65" s="91">
        <v>9.7470000000000005E-3</v>
      </c>
      <c r="AF65" s="82"/>
    </row>
    <row r="66" spans="1:32" x14ac:dyDescent="0.7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</row>
    <row r="67" spans="1:32" ht="25" x14ac:dyDescent="0.75">
      <c r="A67" s="88" t="s">
        <v>262</v>
      </c>
      <c r="B67" s="92">
        <v>2115.3095699999999</v>
      </c>
      <c r="C67" s="92">
        <v>2179.8542480000001</v>
      </c>
      <c r="D67" s="92">
        <v>2247.3923340000001</v>
      </c>
      <c r="E67" s="92">
        <v>2289.9018550000001</v>
      </c>
      <c r="F67" s="92">
        <v>2295.4645999999998</v>
      </c>
      <c r="G67" s="92">
        <v>2284.945557</v>
      </c>
      <c r="H67" s="92">
        <v>2273.0161130000001</v>
      </c>
      <c r="I67" s="92">
        <v>2273.9323730000001</v>
      </c>
      <c r="J67" s="92">
        <v>2263.3520509999998</v>
      </c>
      <c r="K67" s="92">
        <v>2255.7309570000002</v>
      </c>
      <c r="L67" s="92">
        <v>2250.6152339999999</v>
      </c>
      <c r="M67" s="92">
        <v>2244.3781739999999</v>
      </c>
      <c r="N67" s="92">
        <v>2250.6123050000001</v>
      </c>
      <c r="O67" s="92">
        <v>2268.9152829999998</v>
      </c>
      <c r="P67" s="92">
        <v>2291.9157709999999</v>
      </c>
      <c r="Q67" s="92">
        <v>2311.8798830000001</v>
      </c>
      <c r="R67" s="92">
        <v>2334.326904</v>
      </c>
      <c r="S67" s="92">
        <v>2354.6838379999999</v>
      </c>
      <c r="T67" s="92">
        <v>2377.2294919999999</v>
      </c>
      <c r="U67" s="92">
        <v>2387.4941410000001</v>
      </c>
      <c r="V67" s="92">
        <v>2398.3923340000001</v>
      </c>
      <c r="W67" s="92">
        <v>2406.5219729999999</v>
      </c>
      <c r="X67" s="92">
        <v>2415.423096</v>
      </c>
      <c r="Y67" s="92">
        <v>2438.1977539999998</v>
      </c>
      <c r="Z67" s="92">
        <v>2458.0991210000002</v>
      </c>
      <c r="AA67" s="92">
        <v>2472.1123050000001</v>
      </c>
      <c r="AB67" s="92">
        <v>2480.8183589999999</v>
      </c>
      <c r="AC67" s="92">
        <v>2499.592529</v>
      </c>
      <c r="AD67" s="92">
        <v>2521.9509280000002</v>
      </c>
      <c r="AE67" s="93">
        <v>6.2989999999999999E-3</v>
      </c>
      <c r="AF67" s="82"/>
    </row>
    <row r="68" spans="1:32" x14ac:dyDescent="0.7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</row>
    <row r="69" spans="1:32" ht="49.5" x14ac:dyDescent="0.75">
      <c r="A69" s="88" t="s">
        <v>579</v>
      </c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</row>
    <row r="70" spans="1:32" ht="25" x14ac:dyDescent="0.75">
      <c r="A70" s="89" t="s">
        <v>580</v>
      </c>
      <c r="B70" s="90">
        <v>410.29077100000001</v>
      </c>
      <c r="C70" s="90">
        <v>411.86019900000002</v>
      </c>
      <c r="D70" s="90">
        <v>422.08718900000002</v>
      </c>
      <c r="E70" s="90">
        <v>427.93866000000003</v>
      </c>
      <c r="F70" s="90">
        <v>425.80892899999998</v>
      </c>
      <c r="G70" s="90">
        <v>420.11331200000001</v>
      </c>
      <c r="H70" s="90">
        <v>414.63775600000002</v>
      </c>
      <c r="I70" s="90">
        <v>410.573669</v>
      </c>
      <c r="J70" s="90">
        <v>405.62148999999999</v>
      </c>
      <c r="K70" s="90">
        <v>400.92529300000001</v>
      </c>
      <c r="L70" s="90">
        <v>396.546356</v>
      </c>
      <c r="M70" s="90">
        <v>391.28878800000001</v>
      </c>
      <c r="N70" s="90">
        <v>387.86077899999998</v>
      </c>
      <c r="O70" s="90">
        <v>386.62799100000001</v>
      </c>
      <c r="P70" s="90">
        <v>386.76229899999998</v>
      </c>
      <c r="Q70" s="90">
        <v>386.57772799999998</v>
      </c>
      <c r="R70" s="90">
        <v>387.32144199999999</v>
      </c>
      <c r="S70" s="90">
        <v>387.70996100000002</v>
      </c>
      <c r="T70" s="90">
        <v>388.84600799999998</v>
      </c>
      <c r="U70" s="90">
        <v>388.04797400000001</v>
      </c>
      <c r="V70" s="90">
        <v>387.545593</v>
      </c>
      <c r="W70" s="90">
        <v>386.55062900000001</v>
      </c>
      <c r="X70" s="90">
        <v>386.34115600000001</v>
      </c>
      <c r="Y70" s="90">
        <v>388.39727800000003</v>
      </c>
      <c r="Z70" s="90">
        <v>390.789581</v>
      </c>
      <c r="AA70" s="90">
        <v>393.30300899999997</v>
      </c>
      <c r="AB70" s="90">
        <v>393.95352200000002</v>
      </c>
      <c r="AC70" s="90">
        <v>395.859467</v>
      </c>
      <c r="AD70" s="90">
        <v>398.83917200000002</v>
      </c>
      <c r="AE70" s="91">
        <v>-1.01E-3</v>
      </c>
      <c r="AF70" s="82"/>
    </row>
    <row r="71" spans="1:32" x14ac:dyDescent="0.75">
      <c r="A71" s="89" t="s">
        <v>581</v>
      </c>
      <c r="B71" s="90">
        <v>201.55270400000001</v>
      </c>
      <c r="C71" s="90">
        <v>203.643539</v>
      </c>
      <c r="D71" s="90">
        <v>209.879852</v>
      </c>
      <c r="E71" s="90">
        <v>213.99391199999999</v>
      </c>
      <c r="F71" s="90">
        <v>214.05772400000001</v>
      </c>
      <c r="G71" s="90">
        <v>212.224716</v>
      </c>
      <c r="H71" s="90">
        <v>210.50500500000001</v>
      </c>
      <c r="I71" s="90">
        <v>209.42543000000001</v>
      </c>
      <c r="J71" s="90">
        <v>207.82423399999999</v>
      </c>
      <c r="K71" s="90">
        <v>206.28251599999999</v>
      </c>
      <c r="L71" s="90">
        <v>205.665222</v>
      </c>
      <c r="M71" s="90">
        <v>205.245102</v>
      </c>
      <c r="N71" s="90">
        <v>205.64666700000001</v>
      </c>
      <c r="O71" s="90">
        <v>207.12898300000001</v>
      </c>
      <c r="P71" s="90">
        <v>209.04892000000001</v>
      </c>
      <c r="Q71" s="90">
        <v>210.68804900000001</v>
      </c>
      <c r="R71" s="90">
        <v>212.59925799999999</v>
      </c>
      <c r="S71" s="90">
        <v>214.24075300000001</v>
      </c>
      <c r="T71" s="90">
        <v>216.090149</v>
      </c>
      <c r="U71" s="90">
        <v>216.77891500000001</v>
      </c>
      <c r="V71" s="90">
        <v>217.48950199999999</v>
      </c>
      <c r="W71" s="90">
        <v>217.91325399999999</v>
      </c>
      <c r="X71" s="90">
        <v>218.44653299999999</v>
      </c>
      <c r="Y71" s="90">
        <v>220.21542400000001</v>
      </c>
      <c r="Z71" s="90">
        <v>221.82936100000001</v>
      </c>
      <c r="AA71" s="90">
        <v>223.04495199999999</v>
      </c>
      <c r="AB71" s="90">
        <v>223.587784</v>
      </c>
      <c r="AC71" s="90">
        <v>225.01087999999999</v>
      </c>
      <c r="AD71" s="90">
        <v>226.82165499999999</v>
      </c>
      <c r="AE71" s="91">
        <v>4.2269999999999999E-3</v>
      </c>
      <c r="AF71" s="82"/>
    </row>
    <row r="72" spans="1:32" x14ac:dyDescent="0.75">
      <c r="A72" s="89" t="s">
        <v>582</v>
      </c>
      <c r="B72" s="90">
        <v>0</v>
      </c>
      <c r="C72" s="90">
        <v>0.42618899999999998</v>
      </c>
      <c r="D72" s="90">
        <v>0.44380199999999997</v>
      </c>
      <c r="E72" s="90">
        <v>0.45290200000000003</v>
      </c>
      <c r="F72" s="90">
        <v>0.472858</v>
      </c>
      <c r="G72" s="90">
        <v>0.49512299999999998</v>
      </c>
      <c r="H72" s="90">
        <v>0.52263599999999999</v>
      </c>
      <c r="I72" s="90">
        <v>0.55938299999999996</v>
      </c>
      <c r="J72" s="90">
        <v>0.60609500000000005</v>
      </c>
      <c r="K72" s="90">
        <v>0.666157</v>
      </c>
      <c r="L72" s="90">
        <v>0.73971799999999999</v>
      </c>
      <c r="M72" s="90">
        <v>0.82662000000000002</v>
      </c>
      <c r="N72" s="90">
        <v>0.93066599999999999</v>
      </c>
      <c r="O72" s="90">
        <v>1.058675</v>
      </c>
      <c r="P72" s="90">
        <v>1.215913</v>
      </c>
      <c r="Q72" s="90">
        <v>1.4003570000000001</v>
      </c>
      <c r="R72" s="90">
        <v>1.611812</v>
      </c>
      <c r="S72" s="90">
        <v>1.853485</v>
      </c>
      <c r="T72" s="90">
        <v>2.1219790000000001</v>
      </c>
      <c r="U72" s="90">
        <v>2.4104000000000001</v>
      </c>
      <c r="V72" s="90">
        <v>2.7167849999999998</v>
      </c>
      <c r="W72" s="90">
        <v>3.048225</v>
      </c>
      <c r="X72" s="90">
        <v>3.396039</v>
      </c>
      <c r="Y72" s="90">
        <v>3.7744909999999998</v>
      </c>
      <c r="Z72" s="90">
        <v>4.156269</v>
      </c>
      <c r="AA72" s="90">
        <v>4.5259840000000002</v>
      </c>
      <c r="AB72" s="90">
        <v>4.8633280000000001</v>
      </c>
      <c r="AC72" s="90">
        <v>5.1964600000000001</v>
      </c>
      <c r="AD72" s="90">
        <v>5.5149140000000001</v>
      </c>
      <c r="AE72" s="91" t="s">
        <v>298</v>
      </c>
      <c r="AF72" s="82"/>
    </row>
    <row r="73" spans="1:32" ht="49.5" x14ac:dyDescent="0.75">
      <c r="A73" s="89" t="s">
        <v>583</v>
      </c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1" t="s">
        <v>298</v>
      </c>
      <c r="AF73" s="82"/>
    </row>
    <row r="74" spans="1:32" ht="25" x14ac:dyDescent="0.75">
      <c r="A74" s="89" t="s">
        <v>584</v>
      </c>
      <c r="B74" s="90">
        <v>30.450520999999998</v>
      </c>
      <c r="C74" s="90">
        <v>34.585701</v>
      </c>
      <c r="D74" s="90">
        <v>41.047305999999999</v>
      </c>
      <c r="E74" s="90">
        <v>45.537776999999998</v>
      </c>
      <c r="F74" s="90">
        <v>49.499518999999999</v>
      </c>
      <c r="G74" s="90">
        <v>53.911239999999999</v>
      </c>
      <c r="H74" s="90">
        <v>56.826735999999997</v>
      </c>
      <c r="I74" s="90">
        <v>60.335323000000002</v>
      </c>
      <c r="J74" s="90">
        <v>64.028458000000001</v>
      </c>
      <c r="K74" s="90">
        <v>68.345496999999995</v>
      </c>
      <c r="L74" s="90">
        <v>72.455596999999997</v>
      </c>
      <c r="M74" s="90">
        <v>76.482697000000002</v>
      </c>
      <c r="N74" s="90">
        <v>80.193877999999998</v>
      </c>
      <c r="O74" s="90">
        <v>84.221335999999994</v>
      </c>
      <c r="P74" s="90">
        <v>87.631432000000004</v>
      </c>
      <c r="Q74" s="90">
        <v>90.807677999999996</v>
      </c>
      <c r="R74" s="90">
        <v>93.597556999999995</v>
      </c>
      <c r="S74" s="90">
        <v>96.278251999999995</v>
      </c>
      <c r="T74" s="90">
        <v>98.649979000000002</v>
      </c>
      <c r="U74" s="90">
        <v>100.454178</v>
      </c>
      <c r="V74" s="90">
        <v>102.048424</v>
      </c>
      <c r="W74" s="90">
        <v>103.66413900000001</v>
      </c>
      <c r="X74" s="90">
        <v>104.52655</v>
      </c>
      <c r="Y74" s="90">
        <v>105.990318</v>
      </c>
      <c r="Z74" s="90">
        <v>106.505348</v>
      </c>
      <c r="AA74" s="90">
        <v>105.59877</v>
      </c>
      <c r="AB74" s="90">
        <v>105.570808</v>
      </c>
      <c r="AC74" s="90">
        <v>106.518562</v>
      </c>
      <c r="AD74" s="90">
        <v>107.080376</v>
      </c>
      <c r="AE74" s="91">
        <v>4.5934000000000003E-2</v>
      </c>
      <c r="AF74" s="82"/>
    </row>
    <row r="75" spans="1:32" x14ac:dyDescent="0.75">
      <c r="A75" s="89" t="s">
        <v>585</v>
      </c>
      <c r="B75" s="90">
        <v>0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1" t="s">
        <v>298</v>
      </c>
      <c r="AF75" s="82"/>
    </row>
    <row r="76" spans="1:32" ht="37.25" x14ac:dyDescent="0.75">
      <c r="A76" s="89" t="s">
        <v>586</v>
      </c>
      <c r="B76" s="90">
        <v>0</v>
      </c>
      <c r="C76" s="90">
        <v>0.787767</v>
      </c>
      <c r="D76" s="90">
        <v>0.80016200000000004</v>
      </c>
      <c r="E76" s="90">
        <v>0.80872999999999995</v>
      </c>
      <c r="F76" s="90">
        <v>0.811863</v>
      </c>
      <c r="G76" s="90">
        <v>0.81890200000000002</v>
      </c>
      <c r="H76" s="90">
        <v>0.83272000000000002</v>
      </c>
      <c r="I76" s="90">
        <v>0.85792100000000004</v>
      </c>
      <c r="J76" s="90">
        <v>0.88896500000000001</v>
      </c>
      <c r="K76" s="90">
        <v>0.92687399999999998</v>
      </c>
      <c r="L76" s="90">
        <v>0.97534600000000005</v>
      </c>
      <c r="M76" s="90">
        <v>1.032321</v>
      </c>
      <c r="N76" s="90">
        <v>1.10005</v>
      </c>
      <c r="O76" s="90">
        <v>1.1823090000000001</v>
      </c>
      <c r="P76" s="90">
        <v>1.2826679999999999</v>
      </c>
      <c r="Q76" s="90">
        <v>1.3961220000000001</v>
      </c>
      <c r="R76" s="90">
        <v>1.5262450000000001</v>
      </c>
      <c r="S76" s="90">
        <v>1.6690529999999999</v>
      </c>
      <c r="T76" s="90">
        <v>1.8257080000000001</v>
      </c>
      <c r="U76" s="90">
        <v>1.9810030000000001</v>
      </c>
      <c r="V76" s="90">
        <v>2.139786</v>
      </c>
      <c r="W76" s="90">
        <v>2.2945030000000002</v>
      </c>
      <c r="X76" s="90">
        <v>2.4439440000000001</v>
      </c>
      <c r="Y76" s="90">
        <v>2.5983079999999998</v>
      </c>
      <c r="Z76" s="90">
        <v>2.7397170000000002</v>
      </c>
      <c r="AA76" s="90">
        <v>2.862724</v>
      </c>
      <c r="AB76" s="90">
        <v>2.9635039999999999</v>
      </c>
      <c r="AC76" s="90">
        <v>3.0635270000000001</v>
      </c>
      <c r="AD76" s="90">
        <v>3.1549130000000001</v>
      </c>
      <c r="AE76" s="91" t="s">
        <v>298</v>
      </c>
      <c r="AF76" s="82"/>
    </row>
    <row r="77" spans="1:32" ht="37.25" x14ac:dyDescent="0.75">
      <c r="A77" s="89" t="s">
        <v>587</v>
      </c>
      <c r="B77" s="90">
        <v>0</v>
      </c>
      <c r="C77" s="90">
        <v>0.855433</v>
      </c>
      <c r="D77" s="90">
        <v>0.87832900000000003</v>
      </c>
      <c r="E77" s="90">
        <v>0.87276799999999999</v>
      </c>
      <c r="F77" s="90">
        <v>0.86602100000000004</v>
      </c>
      <c r="G77" s="90">
        <v>0.86097800000000002</v>
      </c>
      <c r="H77" s="90">
        <v>0.859267</v>
      </c>
      <c r="I77" s="90">
        <v>0.87018200000000001</v>
      </c>
      <c r="J77" s="90">
        <v>0.89291200000000004</v>
      </c>
      <c r="K77" s="90">
        <v>0.93141799999999997</v>
      </c>
      <c r="L77" s="90">
        <v>0.98409899999999995</v>
      </c>
      <c r="M77" s="90">
        <v>1.0506740000000001</v>
      </c>
      <c r="N77" s="90">
        <v>1.131704</v>
      </c>
      <c r="O77" s="90">
        <v>1.2364980000000001</v>
      </c>
      <c r="P77" s="90">
        <v>1.3594980000000001</v>
      </c>
      <c r="Q77" s="90">
        <v>1.5014730000000001</v>
      </c>
      <c r="R77" s="90">
        <v>1.6622209999999999</v>
      </c>
      <c r="S77" s="90">
        <v>1.841707</v>
      </c>
      <c r="T77" s="90">
        <v>2.0370430000000002</v>
      </c>
      <c r="U77" s="90">
        <v>2.2340399999999998</v>
      </c>
      <c r="V77" s="90">
        <v>2.4355039999999999</v>
      </c>
      <c r="W77" s="90">
        <v>2.635596</v>
      </c>
      <c r="X77" s="90">
        <v>2.8214579999999998</v>
      </c>
      <c r="Y77" s="90">
        <v>3.0137839999999998</v>
      </c>
      <c r="Z77" s="90">
        <v>3.179278</v>
      </c>
      <c r="AA77" s="90">
        <v>3.3277420000000002</v>
      </c>
      <c r="AB77" s="90">
        <v>3.442774</v>
      </c>
      <c r="AC77" s="90">
        <v>3.5613410000000001</v>
      </c>
      <c r="AD77" s="90">
        <v>3.6622810000000001</v>
      </c>
      <c r="AE77" s="91" t="s">
        <v>298</v>
      </c>
      <c r="AF77" s="82"/>
    </row>
    <row r="78" spans="1:32" x14ac:dyDescent="0.75">
      <c r="A78" s="89" t="s">
        <v>588</v>
      </c>
      <c r="B78" s="90">
        <v>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1" t="s">
        <v>298</v>
      </c>
      <c r="AF78" s="82"/>
    </row>
    <row r="79" spans="1:32" ht="49.5" x14ac:dyDescent="0.75">
      <c r="A79" s="88" t="s">
        <v>589</v>
      </c>
      <c r="B79" s="92">
        <v>642.29394500000001</v>
      </c>
      <c r="C79" s="92">
        <v>652.15881300000001</v>
      </c>
      <c r="D79" s="92">
        <v>675.13665800000001</v>
      </c>
      <c r="E79" s="92">
        <v>689.60467500000004</v>
      </c>
      <c r="F79" s="92">
        <v>691.51690699999995</v>
      </c>
      <c r="G79" s="92">
        <v>688.42425500000002</v>
      </c>
      <c r="H79" s="92">
        <v>684.18414299999995</v>
      </c>
      <c r="I79" s="92">
        <v>682.62188700000002</v>
      </c>
      <c r="J79" s="92">
        <v>679.86218299999996</v>
      </c>
      <c r="K79" s="92">
        <v>678.07775900000001</v>
      </c>
      <c r="L79" s="92">
        <v>677.36639400000001</v>
      </c>
      <c r="M79" s="92">
        <v>675.92620799999997</v>
      </c>
      <c r="N79" s="92">
        <v>676.86370799999997</v>
      </c>
      <c r="O79" s="92">
        <v>681.45581100000004</v>
      </c>
      <c r="P79" s="92">
        <v>687.30078100000003</v>
      </c>
      <c r="Q79" s="92">
        <v>692.37145999999996</v>
      </c>
      <c r="R79" s="92">
        <v>698.31860400000005</v>
      </c>
      <c r="S79" s="92">
        <v>703.59320100000002</v>
      </c>
      <c r="T79" s="92">
        <v>709.57092299999999</v>
      </c>
      <c r="U79" s="92">
        <v>711.90655500000003</v>
      </c>
      <c r="V79" s="92">
        <v>714.37567100000001</v>
      </c>
      <c r="W79" s="92">
        <v>716.10638400000005</v>
      </c>
      <c r="X79" s="92">
        <v>717.97564699999998</v>
      </c>
      <c r="Y79" s="92">
        <v>723.98962400000005</v>
      </c>
      <c r="Z79" s="92">
        <v>729.19946300000004</v>
      </c>
      <c r="AA79" s="92">
        <v>732.66320800000005</v>
      </c>
      <c r="AB79" s="92">
        <v>734.38165300000003</v>
      </c>
      <c r="AC79" s="92">
        <v>739.21014400000001</v>
      </c>
      <c r="AD79" s="92">
        <v>745.07336399999997</v>
      </c>
      <c r="AE79" s="93">
        <v>5.3150000000000003E-3</v>
      </c>
      <c r="AF79" s="82"/>
    </row>
    <row r="80" spans="1:32" ht="15.5" thickBot="1" x14ac:dyDescent="0.9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</row>
    <row r="81" spans="1:32" x14ac:dyDescent="0.75">
      <c r="A81" s="99" t="s">
        <v>590</v>
      </c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</row>
    <row r="82" spans="1:32" x14ac:dyDescent="0.75">
      <c r="A82" s="82" t="s">
        <v>591</v>
      </c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</row>
    <row r="83" spans="1:32" x14ac:dyDescent="0.75">
      <c r="A83" s="82" t="s">
        <v>592</v>
      </c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</row>
    <row r="84" spans="1:32" x14ac:dyDescent="0.75">
      <c r="A84" s="82" t="s">
        <v>593</v>
      </c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</row>
    <row r="85" spans="1:32" x14ac:dyDescent="0.75">
      <c r="A85" s="82" t="s">
        <v>594</v>
      </c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</row>
    <row r="86" spans="1:32" x14ac:dyDescent="0.75">
      <c r="A86" s="82" t="s">
        <v>595</v>
      </c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</row>
    <row r="87" spans="1:32" x14ac:dyDescent="0.75">
      <c r="A87" s="82" t="s">
        <v>596</v>
      </c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</row>
  </sheetData>
  <mergeCells count="1">
    <mergeCell ref="A81:AF8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1A92-CFB5-42A4-A32D-335678EA7553}">
  <dimension ref="A1:AF259"/>
  <sheetViews>
    <sheetView workbookViewId="0">
      <selection activeCell="G15" sqref="G15"/>
    </sheetView>
  </sheetViews>
  <sheetFormatPr defaultRowHeight="14.75" x14ac:dyDescent="0.75"/>
  <sheetData>
    <row r="1" spans="1:32" ht="15.5" thickBot="1" x14ac:dyDescent="0.9">
      <c r="A1" s="76" t="s">
        <v>265</v>
      </c>
      <c r="B1" s="77">
        <v>2022</v>
      </c>
      <c r="C1" s="77">
        <v>2023</v>
      </c>
      <c r="D1" s="77">
        <v>2024</v>
      </c>
      <c r="E1" s="77">
        <v>2025</v>
      </c>
      <c r="F1" s="77">
        <v>2026</v>
      </c>
      <c r="G1" s="77">
        <v>2027</v>
      </c>
      <c r="H1" s="77">
        <v>2028</v>
      </c>
      <c r="I1" s="77">
        <v>2029</v>
      </c>
      <c r="J1" s="77">
        <v>2030</v>
      </c>
      <c r="K1" s="77">
        <v>2031</v>
      </c>
      <c r="L1" s="77">
        <v>2032</v>
      </c>
      <c r="M1" s="77">
        <v>2033</v>
      </c>
      <c r="N1" s="77">
        <v>2034</v>
      </c>
      <c r="O1" s="77">
        <v>2035</v>
      </c>
      <c r="P1" s="77">
        <v>2036</v>
      </c>
      <c r="Q1" s="77">
        <v>2037</v>
      </c>
      <c r="R1" s="77">
        <v>2038</v>
      </c>
      <c r="S1" s="77">
        <v>2039</v>
      </c>
      <c r="T1" s="77">
        <v>2040</v>
      </c>
      <c r="U1" s="77">
        <v>2041</v>
      </c>
      <c r="V1" s="77">
        <v>2042</v>
      </c>
      <c r="W1" s="77">
        <v>2043</v>
      </c>
      <c r="X1" s="77">
        <v>2044</v>
      </c>
      <c r="Y1" s="77">
        <v>2045</v>
      </c>
      <c r="Z1" s="77">
        <v>2046</v>
      </c>
      <c r="AA1" s="77">
        <v>2047</v>
      </c>
      <c r="AB1" s="77">
        <v>2048</v>
      </c>
      <c r="AC1" s="77">
        <v>2049</v>
      </c>
      <c r="AD1" s="77">
        <v>2050</v>
      </c>
    </row>
    <row r="2" spans="1:32" ht="15.5" thickTop="1" x14ac:dyDescent="0.75"/>
    <row r="3" spans="1:32" x14ac:dyDescent="0.75">
      <c r="B3" s="78" t="s">
        <v>266</v>
      </c>
      <c r="C3" s="78" t="s">
        <v>267</v>
      </c>
      <c r="D3" s="79"/>
      <c r="E3" s="79"/>
      <c r="F3" s="79"/>
    </row>
    <row r="4" spans="1:32" x14ac:dyDescent="0.75">
      <c r="B4" s="78" t="s">
        <v>268</v>
      </c>
      <c r="C4" s="78" t="s">
        <v>269</v>
      </c>
      <c r="D4" s="79"/>
      <c r="E4" s="79"/>
      <c r="F4" s="78" t="s">
        <v>270</v>
      </c>
    </row>
    <row r="5" spans="1:32" x14ac:dyDescent="0.75">
      <c r="B5" s="78" t="s">
        <v>271</v>
      </c>
      <c r="C5" s="78" t="s">
        <v>272</v>
      </c>
      <c r="D5" s="79"/>
      <c r="E5" s="79"/>
      <c r="F5" s="79"/>
    </row>
    <row r="6" spans="1:32" x14ac:dyDescent="0.75">
      <c r="B6" s="78" t="s">
        <v>273</v>
      </c>
      <c r="C6" s="79"/>
      <c r="D6" s="78" t="s">
        <v>274</v>
      </c>
      <c r="E6" s="79"/>
      <c r="F6" s="79"/>
    </row>
    <row r="10" spans="1:32" ht="16" x14ac:dyDescent="0.8">
      <c r="A10" s="81" t="s">
        <v>597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3" t="s">
        <v>277</v>
      </c>
      <c r="AF10" s="82"/>
    </row>
    <row r="11" spans="1:32" x14ac:dyDescent="0.75">
      <c r="A11" s="84" t="s">
        <v>547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3" t="s">
        <v>278</v>
      </c>
      <c r="AF11" s="82"/>
    </row>
    <row r="12" spans="1:32" x14ac:dyDescent="0.75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3" t="s">
        <v>279</v>
      </c>
      <c r="AF12" s="82"/>
    </row>
    <row r="13" spans="1:32" ht="38" thickBot="1" x14ac:dyDescent="0.9">
      <c r="A13" s="86" t="s">
        <v>548</v>
      </c>
      <c r="B13" s="86">
        <v>2022</v>
      </c>
      <c r="C13" s="86">
        <v>2023</v>
      </c>
      <c r="D13" s="86">
        <v>2024</v>
      </c>
      <c r="E13" s="86">
        <v>2025</v>
      </c>
      <c r="F13" s="86">
        <v>2026</v>
      </c>
      <c r="G13" s="86">
        <v>2027</v>
      </c>
      <c r="H13" s="86">
        <v>2028</v>
      </c>
      <c r="I13" s="86">
        <v>2029</v>
      </c>
      <c r="J13" s="86">
        <v>2030</v>
      </c>
      <c r="K13" s="86">
        <v>2031</v>
      </c>
      <c r="L13" s="86">
        <v>2032</v>
      </c>
      <c r="M13" s="86">
        <v>2033</v>
      </c>
      <c r="N13" s="86">
        <v>2034</v>
      </c>
      <c r="O13" s="86">
        <v>2035</v>
      </c>
      <c r="P13" s="86">
        <v>2036</v>
      </c>
      <c r="Q13" s="86">
        <v>2037</v>
      </c>
      <c r="R13" s="86">
        <v>2038</v>
      </c>
      <c r="S13" s="86">
        <v>2039</v>
      </c>
      <c r="T13" s="86">
        <v>2040</v>
      </c>
      <c r="U13" s="86">
        <v>2041</v>
      </c>
      <c r="V13" s="86">
        <v>2042</v>
      </c>
      <c r="W13" s="86">
        <v>2043</v>
      </c>
      <c r="X13" s="86">
        <v>2044</v>
      </c>
      <c r="Y13" s="86">
        <v>2045</v>
      </c>
      <c r="Z13" s="86">
        <v>2046</v>
      </c>
      <c r="AA13" s="86">
        <v>2047</v>
      </c>
      <c r="AB13" s="86">
        <v>2048</v>
      </c>
      <c r="AC13" s="86">
        <v>2049</v>
      </c>
      <c r="AD13" s="86">
        <v>2050</v>
      </c>
      <c r="AE13" s="87">
        <v>2050</v>
      </c>
      <c r="AF13" s="82"/>
    </row>
    <row r="14" spans="1:32" ht="15.5" thickTop="1" x14ac:dyDescent="0.7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</row>
    <row r="15" spans="1:32" ht="25" x14ac:dyDescent="0.75">
      <c r="A15" s="88" t="s">
        <v>598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</row>
    <row r="16" spans="1:32" ht="37.25" x14ac:dyDescent="0.75">
      <c r="A16" s="88" t="s">
        <v>550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</row>
    <row r="17" spans="1:32" ht="25" x14ac:dyDescent="0.75">
      <c r="A17" s="89" t="s">
        <v>551</v>
      </c>
      <c r="B17" s="90">
        <v>5006.548828</v>
      </c>
      <c r="C17" s="90">
        <v>4623.4965819999998</v>
      </c>
      <c r="D17" s="90">
        <v>4322.0991210000002</v>
      </c>
      <c r="E17" s="90">
        <v>4050.3803710000002</v>
      </c>
      <c r="F17" s="90">
        <v>3798.4448240000002</v>
      </c>
      <c r="G17" s="90">
        <v>3573.9875489999999</v>
      </c>
      <c r="H17" s="90">
        <v>3375.2902829999998</v>
      </c>
      <c r="I17" s="90">
        <v>3201.9536130000001</v>
      </c>
      <c r="J17" s="90">
        <v>3049.9338379999999</v>
      </c>
      <c r="K17" s="90">
        <v>2915.8713379999999</v>
      </c>
      <c r="L17" s="90">
        <v>2799.1982419999999</v>
      </c>
      <c r="M17" s="90">
        <v>2695.3247070000002</v>
      </c>
      <c r="N17" s="90">
        <v>2605.9509280000002</v>
      </c>
      <c r="O17" s="90">
        <v>2531.272461</v>
      </c>
      <c r="P17" s="90">
        <v>2471.8771969999998</v>
      </c>
      <c r="Q17" s="90">
        <v>2420.798828</v>
      </c>
      <c r="R17" s="90">
        <v>2375.9213869999999</v>
      </c>
      <c r="S17" s="90">
        <v>2335.8723140000002</v>
      </c>
      <c r="T17" s="90">
        <v>2299.6142580000001</v>
      </c>
      <c r="U17" s="90">
        <v>2263.0639649999998</v>
      </c>
      <c r="V17" s="90">
        <v>2226.7246089999999</v>
      </c>
      <c r="W17" s="90">
        <v>2188.9047850000002</v>
      </c>
      <c r="X17" s="90">
        <v>2153.0827640000002</v>
      </c>
      <c r="Y17" s="90">
        <v>2121.883057</v>
      </c>
      <c r="Z17" s="90">
        <v>2098.4035640000002</v>
      </c>
      <c r="AA17" s="90">
        <v>2073.5654300000001</v>
      </c>
      <c r="AB17" s="90">
        <v>2048.201172</v>
      </c>
      <c r="AC17" s="90">
        <v>2023.400879</v>
      </c>
      <c r="AD17" s="90">
        <v>2001.2680660000001</v>
      </c>
      <c r="AE17" s="91">
        <v>-3.2217999999999997E-2</v>
      </c>
      <c r="AF17" s="82"/>
    </row>
    <row r="18" spans="1:32" ht="25" x14ac:dyDescent="0.75">
      <c r="A18" s="89" t="s">
        <v>552</v>
      </c>
      <c r="B18" s="90">
        <v>16.267254000000001</v>
      </c>
      <c r="C18" s="90">
        <v>14.041601</v>
      </c>
      <c r="D18" s="90">
        <v>12.078984</v>
      </c>
      <c r="E18" s="90">
        <v>10.340630000000001</v>
      </c>
      <c r="F18" s="90">
        <v>8.8101280000000006</v>
      </c>
      <c r="G18" s="90">
        <v>7.4528740000000004</v>
      </c>
      <c r="H18" s="90">
        <v>6.2475370000000003</v>
      </c>
      <c r="I18" s="90">
        <v>5.194445</v>
      </c>
      <c r="J18" s="90">
        <v>4.2915020000000004</v>
      </c>
      <c r="K18" s="90">
        <v>3.5278659999999999</v>
      </c>
      <c r="L18" s="90">
        <v>2.8928690000000001</v>
      </c>
      <c r="M18" s="90">
        <v>2.3767160000000001</v>
      </c>
      <c r="N18" s="90">
        <v>1.9656169999999999</v>
      </c>
      <c r="O18" s="90">
        <v>1.6437999999999999</v>
      </c>
      <c r="P18" s="90">
        <v>1.3933960000000001</v>
      </c>
      <c r="Q18" s="90">
        <v>1.1985239999999999</v>
      </c>
      <c r="R18" s="90">
        <v>1.0473939999999999</v>
      </c>
      <c r="S18" s="90">
        <v>0.92833699999999997</v>
      </c>
      <c r="T18" s="90">
        <v>0.82880399999999999</v>
      </c>
      <c r="U18" s="90">
        <v>0.74240799999999996</v>
      </c>
      <c r="V18" s="90">
        <v>0.66700499999999996</v>
      </c>
      <c r="W18" s="90">
        <v>0.60045899999999996</v>
      </c>
      <c r="X18" s="90">
        <v>0.54111399999999998</v>
      </c>
      <c r="Y18" s="90">
        <v>0.48800300000000002</v>
      </c>
      <c r="Z18" s="90">
        <v>0.44044299999999997</v>
      </c>
      <c r="AA18" s="90">
        <v>0.39783000000000002</v>
      </c>
      <c r="AB18" s="90">
        <v>0.359624</v>
      </c>
      <c r="AC18" s="90">
        <v>0.32534800000000003</v>
      </c>
      <c r="AD18" s="90">
        <v>0.29457699999999998</v>
      </c>
      <c r="AE18" s="91">
        <v>-0.13347400000000001</v>
      </c>
      <c r="AF18" s="82"/>
    </row>
    <row r="19" spans="1:32" ht="37.25" x14ac:dyDescent="0.75">
      <c r="A19" s="89" t="s">
        <v>553</v>
      </c>
      <c r="B19" s="90">
        <v>5022.8159180000002</v>
      </c>
      <c r="C19" s="90">
        <v>4637.5380859999996</v>
      </c>
      <c r="D19" s="90">
        <v>4334.1782229999999</v>
      </c>
      <c r="E19" s="90">
        <v>4060.7209469999998</v>
      </c>
      <c r="F19" s="90">
        <v>3807.2548830000001</v>
      </c>
      <c r="G19" s="90">
        <v>3581.4404300000001</v>
      </c>
      <c r="H19" s="90">
        <v>3381.5378420000002</v>
      </c>
      <c r="I19" s="90">
        <v>3207.1479490000002</v>
      </c>
      <c r="J19" s="90">
        <v>3054.2253420000002</v>
      </c>
      <c r="K19" s="90">
        <v>2919.3991700000001</v>
      </c>
      <c r="L19" s="90">
        <v>2802.0910640000002</v>
      </c>
      <c r="M19" s="90">
        <v>2697.7014159999999</v>
      </c>
      <c r="N19" s="90">
        <v>2607.9165039999998</v>
      </c>
      <c r="O19" s="90">
        <v>2532.91626</v>
      </c>
      <c r="P19" s="90">
        <v>2473.2705080000001</v>
      </c>
      <c r="Q19" s="90">
        <v>2421.9973140000002</v>
      </c>
      <c r="R19" s="90">
        <v>2376.96875</v>
      </c>
      <c r="S19" s="90">
        <v>2336.8005370000001</v>
      </c>
      <c r="T19" s="90">
        <v>2300.443115</v>
      </c>
      <c r="U19" s="90">
        <v>2263.8063959999999</v>
      </c>
      <c r="V19" s="90">
        <v>2227.3916020000001</v>
      </c>
      <c r="W19" s="90">
        <v>2189.5051269999999</v>
      </c>
      <c r="X19" s="90">
        <v>2153.623779</v>
      </c>
      <c r="Y19" s="90">
        <v>2122.3710940000001</v>
      </c>
      <c r="Z19" s="90">
        <v>2098.8439939999998</v>
      </c>
      <c r="AA19" s="90">
        <v>2073.9633789999998</v>
      </c>
      <c r="AB19" s="90">
        <v>2048.5607909999999</v>
      </c>
      <c r="AC19" s="90">
        <v>2023.7261960000001</v>
      </c>
      <c r="AD19" s="90">
        <v>2001.5626219999999</v>
      </c>
      <c r="AE19" s="91">
        <v>-3.2325E-2</v>
      </c>
      <c r="AF19" s="82"/>
    </row>
    <row r="20" spans="1:32" x14ac:dyDescent="0.75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</row>
    <row r="21" spans="1:32" ht="25" x14ac:dyDescent="0.75">
      <c r="A21" s="88" t="s">
        <v>554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</row>
    <row r="22" spans="1:32" ht="37.25" x14ac:dyDescent="0.75">
      <c r="A22" s="89" t="s">
        <v>555</v>
      </c>
      <c r="B22" s="90">
        <v>260.40920999999997</v>
      </c>
      <c r="C22" s="90">
        <v>233.988113</v>
      </c>
      <c r="D22" s="90">
        <v>209.63816800000001</v>
      </c>
      <c r="E22" s="90">
        <v>186.641312</v>
      </c>
      <c r="F22" s="90">
        <v>165.97789</v>
      </c>
      <c r="G22" s="90">
        <v>147.821091</v>
      </c>
      <c r="H22" s="90">
        <v>132.07270800000001</v>
      </c>
      <c r="I22" s="90">
        <v>118.785217</v>
      </c>
      <c r="J22" s="90">
        <v>107.733772</v>
      </c>
      <c r="K22" s="90">
        <v>98.722213999999994</v>
      </c>
      <c r="L22" s="90">
        <v>91.63073</v>
      </c>
      <c r="M22" s="90">
        <v>86.220878999999996</v>
      </c>
      <c r="N22" s="90">
        <v>82.223006999999996</v>
      </c>
      <c r="O22" s="90">
        <v>79.438202000000004</v>
      </c>
      <c r="P22" s="90">
        <v>77.735916000000003</v>
      </c>
      <c r="Q22" s="90">
        <v>76.541740000000004</v>
      </c>
      <c r="R22" s="90">
        <v>75.666542000000007</v>
      </c>
      <c r="S22" s="90">
        <v>75.034683000000001</v>
      </c>
      <c r="T22" s="90">
        <v>74.555442999999997</v>
      </c>
      <c r="U22" s="90">
        <v>74.032272000000006</v>
      </c>
      <c r="V22" s="90">
        <v>73.489875999999995</v>
      </c>
      <c r="W22" s="90">
        <v>72.862831</v>
      </c>
      <c r="X22" s="90">
        <v>72.320983999999996</v>
      </c>
      <c r="Y22" s="90">
        <v>71.990898000000001</v>
      </c>
      <c r="Z22" s="90">
        <v>72.008469000000005</v>
      </c>
      <c r="AA22" s="90">
        <v>71.941269000000005</v>
      </c>
      <c r="AB22" s="90">
        <v>71.822685000000007</v>
      </c>
      <c r="AC22" s="90">
        <v>71.715027000000006</v>
      </c>
      <c r="AD22" s="90">
        <v>71.534599</v>
      </c>
      <c r="AE22" s="91">
        <v>-4.5096999999999998E-2</v>
      </c>
      <c r="AF22" s="82"/>
    </row>
    <row r="23" spans="1:32" ht="37.25" x14ac:dyDescent="0.75">
      <c r="A23" s="89" t="s">
        <v>556</v>
      </c>
      <c r="B23" s="90">
        <v>11.328023999999999</v>
      </c>
      <c r="C23" s="90">
        <v>11.751799</v>
      </c>
      <c r="D23" s="90">
        <v>12.242355999999999</v>
      </c>
      <c r="E23" s="90">
        <v>12.619923999999999</v>
      </c>
      <c r="F23" s="90">
        <v>12.897100999999999</v>
      </c>
      <c r="G23" s="90">
        <v>13.181957000000001</v>
      </c>
      <c r="H23" s="90">
        <v>13.471306999999999</v>
      </c>
      <c r="I23" s="90">
        <v>13.783559</v>
      </c>
      <c r="J23" s="90">
        <v>14.123207000000001</v>
      </c>
      <c r="K23" s="90">
        <v>14.488545999999999</v>
      </c>
      <c r="L23" s="90">
        <v>14.888897999999999</v>
      </c>
      <c r="M23" s="90">
        <v>15.317131</v>
      </c>
      <c r="N23" s="90">
        <v>15.792070000000001</v>
      </c>
      <c r="O23" s="90">
        <v>16.327549000000001</v>
      </c>
      <c r="P23" s="90">
        <v>16.936695</v>
      </c>
      <c r="Q23" s="90">
        <v>17.576630000000002</v>
      </c>
      <c r="R23" s="90">
        <v>18.235157000000001</v>
      </c>
      <c r="S23" s="90">
        <v>18.903063</v>
      </c>
      <c r="T23" s="90">
        <v>19.57601</v>
      </c>
      <c r="U23" s="90">
        <v>20.217279000000001</v>
      </c>
      <c r="V23" s="90">
        <v>20.833856999999998</v>
      </c>
      <c r="W23" s="90">
        <v>21.407917000000001</v>
      </c>
      <c r="X23" s="90">
        <v>21.978210000000001</v>
      </c>
      <c r="Y23" s="90">
        <v>22.581918999999999</v>
      </c>
      <c r="Z23" s="90">
        <v>23.266811000000001</v>
      </c>
      <c r="AA23" s="90">
        <v>23.926888000000002</v>
      </c>
      <c r="AB23" s="90">
        <v>24.574036</v>
      </c>
      <c r="AC23" s="90">
        <v>25.223347</v>
      </c>
      <c r="AD23" s="90">
        <v>25.902096</v>
      </c>
      <c r="AE23" s="91">
        <v>2.9978000000000001E-2</v>
      </c>
      <c r="AF23" s="82"/>
    </row>
    <row r="24" spans="1:32" ht="37.25" x14ac:dyDescent="0.75">
      <c r="A24" s="89" t="s">
        <v>557</v>
      </c>
      <c r="B24" s="90">
        <v>17.462101000000001</v>
      </c>
      <c r="C24" s="90">
        <v>18.744710999999999</v>
      </c>
      <c r="D24" s="90">
        <v>21.541321</v>
      </c>
      <c r="E24" s="90">
        <v>25.222059000000002</v>
      </c>
      <c r="F24" s="90">
        <v>29.118895999999999</v>
      </c>
      <c r="G24" s="90">
        <v>33.205460000000002</v>
      </c>
      <c r="H24" s="90">
        <v>37.426132000000003</v>
      </c>
      <c r="I24" s="90">
        <v>41.846263999999998</v>
      </c>
      <c r="J24" s="90">
        <v>46.466693999999997</v>
      </c>
      <c r="K24" s="90">
        <v>51.259414999999997</v>
      </c>
      <c r="L24" s="90">
        <v>56.274909999999998</v>
      </c>
      <c r="M24" s="90">
        <v>61.416988000000003</v>
      </c>
      <c r="N24" s="90">
        <v>66.797652999999997</v>
      </c>
      <c r="O24" s="90">
        <v>72.494193999999993</v>
      </c>
      <c r="P24" s="90">
        <v>78.615684999999999</v>
      </c>
      <c r="Q24" s="90">
        <v>84.929885999999996</v>
      </c>
      <c r="R24" s="90">
        <v>91.387435999999994</v>
      </c>
      <c r="S24" s="90">
        <v>97.968834000000001</v>
      </c>
      <c r="T24" s="90">
        <v>104.64284499999999</v>
      </c>
      <c r="U24" s="90">
        <v>111.18373099999999</v>
      </c>
      <c r="V24" s="90">
        <v>117.624878</v>
      </c>
      <c r="W24" s="90">
        <v>123.84116400000001</v>
      </c>
      <c r="X24" s="90">
        <v>130.079071</v>
      </c>
      <c r="Y24" s="90">
        <v>136.56813</v>
      </c>
      <c r="Z24" s="90">
        <v>143.622345</v>
      </c>
      <c r="AA24" s="90">
        <v>150.508972</v>
      </c>
      <c r="AB24" s="90">
        <v>157.309113</v>
      </c>
      <c r="AC24" s="90">
        <v>164.12808200000001</v>
      </c>
      <c r="AD24" s="90">
        <v>171.15566999999999</v>
      </c>
      <c r="AE24" s="91">
        <v>8.4933999999999996E-2</v>
      </c>
      <c r="AF24" s="82"/>
    </row>
    <row r="25" spans="1:32" ht="37.25" x14ac:dyDescent="0.75">
      <c r="A25" s="89" t="s">
        <v>558</v>
      </c>
      <c r="B25" s="90">
        <v>55.467815000000002</v>
      </c>
      <c r="C25" s="90">
        <v>63.862431000000001</v>
      </c>
      <c r="D25" s="90">
        <v>72.749718000000001</v>
      </c>
      <c r="E25" s="90">
        <v>81.883339000000007</v>
      </c>
      <c r="F25" s="90">
        <v>90.405708000000004</v>
      </c>
      <c r="G25" s="90">
        <v>98.471451000000002</v>
      </c>
      <c r="H25" s="90">
        <v>106.067009</v>
      </c>
      <c r="I25" s="90">
        <v>113.402885</v>
      </c>
      <c r="J25" s="90">
        <v>120.48434399999999</v>
      </c>
      <c r="K25" s="90">
        <v>127.294693</v>
      </c>
      <c r="L25" s="90">
        <v>133.98381000000001</v>
      </c>
      <c r="M25" s="90">
        <v>140.44589199999999</v>
      </c>
      <c r="N25" s="90">
        <v>146.910034</v>
      </c>
      <c r="O25" s="90">
        <v>153.54129</v>
      </c>
      <c r="P25" s="90">
        <v>160.56230199999999</v>
      </c>
      <c r="Q25" s="90">
        <v>167.61523399999999</v>
      </c>
      <c r="R25" s="90">
        <v>174.68606600000001</v>
      </c>
      <c r="S25" s="90">
        <v>181.77105700000001</v>
      </c>
      <c r="T25" s="90">
        <v>188.86759900000001</v>
      </c>
      <c r="U25" s="90">
        <v>195.655945</v>
      </c>
      <c r="V25" s="90">
        <v>202.22496000000001</v>
      </c>
      <c r="W25" s="90">
        <v>208.409515</v>
      </c>
      <c r="X25" s="90">
        <v>214.599075</v>
      </c>
      <c r="Y25" s="90">
        <v>221.16119399999999</v>
      </c>
      <c r="Z25" s="90">
        <v>228.55313100000001</v>
      </c>
      <c r="AA25" s="90">
        <v>235.692307</v>
      </c>
      <c r="AB25" s="90">
        <v>242.69841</v>
      </c>
      <c r="AC25" s="90">
        <v>249.723175</v>
      </c>
      <c r="AD25" s="90">
        <v>257.04064899999997</v>
      </c>
      <c r="AE25" s="91">
        <v>5.6293000000000003E-2</v>
      </c>
      <c r="AF25" s="82"/>
    </row>
    <row r="26" spans="1:32" ht="37.25" x14ac:dyDescent="0.75">
      <c r="A26" s="89" t="s">
        <v>559</v>
      </c>
      <c r="B26" s="90">
        <v>18.620896999999999</v>
      </c>
      <c r="C26" s="90">
        <v>18.742386</v>
      </c>
      <c r="D26" s="90">
        <v>19.225785999999999</v>
      </c>
      <c r="E26" s="90">
        <v>19.769812000000002</v>
      </c>
      <c r="F26" s="90">
        <v>20.255057999999998</v>
      </c>
      <c r="G26" s="90">
        <v>20.684639000000001</v>
      </c>
      <c r="H26" s="90">
        <v>21.07461</v>
      </c>
      <c r="I26" s="90">
        <v>21.458030999999998</v>
      </c>
      <c r="J26" s="90">
        <v>21.848562000000001</v>
      </c>
      <c r="K26" s="90">
        <v>22.249832000000001</v>
      </c>
      <c r="L26" s="90">
        <v>22.686924000000001</v>
      </c>
      <c r="M26" s="90">
        <v>23.151102000000002</v>
      </c>
      <c r="N26" s="90">
        <v>23.674931000000001</v>
      </c>
      <c r="O26" s="90">
        <v>24.288008000000001</v>
      </c>
      <c r="P26" s="90">
        <v>25.015554000000002</v>
      </c>
      <c r="Q26" s="90">
        <v>25.810991000000001</v>
      </c>
      <c r="R26" s="90">
        <v>26.663719</v>
      </c>
      <c r="S26" s="90">
        <v>27.561453</v>
      </c>
      <c r="T26" s="90">
        <v>28.491934000000001</v>
      </c>
      <c r="U26" s="90">
        <v>29.406262999999999</v>
      </c>
      <c r="V26" s="90">
        <v>30.308496000000002</v>
      </c>
      <c r="W26" s="90">
        <v>31.167662</v>
      </c>
      <c r="X26" s="90">
        <v>32.028728000000001</v>
      </c>
      <c r="Y26" s="90">
        <v>32.935436000000003</v>
      </c>
      <c r="Z26" s="90">
        <v>33.948967000000003</v>
      </c>
      <c r="AA26" s="90">
        <v>34.930641000000001</v>
      </c>
      <c r="AB26" s="90">
        <v>35.897713000000003</v>
      </c>
      <c r="AC26" s="90">
        <v>36.868178999999998</v>
      </c>
      <c r="AD26" s="90">
        <v>37.873576999999997</v>
      </c>
      <c r="AE26" s="91">
        <v>2.5680000000000001E-2</v>
      </c>
      <c r="AF26" s="82"/>
    </row>
    <row r="27" spans="1:32" ht="37.25" x14ac:dyDescent="0.75">
      <c r="A27" s="89" t="s">
        <v>560</v>
      </c>
      <c r="B27" s="90">
        <v>9.1898499999999999</v>
      </c>
      <c r="C27" s="90">
        <v>9.2321910000000003</v>
      </c>
      <c r="D27" s="90">
        <v>9.5130649999999992</v>
      </c>
      <c r="E27" s="90">
        <v>9.8905469999999998</v>
      </c>
      <c r="F27" s="90">
        <v>10.297814000000001</v>
      </c>
      <c r="G27" s="90">
        <v>10.742392000000001</v>
      </c>
      <c r="H27" s="90">
        <v>11.226654999999999</v>
      </c>
      <c r="I27" s="90">
        <v>11.782159</v>
      </c>
      <c r="J27" s="90">
        <v>12.412929999999999</v>
      </c>
      <c r="K27" s="90">
        <v>13.113447000000001</v>
      </c>
      <c r="L27" s="90">
        <v>13.8957</v>
      </c>
      <c r="M27" s="90">
        <v>14.741248000000001</v>
      </c>
      <c r="N27" s="90">
        <v>15.667826</v>
      </c>
      <c r="O27" s="90">
        <v>16.685068000000001</v>
      </c>
      <c r="P27" s="90">
        <v>17.809175</v>
      </c>
      <c r="Q27" s="90">
        <v>18.991947</v>
      </c>
      <c r="R27" s="90">
        <v>20.221149</v>
      </c>
      <c r="S27" s="90">
        <v>21.486172</v>
      </c>
      <c r="T27" s="90">
        <v>22.775742000000001</v>
      </c>
      <c r="U27" s="90">
        <v>24.045905999999999</v>
      </c>
      <c r="V27" s="90">
        <v>25.302800999999999</v>
      </c>
      <c r="W27" s="90">
        <v>26.519762</v>
      </c>
      <c r="X27" s="90">
        <v>27.738803999999998</v>
      </c>
      <c r="Y27" s="90">
        <v>29.003209999999999</v>
      </c>
      <c r="Z27" s="90">
        <v>30.374689</v>
      </c>
      <c r="AA27" s="90">
        <v>31.715917999999999</v>
      </c>
      <c r="AB27" s="90">
        <v>33.043564000000003</v>
      </c>
      <c r="AC27" s="90">
        <v>34.375633000000001</v>
      </c>
      <c r="AD27" s="90">
        <v>35.743800999999998</v>
      </c>
      <c r="AE27" s="91">
        <v>4.9706E-2</v>
      </c>
      <c r="AF27" s="82"/>
    </row>
    <row r="28" spans="1:32" ht="37.25" x14ac:dyDescent="0.75">
      <c r="A28" s="89" t="s">
        <v>561</v>
      </c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1" t="s">
        <v>298</v>
      </c>
      <c r="AF28" s="82"/>
    </row>
    <row r="29" spans="1:32" ht="37.25" x14ac:dyDescent="0.75">
      <c r="A29" s="89" t="s">
        <v>562</v>
      </c>
      <c r="B29" s="90">
        <v>223.61549400000001</v>
      </c>
      <c r="C29" s="90">
        <v>216.07962000000001</v>
      </c>
      <c r="D29" s="90">
        <v>210.169006</v>
      </c>
      <c r="E29" s="90">
        <v>203.94279499999999</v>
      </c>
      <c r="F29" s="90">
        <v>198.13800000000001</v>
      </c>
      <c r="G29" s="90">
        <v>193.12855500000001</v>
      </c>
      <c r="H29" s="90">
        <v>188.948227</v>
      </c>
      <c r="I29" s="90">
        <v>185.78183000000001</v>
      </c>
      <c r="J29" s="90">
        <v>183.58956900000001</v>
      </c>
      <c r="K29" s="90">
        <v>182.24688699999999</v>
      </c>
      <c r="L29" s="90">
        <v>181.81208799999999</v>
      </c>
      <c r="M29" s="90">
        <v>182.02372700000001</v>
      </c>
      <c r="N29" s="90">
        <v>183.034592</v>
      </c>
      <c r="O29" s="90">
        <v>184.915085</v>
      </c>
      <c r="P29" s="90">
        <v>187.750809</v>
      </c>
      <c r="Q29" s="90">
        <v>191.071381</v>
      </c>
      <c r="R29" s="90">
        <v>194.74928299999999</v>
      </c>
      <c r="S29" s="90">
        <v>198.695999</v>
      </c>
      <c r="T29" s="90">
        <v>202.83294699999999</v>
      </c>
      <c r="U29" s="90">
        <v>206.79274000000001</v>
      </c>
      <c r="V29" s="90">
        <v>210.62626599999999</v>
      </c>
      <c r="W29" s="90">
        <v>214.15209999999999</v>
      </c>
      <c r="X29" s="90">
        <v>217.717209</v>
      </c>
      <c r="Y29" s="90">
        <v>221.63664199999999</v>
      </c>
      <c r="Z29" s="90">
        <v>226.31954999999999</v>
      </c>
      <c r="AA29" s="90">
        <v>230.77928199999999</v>
      </c>
      <c r="AB29" s="90">
        <v>235.12669399999999</v>
      </c>
      <c r="AC29" s="90">
        <v>239.49491900000001</v>
      </c>
      <c r="AD29" s="90">
        <v>244.11679100000001</v>
      </c>
      <c r="AE29" s="91">
        <v>3.1380000000000002E-3</v>
      </c>
      <c r="AF29" s="82"/>
    </row>
    <row r="30" spans="1:32" ht="25" x14ac:dyDescent="0.75">
      <c r="A30" s="89" t="s">
        <v>563</v>
      </c>
      <c r="B30" s="90">
        <v>11.524046999999999</v>
      </c>
      <c r="C30" s="90">
        <v>10.680966</v>
      </c>
      <c r="D30" s="90">
        <v>9.7907329999999995</v>
      </c>
      <c r="E30" s="90">
        <v>8.885427</v>
      </c>
      <c r="F30" s="90">
        <v>7.9903449999999996</v>
      </c>
      <c r="G30" s="90">
        <v>7.1033359999999997</v>
      </c>
      <c r="H30" s="90">
        <v>6.2375930000000004</v>
      </c>
      <c r="I30" s="90">
        <v>5.4280480000000004</v>
      </c>
      <c r="J30" s="90">
        <v>4.7586219999999999</v>
      </c>
      <c r="K30" s="90">
        <v>4.1292390000000001</v>
      </c>
      <c r="L30" s="90">
        <v>3.577585</v>
      </c>
      <c r="M30" s="90">
        <v>3.1073620000000002</v>
      </c>
      <c r="N30" s="90">
        <v>2.7210860000000001</v>
      </c>
      <c r="O30" s="90">
        <v>2.3994659999999999</v>
      </c>
      <c r="P30" s="90">
        <v>2.1384289999999999</v>
      </c>
      <c r="Q30" s="90">
        <v>1.9661150000000001</v>
      </c>
      <c r="R30" s="90">
        <v>1.819323</v>
      </c>
      <c r="S30" s="90">
        <v>1.697581</v>
      </c>
      <c r="T30" s="90">
        <v>1.589439</v>
      </c>
      <c r="U30" s="90">
        <v>1.488186</v>
      </c>
      <c r="V30" s="90">
        <v>1.393384</v>
      </c>
      <c r="W30" s="90">
        <v>1.3046199999999999</v>
      </c>
      <c r="X30" s="90">
        <v>1.221511</v>
      </c>
      <c r="Y30" s="90">
        <v>1.143696</v>
      </c>
      <c r="Z30" s="90">
        <v>1.0708390000000001</v>
      </c>
      <c r="AA30" s="90">
        <v>1.0026219999999999</v>
      </c>
      <c r="AB30" s="90">
        <v>0.93875200000000003</v>
      </c>
      <c r="AC30" s="90">
        <v>0.87895000000000001</v>
      </c>
      <c r="AD30" s="90">
        <v>0.82295799999999997</v>
      </c>
      <c r="AE30" s="91">
        <v>-8.9954000000000006E-2</v>
      </c>
      <c r="AF30" s="82"/>
    </row>
    <row r="31" spans="1:32" ht="25" x14ac:dyDescent="0.75">
      <c r="A31" s="89" t="s">
        <v>564</v>
      </c>
      <c r="B31" s="90">
        <v>0.307861</v>
      </c>
      <c r="C31" s="90">
        <v>0.26491900000000002</v>
      </c>
      <c r="D31" s="90">
        <v>0.23980199999999999</v>
      </c>
      <c r="E31" s="90">
        <v>0.224525</v>
      </c>
      <c r="F31" s="90">
        <v>0.21022199999999999</v>
      </c>
      <c r="G31" s="90">
        <v>0.19683</v>
      </c>
      <c r="H31" s="90">
        <v>0.18429200000000001</v>
      </c>
      <c r="I31" s="90">
        <v>0.17255100000000001</v>
      </c>
      <c r="J31" s="90">
        <v>0.16155900000000001</v>
      </c>
      <c r="K31" s="90">
        <v>0.15126700000000001</v>
      </c>
      <c r="L31" s="90">
        <v>0.14163100000000001</v>
      </c>
      <c r="M31" s="90">
        <v>0.132609</v>
      </c>
      <c r="N31" s="90">
        <v>0.12416099999999999</v>
      </c>
      <c r="O31" s="90">
        <v>0.11625199999999999</v>
      </c>
      <c r="P31" s="90">
        <v>0.108846</v>
      </c>
      <c r="Q31" s="90">
        <v>0.101912</v>
      </c>
      <c r="R31" s="90">
        <v>9.5420000000000005E-2</v>
      </c>
      <c r="S31" s="90">
        <v>8.9341000000000004E-2</v>
      </c>
      <c r="T31" s="90">
        <v>8.3650000000000002E-2</v>
      </c>
      <c r="U31" s="90">
        <v>7.8321000000000002E-2</v>
      </c>
      <c r="V31" s="90">
        <v>7.3331999999999994E-2</v>
      </c>
      <c r="W31" s="90">
        <v>6.8659999999999999E-2</v>
      </c>
      <c r="X31" s="90">
        <v>6.4285999999999996E-2</v>
      </c>
      <c r="Y31" s="90">
        <v>6.0191000000000001E-2</v>
      </c>
      <c r="Z31" s="90">
        <v>5.6356999999999997E-2</v>
      </c>
      <c r="AA31" s="90">
        <v>5.2767000000000001E-2</v>
      </c>
      <c r="AB31" s="90">
        <v>4.9404999999999998E-2</v>
      </c>
      <c r="AC31" s="90">
        <v>4.6258000000000001E-2</v>
      </c>
      <c r="AD31" s="90">
        <v>4.3311000000000002E-2</v>
      </c>
      <c r="AE31" s="91">
        <v>-6.7646999999999999E-2</v>
      </c>
      <c r="AF31" s="82"/>
    </row>
    <row r="32" spans="1:32" ht="25" x14ac:dyDescent="0.75">
      <c r="A32" s="89" t="s">
        <v>565</v>
      </c>
      <c r="B32" s="90">
        <v>2.0879910000000002</v>
      </c>
      <c r="C32" s="90">
        <v>1.7846089999999999</v>
      </c>
      <c r="D32" s="90">
        <v>1.535312</v>
      </c>
      <c r="E32" s="90">
        <v>1.3333470000000001</v>
      </c>
      <c r="F32" s="90">
        <v>1.206512</v>
      </c>
      <c r="G32" s="90">
        <v>1.127065</v>
      </c>
      <c r="H32" s="90">
        <v>1.055267</v>
      </c>
      <c r="I32" s="90">
        <v>0.988043</v>
      </c>
      <c r="J32" s="90">
        <v>0.92510099999999995</v>
      </c>
      <c r="K32" s="90">
        <v>0.86616800000000005</v>
      </c>
      <c r="L32" s="90">
        <v>0.81099100000000002</v>
      </c>
      <c r="M32" s="90">
        <v>0.759328</v>
      </c>
      <c r="N32" s="90">
        <v>0.71095600000000003</v>
      </c>
      <c r="O32" s="90">
        <v>0.66566499999999995</v>
      </c>
      <c r="P32" s="90">
        <v>0.62326000000000004</v>
      </c>
      <c r="Q32" s="90">
        <v>0.58355599999999996</v>
      </c>
      <c r="R32" s="90">
        <v>0.54638100000000001</v>
      </c>
      <c r="S32" s="90">
        <v>0.511575</v>
      </c>
      <c r="T32" s="90">
        <v>0.47898600000000002</v>
      </c>
      <c r="U32" s="90">
        <v>0.44847300000000001</v>
      </c>
      <c r="V32" s="90">
        <v>0.41990300000000003</v>
      </c>
      <c r="W32" s="90">
        <v>0.393154</v>
      </c>
      <c r="X32" s="90">
        <v>0.36810900000000002</v>
      </c>
      <c r="Y32" s="90">
        <v>0.34465899999999999</v>
      </c>
      <c r="Z32" s="90">
        <v>0.32270300000000002</v>
      </c>
      <c r="AA32" s="90">
        <v>0.302145</v>
      </c>
      <c r="AB32" s="90">
        <v>0.28289799999999998</v>
      </c>
      <c r="AC32" s="90">
        <v>0.264876</v>
      </c>
      <c r="AD32" s="90">
        <v>0.248003</v>
      </c>
      <c r="AE32" s="91">
        <v>-7.3266999999999999E-2</v>
      </c>
      <c r="AF32" s="82"/>
    </row>
    <row r="33" spans="1:32" ht="25" x14ac:dyDescent="0.75">
      <c r="A33" s="89" t="s">
        <v>566</v>
      </c>
      <c r="B33" s="90">
        <v>4.0826789999999997</v>
      </c>
      <c r="C33" s="90">
        <v>3.4803980000000001</v>
      </c>
      <c r="D33" s="90">
        <v>2.9777900000000002</v>
      </c>
      <c r="E33" s="90">
        <v>2.5650409999999999</v>
      </c>
      <c r="F33" s="90">
        <v>2.2838059999999998</v>
      </c>
      <c r="G33" s="90">
        <v>2.1086070000000001</v>
      </c>
      <c r="H33" s="90">
        <v>1.959856</v>
      </c>
      <c r="I33" s="90">
        <v>1.8350059999999999</v>
      </c>
      <c r="J33" s="90">
        <v>1.7181090000000001</v>
      </c>
      <c r="K33" s="90">
        <v>1.60866</v>
      </c>
      <c r="L33" s="90">
        <v>1.5061819999999999</v>
      </c>
      <c r="M33" s="90">
        <v>1.4102330000000001</v>
      </c>
      <c r="N33" s="90">
        <v>1.3203959999999999</v>
      </c>
      <c r="O33" s="90">
        <v>1.2362820000000001</v>
      </c>
      <c r="P33" s="90">
        <v>1.1575260000000001</v>
      </c>
      <c r="Q33" s="90">
        <v>1.083788</v>
      </c>
      <c r="R33" s="90">
        <v>1.0147470000000001</v>
      </c>
      <c r="S33" s="90">
        <v>0.95010399999999995</v>
      </c>
      <c r="T33" s="90">
        <v>0.88957900000000001</v>
      </c>
      <c r="U33" s="90">
        <v>0.83290900000000001</v>
      </c>
      <c r="V33" s="90">
        <v>0.77985000000000004</v>
      </c>
      <c r="W33" s="90">
        <v>0.73017100000000001</v>
      </c>
      <c r="X33" s="90">
        <v>0.68365600000000004</v>
      </c>
      <c r="Y33" s="90">
        <v>0.64010500000000004</v>
      </c>
      <c r="Z33" s="90">
        <v>0.59932799999999997</v>
      </c>
      <c r="AA33" s="90">
        <v>0.56114900000000001</v>
      </c>
      <c r="AB33" s="90">
        <v>0.52540100000000001</v>
      </c>
      <c r="AC33" s="90">
        <v>0.49193100000000001</v>
      </c>
      <c r="AD33" s="90">
        <v>0.460594</v>
      </c>
      <c r="AE33" s="91">
        <v>-7.4968999999999994E-2</v>
      </c>
      <c r="AF33" s="82"/>
    </row>
    <row r="34" spans="1:32" ht="25" x14ac:dyDescent="0.75">
      <c r="A34" s="89" t="s">
        <v>567</v>
      </c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1" t="s">
        <v>298</v>
      </c>
      <c r="AF34" s="82"/>
    </row>
    <row r="35" spans="1:32" ht="25" x14ac:dyDescent="0.75">
      <c r="A35" s="89" t="s">
        <v>568</v>
      </c>
      <c r="B35" s="90">
        <v>0.695658</v>
      </c>
      <c r="C35" s="90">
        <v>0.69352499999999995</v>
      </c>
      <c r="D35" s="90">
        <v>0.730931</v>
      </c>
      <c r="E35" s="90">
        <v>0.79698999999999998</v>
      </c>
      <c r="F35" s="90">
        <v>0.88553999999999999</v>
      </c>
      <c r="G35" s="90">
        <v>0.98939999999999995</v>
      </c>
      <c r="H35" s="90">
        <v>1.10531</v>
      </c>
      <c r="I35" s="90">
        <v>1.234237</v>
      </c>
      <c r="J35" s="90">
        <v>1.3744749999999999</v>
      </c>
      <c r="K35" s="90">
        <v>1.5244759999999999</v>
      </c>
      <c r="L35" s="90">
        <v>1.6852279999999999</v>
      </c>
      <c r="M35" s="90">
        <v>1.8541810000000001</v>
      </c>
      <c r="N35" s="90">
        <v>2.033293</v>
      </c>
      <c r="O35" s="90">
        <v>2.2237119999999999</v>
      </c>
      <c r="P35" s="90">
        <v>2.4270939999999999</v>
      </c>
      <c r="Q35" s="90">
        <v>2.6390389999999999</v>
      </c>
      <c r="R35" s="90">
        <v>2.8586079999999998</v>
      </c>
      <c r="S35" s="90">
        <v>3.0842800000000001</v>
      </c>
      <c r="T35" s="90">
        <v>3.3144110000000002</v>
      </c>
      <c r="U35" s="90">
        <v>3.5441980000000002</v>
      </c>
      <c r="V35" s="90">
        <v>3.773129</v>
      </c>
      <c r="W35" s="90">
        <v>3.9972880000000002</v>
      </c>
      <c r="X35" s="90">
        <v>4.2207540000000003</v>
      </c>
      <c r="Y35" s="90">
        <v>4.4483009999999998</v>
      </c>
      <c r="Z35" s="90">
        <v>4.6884439999999996</v>
      </c>
      <c r="AA35" s="90">
        <v>4.9254730000000002</v>
      </c>
      <c r="AB35" s="90">
        <v>5.1619760000000001</v>
      </c>
      <c r="AC35" s="90">
        <v>5.3994140000000002</v>
      </c>
      <c r="AD35" s="90">
        <v>5.6399559999999997</v>
      </c>
      <c r="AE35" s="91">
        <v>7.7605999999999994E-2</v>
      </c>
      <c r="AF35" s="82"/>
    </row>
    <row r="36" spans="1:32" ht="37.25" x14ac:dyDescent="0.75">
      <c r="A36" s="89" t="s">
        <v>569</v>
      </c>
      <c r="B36" s="90">
        <v>614.79174799999998</v>
      </c>
      <c r="C36" s="90">
        <v>589.30566399999998</v>
      </c>
      <c r="D36" s="90">
        <v>570.35400400000003</v>
      </c>
      <c r="E36" s="90">
        <v>553.77508499999999</v>
      </c>
      <c r="F36" s="90">
        <v>539.66693099999998</v>
      </c>
      <c r="G36" s="90">
        <v>528.76080300000001</v>
      </c>
      <c r="H36" s="90">
        <v>520.828979</v>
      </c>
      <c r="I36" s="90">
        <v>516.49780299999998</v>
      </c>
      <c r="J36" s="90">
        <v>515.59692399999994</v>
      </c>
      <c r="K36" s="90">
        <v>517.65484600000002</v>
      </c>
      <c r="L36" s="90">
        <v>522.89471400000002</v>
      </c>
      <c r="M36" s="90">
        <v>530.58074999999997</v>
      </c>
      <c r="N36" s="90">
        <v>541.01000999999997</v>
      </c>
      <c r="O36" s="90">
        <v>554.33074999999997</v>
      </c>
      <c r="P36" s="90">
        <v>570.881348</v>
      </c>
      <c r="Q36" s="90">
        <v>588.91223100000002</v>
      </c>
      <c r="R36" s="90">
        <v>607.94378700000004</v>
      </c>
      <c r="S36" s="90">
        <v>627.75414999999998</v>
      </c>
      <c r="T36" s="90">
        <v>648.09857199999999</v>
      </c>
      <c r="U36" s="90">
        <v>667.72619599999996</v>
      </c>
      <c r="V36" s="90">
        <v>686.85070800000005</v>
      </c>
      <c r="W36" s="90">
        <v>704.85485800000004</v>
      </c>
      <c r="X36" s="90">
        <v>723.02038600000003</v>
      </c>
      <c r="Y36" s="90">
        <v>742.51434300000005</v>
      </c>
      <c r="Z36" s="90">
        <v>764.83160399999997</v>
      </c>
      <c r="AA36" s="90">
        <v>786.33947799999999</v>
      </c>
      <c r="AB36" s="90">
        <v>807.43066399999998</v>
      </c>
      <c r="AC36" s="90">
        <v>828.60986300000002</v>
      </c>
      <c r="AD36" s="90">
        <v>850.58196999999996</v>
      </c>
      <c r="AE36" s="91">
        <v>1.1662E-2</v>
      </c>
      <c r="AF36" s="82"/>
    </row>
    <row r="37" spans="1:32" x14ac:dyDescent="0.75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</row>
    <row r="38" spans="1:32" ht="25" x14ac:dyDescent="0.75">
      <c r="A38" s="89" t="s">
        <v>599</v>
      </c>
      <c r="B38" s="90">
        <v>5637.607422</v>
      </c>
      <c r="C38" s="90">
        <v>5226.84375</v>
      </c>
      <c r="D38" s="90">
        <v>4904.5322269999997</v>
      </c>
      <c r="E38" s="90">
        <v>4614.4960940000001</v>
      </c>
      <c r="F38" s="90">
        <v>4346.921875</v>
      </c>
      <c r="G38" s="90">
        <v>4110.201172</v>
      </c>
      <c r="H38" s="90">
        <v>3902.3666990000002</v>
      </c>
      <c r="I38" s="90">
        <v>3723.6457519999999</v>
      </c>
      <c r="J38" s="90">
        <v>3569.8222660000001</v>
      </c>
      <c r="K38" s="90">
        <v>3437.0539549999999</v>
      </c>
      <c r="L38" s="90">
        <v>3324.9858399999998</v>
      </c>
      <c r="M38" s="90">
        <v>3228.2822270000001</v>
      </c>
      <c r="N38" s="90">
        <v>3148.9265140000002</v>
      </c>
      <c r="O38" s="90">
        <v>3087.2470699999999</v>
      </c>
      <c r="P38" s="90">
        <v>3044.1518550000001</v>
      </c>
      <c r="Q38" s="90">
        <v>3010.9096679999998</v>
      </c>
      <c r="R38" s="90">
        <v>2984.9125979999999</v>
      </c>
      <c r="S38" s="90">
        <v>2964.5546880000002</v>
      </c>
      <c r="T38" s="90">
        <v>2948.5417480000001</v>
      </c>
      <c r="U38" s="90">
        <v>2931.5327149999998</v>
      </c>
      <c r="V38" s="90">
        <v>2914.2421880000002</v>
      </c>
      <c r="W38" s="90">
        <v>2894.3598630000001</v>
      </c>
      <c r="X38" s="90">
        <v>2876.6440429999998</v>
      </c>
      <c r="Y38" s="90">
        <v>2864.8854980000001</v>
      </c>
      <c r="Z38" s="90">
        <v>2863.6755370000001</v>
      </c>
      <c r="AA38" s="90">
        <v>2860.3027339999999</v>
      </c>
      <c r="AB38" s="90">
        <v>2855.9914549999999</v>
      </c>
      <c r="AC38" s="90">
        <v>2852.3359380000002</v>
      </c>
      <c r="AD38" s="90">
        <v>2852.1445309999999</v>
      </c>
      <c r="AE38" s="91">
        <v>-2.4042000000000001E-2</v>
      </c>
      <c r="AF38" s="82"/>
    </row>
    <row r="39" spans="1:32" x14ac:dyDescent="0.75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</row>
    <row r="40" spans="1:32" ht="25" x14ac:dyDescent="0.75">
      <c r="A40" s="88" t="s">
        <v>600</v>
      </c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</row>
    <row r="41" spans="1:32" ht="49.5" x14ac:dyDescent="0.75">
      <c r="A41" s="88" t="s">
        <v>573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</row>
    <row r="42" spans="1:32" ht="25" x14ac:dyDescent="0.75">
      <c r="A42" s="89" t="s">
        <v>551</v>
      </c>
      <c r="B42" s="90">
        <v>7639.0830079999996</v>
      </c>
      <c r="C42" s="90">
        <v>7655.0961909999996</v>
      </c>
      <c r="D42" s="90">
        <v>7760.3139650000003</v>
      </c>
      <c r="E42" s="90">
        <v>7895.3627930000002</v>
      </c>
      <c r="F42" s="90">
        <v>8023.1142579999996</v>
      </c>
      <c r="G42" s="90">
        <v>8127.6328119999998</v>
      </c>
      <c r="H42" s="90">
        <v>8212.9814449999994</v>
      </c>
      <c r="I42" s="90">
        <v>8290.5888670000004</v>
      </c>
      <c r="J42" s="90">
        <v>8349.9736329999996</v>
      </c>
      <c r="K42" s="90">
        <v>8394.4511719999991</v>
      </c>
      <c r="L42" s="90">
        <v>8423.9824219999991</v>
      </c>
      <c r="M42" s="90">
        <v>8440.4257809999999</v>
      </c>
      <c r="N42" s="90">
        <v>8451.6865230000003</v>
      </c>
      <c r="O42" s="90">
        <v>8465.3476559999999</v>
      </c>
      <c r="P42" s="90">
        <v>8480.6542969999991</v>
      </c>
      <c r="Q42" s="90">
        <v>8497.1035159999992</v>
      </c>
      <c r="R42" s="90">
        <v>8516.1015619999998</v>
      </c>
      <c r="S42" s="90">
        <v>8536.0273440000001</v>
      </c>
      <c r="T42" s="90">
        <v>8559.6494139999995</v>
      </c>
      <c r="U42" s="90">
        <v>8580.203125</v>
      </c>
      <c r="V42" s="90">
        <v>8599.4804690000001</v>
      </c>
      <c r="W42" s="90">
        <v>8618.3642579999996</v>
      </c>
      <c r="X42" s="90">
        <v>8635.5253909999992</v>
      </c>
      <c r="Y42" s="90">
        <v>8659.0556639999995</v>
      </c>
      <c r="Z42" s="90">
        <v>8680.4677730000003</v>
      </c>
      <c r="AA42" s="90">
        <v>8702.9228519999997</v>
      </c>
      <c r="AB42" s="90">
        <v>8720.7890619999998</v>
      </c>
      <c r="AC42" s="90">
        <v>8742.2802730000003</v>
      </c>
      <c r="AD42" s="90">
        <v>8768.0771480000003</v>
      </c>
      <c r="AE42" s="91">
        <v>4.9350000000000002E-3</v>
      </c>
      <c r="AF42" s="82"/>
    </row>
    <row r="43" spans="1:32" ht="25" x14ac:dyDescent="0.75">
      <c r="A43" s="89" t="s">
        <v>552</v>
      </c>
      <c r="B43" s="90">
        <v>60.554519999999997</v>
      </c>
      <c r="C43" s="90">
        <v>54.813412</v>
      </c>
      <c r="D43" s="90">
        <v>48.998947000000001</v>
      </c>
      <c r="E43" s="90">
        <v>43.883667000000003</v>
      </c>
      <c r="F43" s="90">
        <v>39.715415999999998</v>
      </c>
      <c r="G43" s="90">
        <v>35.790714000000001</v>
      </c>
      <c r="H43" s="90">
        <v>32.023296000000002</v>
      </c>
      <c r="I43" s="90">
        <v>28.420086000000001</v>
      </c>
      <c r="J43" s="90">
        <v>24.994423000000001</v>
      </c>
      <c r="K43" s="90">
        <v>21.770368999999999</v>
      </c>
      <c r="L43" s="90">
        <v>18.758324000000002</v>
      </c>
      <c r="M43" s="90">
        <v>15.995414</v>
      </c>
      <c r="N43" s="90">
        <v>13.487584999999999</v>
      </c>
      <c r="O43" s="90">
        <v>11.270678999999999</v>
      </c>
      <c r="P43" s="90">
        <v>9.3356399999999997</v>
      </c>
      <c r="Q43" s="90">
        <v>7.6824560000000002</v>
      </c>
      <c r="R43" s="90">
        <v>6.3136010000000002</v>
      </c>
      <c r="S43" s="90">
        <v>5.1956619999999996</v>
      </c>
      <c r="T43" s="90">
        <v>4.3157319999999997</v>
      </c>
      <c r="U43" s="90">
        <v>3.6364559999999999</v>
      </c>
      <c r="V43" s="90">
        <v>3.103021</v>
      </c>
      <c r="W43" s="90">
        <v>2.68296</v>
      </c>
      <c r="X43" s="90">
        <v>2.3479139999999998</v>
      </c>
      <c r="Y43" s="90">
        <v>2.093235</v>
      </c>
      <c r="Z43" s="90">
        <v>1.8931100000000001</v>
      </c>
      <c r="AA43" s="90">
        <v>1.714415</v>
      </c>
      <c r="AB43" s="90">
        <v>1.55453</v>
      </c>
      <c r="AC43" s="90">
        <v>1.411821</v>
      </c>
      <c r="AD43" s="90">
        <v>1.2844409999999999</v>
      </c>
      <c r="AE43" s="91">
        <v>-0.12856600000000001</v>
      </c>
      <c r="AF43" s="82"/>
    </row>
    <row r="44" spans="1:32" ht="49.5" x14ac:dyDescent="0.75">
      <c r="A44" s="89" t="s">
        <v>574</v>
      </c>
      <c r="B44" s="90">
        <v>7699.6376950000003</v>
      </c>
      <c r="C44" s="90">
        <v>7709.9096680000002</v>
      </c>
      <c r="D44" s="90">
        <v>7809.3129879999997</v>
      </c>
      <c r="E44" s="90">
        <v>7939.2465819999998</v>
      </c>
      <c r="F44" s="90">
        <v>8062.8295900000003</v>
      </c>
      <c r="G44" s="90">
        <v>8163.4233400000003</v>
      </c>
      <c r="H44" s="90">
        <v>8245.0048829999996</v>
      </c>
      <c r="I44" s="90">
        <v>8319.0087889999995</v>
      </c>
      <c r="J44" s="90">
        <v>8374.9677730000003</v>
      </c>
      <c r="K44" s="90">
        <v>8416.2216800000006</v>
      </c>
      <c r="L44" s="90">
        <v>8442.7412110000005</v>
      </c>
      <c r="M44" s="90">
        <v>8456.4208980000003</v>
      </c>
      <c r="N44" s="90">
        <v>8465.1738280000009</v>
      </c>
      <c r="O44" s="90">
        <v>8476.6181639999995</v>
      </c>
      <c r="P44" s="90">
        <v>8489.9902340000008</v>
      </c>
      <c r="Q44" s="90">
        <v>8504.7861329999996</v>
      </c>
      <c r="R44" s="90">
        <v>8522.4150389999995</v>
      </c>
      <c r="S44" s="90">
        <v>8541.2226559999999</v>
      </c>
      <c r="T44" s="90">
        <v>8563.9648440000001</v>
      </c>
      <c r="U44" s="90">
        <v>8583.8398440000001</v>
      </c>
      <c r="V44" s="90">
        <v>8602.5830079999996</v>
      </c>
      <c r="W44" s="90">
        <v>8621.046875</v>
      </c>
      <c r="X44" s="90">
        <v>8637.8730469999991</v>
      </c>
      <c r="Y44" s="90">
        <v>8661.1484380000002</v>
      </c>
      <c r="Z44" s="90">
        <v>8682.3613280000009</v>
      </c>
      <c r="AA44" s="90">
        <v>8704.6376949999994</v>
      </c>
      <c r="AB44" s="90">
        <v>8722.34375</v>
      </c>
      <c r="AC44" s="90">
        <v>8743.6923829999996</v>
      </c>
      <c r="AD44" s="90">
        <v>8769.3613280000009</v>
      </c>
      <c r="AE44" s="91">
        <v>4.6569999999999997E-3</v>
      </c>
      <c r="AF44" s="82"/>
    </row>
    <row r="45" spans="1:32" x14ac:dyDescent="0.7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</row>
    <row r="46" spans="1:32" ht="37.25" x14ac:dyDescent="0.75">
      <c r="A46" s="88" t="s">
        <v>575</v>
      </c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</row>
    <row r="47" spans="1:32" ht="37.25" x14ac:dyDescent="0.75">
      <c r="A47" s="89" t="s">
        <v>555</v>
      </c>
      <c r="B47" s="90">
        <v>1218.5097659999999</v>
      </c>
      <c r="C47" s="90">
        <v>1120.8608400000001</v>
      </c>
      <c r="D47" s="90">
        <v>1037.922607</v>
      </c>
      <c r="E47" s="90">
        <v>953.25146500000005</v>
      </c>
      <c r="F47" s="90">
        <v>874.385132</v>
      </c>
      <c r="G47" s="90">
        <v>799.14770499999997</v>
      </c>
      <c r="H47" s="90">
        <v>728.95617700000003</v>
      </c>
      <c r="I47" s="90">
        <v>665.63317900000004</v>
      </c>
      <c r="J47" s="90">
        <v>608.78552200000001</v>
      </c>
      <c r="K47" s="90">
        <v>558.96545400000002</v>
      </c>
      <c r="L47" s="90">
        <v>515.91949499999998</v>
      </c>
      <c r="M47" s="90">
        <v>479.58041400000002</v>
      </c>
      <c r="N47" s="90">
        <v>449.99478099999999</v>
      </c>
      <c r="O47" s="90">
        <v>427.03121900000002</v>
      </c>
      <c r="P47" s="90">
        <v>409.60955799999999</v>
      </c>
      <c r="Q47" s="90">
        <v>396.73980699999998</v>
      </c>
      <c r="R47" s="90">
        <v>387.82333399999999</v>
      </c>
      <c r="S47" s="90">
        <v>381.65939300000002</v>
      </c>
      <c r="T47" s="90">
        <v>377.57605000000001</v>
      </c>
      <c r="U47" s="90">
        <v>374.55401599999999</v>
      </c>
      <c r="V47" s="90">
        <v>372.48345899999998</v>
      </c>
      <c r="W47" s="90">
        <v>371.24044800000001</v>
      </c>
      <c r="X47" s="90">
        <v>370.602936</v>
      </c>
      <c r="Y47" s="90">
        <v>371.138733</v>
      </c>
      <c r="Z47" s="90">
        <v>371.85049400000003</v>
      </c>
      <c r="AA47" s="90">
        <v>372.85183699999999</v>
      </c>
      <c r="AB47" s="90">
        <v>373.50030500000003</v>
      </c>
      <c r="AC47" s="90">
        <v>374.77465799999999</v>
      </c>
      <c r="AD47" s="90">
        <v>376.67770400000001</v>
      </c>
      <c r="AE47" s="91">
        <v>-4.1062000000000001E-2</v>
      </c>
      <c r="AF47" s="82"/>
    </row>
    <row r="48" spans="1:32" ht="37.25" x14ac:dyDescent="0.75">
      <c r="A48" s="89" t="s">
        <v>556</v>
      </c>
      <c r="B48" s="90">
        <v>0.40278399999999998</v>
      </c>
      <c r="C48" s="90">
        <v>0.42450199999999999</v>
      </c>
      <c r="D48" s="90">
        <v>0.45090000000000002</v>
      </c>
      <c r="E48" s="90">
        <v>0.47550700000000001</v>
      </c>
      <c r="F48" s="90">
        <v>0.49552499999999999</v>
      </c>
      <c r="G48" s="90">
        <v>0.51174399999999998</v>
      </c>
      <c r="H48" s="90">
        <v>0.52413100000000001</v>
      </c>
      <c r="I48" s="90">
        <v>0.53337500000000004</v>
      </c>
      <c r="J48" s="90">
        <v>0.53922700000000001</v>
      </c>
      <c r="K48" s="90">
        <v>0.542153</v>
      </c>
      <c r="L48" s="90">
        <v>0.54225900000000005</v>
      </c>
      <c r="M48" s="90">
        <v>0.53948099999999999</v>
      </c>
      <c r="N48" s="90">
        <v>0.53401699999999996</v>
      </c>
      <c r="O48" s="90">
        <v>0.52622400000000003</v>
      </c>
      <c r="P48" s="90">
        <v>0.516212</v>
      </c>
      <c r="Q48" s="90">
        <v>0.50370999999999999</v>
      </c>
      <c r="R48" s="90">
        <v>0.48858099999999999</v>
      </c>
      <c r="S48" s="90">
        <v>0.471082</v>
      </c>
      <c r="T48" s="90">
        <v>0.45154100000000003</v>
      </c>
      <c r="U48" s="90">
        <v>0.430114</v>
      </c>
      <c r="V48" s="90">
        <v>0.40718300000000002</v>
      </c>
      <c r="W48" s="90">
        <v>0.38306600000000002</v>
      </c>
      <c r="X48" s="90">
        <v>0.35797499999999999</v>
      </c>
      <c r="Y48" s="90">
        <v>0.33221000000000001</v>
      </c>
      <c r="Z48" s="90">
        <v>0.30586600000000003</v>
      </c>
      <c r="AA48" s="90">
        <v>0.27916400000000002</v>
      </c>
      <c r="AB48" s="90">
        <v>0.25207499999999999</v>
      </c>
      <c r="AC48" s="90">
        <v>0.22464600000000001</v>
      </c>
      <c r="AD48" s="90">
        <v>0.196857</v>
      </c>
      <c r="AE48" s="91">
        <v>-2.5243999999999999E-2</v>
      </c>
      <c r="AF48" s="82"/>
    </row>
    <row r="49" spans="1:32" ht="37.25" x14ac:dyDescent="0.75">
      <c r="A49" s="89" t="s">
        <v>557</v>
      </c>
      <c r="B49" s="90">
        <v>7.4126669999999999</v>
      </c>
      <c r="C49" s="90">
        <v>13.531482</v>
      </c>
      <c r="D49" s="90">
        <v>22.335041</v>
      </c>
      <c r="E49" s="90">
        <v>33.406112999999998</v>
      </c>
      <c r="F49" s="90">
        <v>46.353321000000001</v>
      </c>
      <c r="G49" s="90">
        <v>60.676521000000001</v>
      </c>
      <c r="H49" s="90">
        <v>76.242644999999996</v>
      </c>
      <c r="I49" s="90">
        <v>93.138985000000005</v>
      </c>
      <c r="J49" s="90">
        <v>110.994789</v>
      </c>
      <c r="K49" s="90">
        <v>129.774933</v>
      </c>
      <c r="L49" s="90">
        <v>149.34217799999999</v>
      </c>
      <c r="M49" s="90">
        <v>169.62480199999999</v>
      </c>
      <c r="N49" s="90">
        <v>190.79437300000001</v>
      </c>
      <c r="O49" s="90">
        <v>213.05165099999999</v>
      </c>
      <c r="P49" s="90">
        <v>236.29544100000001</v>
      </c>
      <c r="Q49" s="90">
        <v>260.44390900000002</v>
      </c>
      <c r="R49" s="90">
        <v>285.51135299999999</v>
      </c>
      <c r="S49" s="90">
        <v>311.33316000000002</v>
      </c>
      <c r="T49" s="90">
        <v>338.007385</v>
      </c>
      <c r="U49" s="90">
        <v>365.09576399999997</v>
      </c>
      <c r="V49" s="90">
        <v>392.64248700000002</v>
      </c>
      <c r="W49" s="90">
        <v>420.65603599999997</v>
      </c>
      <c r="X49" s="90">
        <v>449.01431300000002</v>
      </c>
      <c r="Y49" s="90">
        <v>478.30361900000003</v>
      </c>
      <c r="Z49" s="90">
        <v>507.88632200000001</v>
      </c>
      <c r="AA49" s="90">
        <v>537.97442599999999</v>
      </c>
      <c r="AB49" s="90">
        <v>568.08892800000001</v>
      </c>
      <c r="AC49" s="90">
        <v>598.928223</v>
      </c>
      <c r="AD49" s="90">
        <v>630.58471699999996</v>
      </c>
      <c r="AE49" s="91">
        <v>0.17197999999999999</v>
      </c>
      <c r="AF49" s="82"/>
    </row>
    <row r="50" spans="1:32" ht="37.25" x14ac:dyDescent="0.75">
      <c r="A50" s="89" t="s">
        <v>558</v>
      </c>
      <c r="B50" s="90">
        <v>4.682086</v>
      </c>
      <c r="C50" s="90">
        <v>6.2229380000000001</v>
      </c>
      <c r="D50" s="90">
        <v>8.1345430000000007</v>
      </c>
      <c r="E50" s="90">
        <v>10.340325</v>
      </c>
      <c r="F50" s="90">
        <v>12.714148</v>
      </c>
      <c r="G50" s="90">
        <v>15.219875</v>
      </c>
      <c r="H50" s="90">
        <v>17.849283</v>
      </c>
      <c r="I50" s="90">
        <v>20.622627000000001</v>
      </c>
      <c r="J50" s="90">
        <v>23.482182000000002</v>
      </c>
      <c r="K50" s="90">
        <v>26.428581000000001</v>
      </c>
      <c r="L50" s="90">
        <v>29.444866000000001</v>
      </c>
      <c r="M50" s="90">
        <v>32.522841999999997</v>
      </c>
      <c r="N50" s="90">
        <v>35.698284000000001</v>
      </c>
      <c r="O50" s="90">
        <v>39.007182999999998</v>
      </c>
      <c r="P50" s="90">
        <v>42.437012000000003</v>
      </c>
      <c r="Q50" s="90">
        <v>45.980494999999998</v>
      </c>
      <c r="R50" s="90">
        <v>49.641651000000003</v>
      </c>
      <c r="S50" s="90">
        <v>53.398612999999997</v>
      </c>
      <c r="T50" s="90">
        <v>57.268452000000003</v>
      </c>
      <c r="U50" s="90">
        <v>61.188079999999999</v>
      </c>
      <c r="V50" s="90">
        <v>65.168548999999999</v>
      </c>
      <c r="W50" s="90">
        <v>69.211051999999995</v>
      </c>
      <c r="X50" s="90">
        <v>73.297386000000003</v>
      </c>
      <c r="Y50" s="90">
        <v>77.517409999999998</v>
      </c>
      <c r="Z50" s="90">
        <v>81.776482000000001</v>
      </c>
      <c r="AA50" s="90">
        <v>86.108940000000004</v>
      </c>
      <c r="AB50" s="90">
        <v>90.443427999999997</v>
      </c>
      <c r="AC50" s="90">
        <v>94.884017999999998</v>
      </c>
      <c r="AD50" s="90">
        <v>99.444466000000006</v>
      </c>
      <c r="AE50" s="91">
        <v>0.115316</v>
      </c>
      <c r="AF50" s="82"/>
    </row>
    <row r="51" spans="1:32" ht="37.25" x14ac:dyDescent="0.75">
      <c r="A51" s="89" t="s">
        <v>559</v>
      </c>
      <c r="B51" s="90">
        <v>19.925865000000002</v>
      </c>
      <c r="C51" s="90">
        <v>21.544412999999999</v>
      </c>
      <c r="D51" s="90">
        <v>23.247982</v>
      </c>
      <c r="E51" s="90">
        <v>26.570222999999999</v>
      </c>
      <c r="F51" s="90">
        <v>29.872574</v>
      </c>
      <c r="G51" s="90">
        <v>33.027237</v>
      </c>
      <c r="H51" s="90">
        <v>36.027607000000003</v>
      </c>
      <c r="I51" s="90">
        <v>38.916355000000003</v>
      </c>
      <c r="J51" s="90">
        <v>41.642071000000001</v>
      </c>
      <c r="K51" s="90">
        <v>44.229751999999998</v>
      </c>
      <c r="L51" s="90">
        <v>46.675167000000002</v>
      </c>
      <c r="M51" s="90">
        <v>48.983440000000002</v>
      </c>
      <c r="N51" s="90">
        <v>51.200951000000003</v>
      </c>
      <c r="O51" s="90">
        <v>53.372917000000001</v>
      </c>
      <c r="P51" s="90">
        <v>55.503917999999999</v>
      </c>
      <c r="Q51" s="90">
        <v>57.604095000000001</v>
      </c>
      <c r="R51" s="90">
        <v>59.697902999999997</v>
      </c>
      <c r="S51" s="90">
        <v>61.780059999999999</v>
      </c>
      <c r="T51" s="90">
        <v>63.879299000000003</v>
      </c>
      <c r="U51" s="90">
        <v>65.963065999999998</v>
      </c>
      <c r="V51" s="90">
        <v>68.048286000000004</v>
      </c>
      <c r="W51" s="90">
        <v>70.142859999999999</v>
      </c>
      <c r="X51" s="90">
        <v>72.239493999999993</v>
      </c>
      <c r="Y51" s="90">
        <v>74.405258000000003</v>
      </c>
      <c r="Z51" s="90">
        <v>76.580680999999998</v>
      </c>
      <c r="AA51" s="90">
        <v>78.79007</v>
      </c>
      <c r="AB51" s="90">
        <v>80.991341000000006</v>
      </c>
      <c r="AC51" s="90">
        <v>83.242904999999993</v>
      </c>
      <c r="AD51" s="90">
        <v>85.554489000000004</v>
      </c>
      <c r="AE51" s="91">
        <v>5.3418E-2</v>
      </c>
      <c r="AF51" s="82"/>
    </row>
    <row r="52" spans="1:32" ht="37.25" x14ac:dyDescent="0.75">
      <c r="A52" s="89" t="s">
        <v>560</v>
      </c>
      <c r="B52" s="90">
        <v>1.216323</v>
      </c>
      <c r="C52" s="90">
        <v>1.8004869999999999</v>
      </c>
      <c r="D52" s="90">
        <v>2.6621299999999999</v>
      </c>
      <c r="E52" s="90">
        <v>3.8157960000000002</v>
      </c>
      <c r="F52" s="90">
        <v>5.2756109999999996</v>
      </c>
      <c r="G52" s="90">
        <v>6.9585080000000001</v>
      </c>
      <c r="H52" s="90">
        <v>8.8427710000000008</v>
      </c>
      <c r="I52" s="90">
        <v>10.92844</v>
      </c>
      <c r="J52" s="90">
        <v>13.17403</v>
      </c>
      <c r="K52" s="90">
        <v>15.571790999999999</v>
      </c>
      <c r="L52" s="90">
        <v>18.100981000000001</v>
      </c>
      <c r="M52" s="90">
        <v>20.747391</v>
      </c>
      <c r="N52" s="90">
        <v>23.521432999999998</v>
      </c>
      <c r="O52" s="90">
        <v>26.438811999999999</v>
      </c>
      <c r="P52" s="90">
        <v>29.488754</v>
      </c>
      <c r="Q52" s="90">
        <v>32.663853000000003</v>
      </c>
      <c r="R52" s="90">
        <v>35.966309000000003</v>
      </c>
      <c r="S52" s="90">
        <v>39.377879999999998</v>
      </c>
      <c r="T52" s="90">
        <v>42.906146999999997</v>
      </c>
      <c r="U52" s="90">
        <v>46.508395999999998</v>
      </c>
      <c r="V52" s="90">
        <v>50.184578000000002</v>
      </c>
      <c r="W52" s="90">
        <v>53.931499000000002</v>
      </c>
      <c r="X52" s="90">
        <v>57.733252999999998</v>
      </c>
      <c r="Y52" s="90">
        <v>61.644629999999999</v>
      </c>
      <c r="Z52" s="90">
        <v>65.605125000000001</v>
      </c>
      <c r="AA52" s="90">
        <v>69.635688999999999</v>
      </c>
      <c r="AB52" s="90">
        <v>73.692322000000004</v>
      </c>
      <c r="AC52" s="90">
        <v>77.833954000000006</v>
      </c>
      <c r="AD52" s="90">
        <v>82.071624999999997</v>
      </c>
      <c r="AE52" s="91">
        <v>0.16232199999999999</v>
      </c>
      <c r="AF52" s="82"/>
    </row>
    <row r="53" spans="1:32" ht="37.25" x14ac:dyDescent="0.75">
      <c r="A53" s="89" t="s">
        <v>561</v>
      </c>
      <c r="B53" s="90">
        <v>0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1" t="s">
        <v>298</v>
      </c>
      <c r="AF53" s="82"/>
    </row>
    <row r="54" spans="1:32" ht="37.25" x14ac:dyDescent="0.75">
      <c r="A54" s="89" t="s">
        <v>562</v>
      </c>
      <c r="B54" s="90">
        <v>135.86802700000001</v>
      </c>
      <c r="C54" s="90">
        <v>160.33596800000001</v>
      </c>
      <c r="D54" s="90">
        <v>184.473557</v>
      </c>
      <c r="E54" s="90">
        <v>209.81907699999999</v>
      </c>
      <c r="F54" s="90">
        <v>234.51753199999999</v>
      </c>
      <c r="G54" s="90">
        <v>257.46469100000002</v>
      </c>
      <c r="H54" s="90">
        <v>278.54953</v>
      </c>
      <c r="I54" s="90">
        <v>298.11563100000001</v>
      </c>
      <c r="J54" s="90">
        <v>315.834991</v>
      </c>
      <c r="K54" s="90">
        <v>331.873718</v>
      </c>
      <c r="L54" s="90">
        <v>346.20721400000002</v>
      </c>
      <c r="M54" s="90">
        <v>358.901276</v>
      </c>
      <c r="N54" s="90">
        <v>370.31750499999998</v>
      </c>
      <c r="O54" s="90">
        <v>380.79077100000001</v>
      </c>
      <c r="P54" s="90">
        <v>390.40115400000002</v>
      </c>
      <c r="Q54" s="90">
        <v>399.24508700000001</v>
      </c>
      <c r="R54" s="90">
        <v>407.54202299999997</v>
      </c>
      <c r="S54" s="90">
        <v>415.30740400000002</v>
      </c>
      <c r="T54" s="90">
        <v>422.79144300000002</v>
      </c>
      <c r="U54" s="90">
        <v>429.82556199999999</v>
      </c>
      <c r="V54" s="90">
        <v>436.565155</v>
      </c>
      <c r="W54" s="90">
        <v>443.109467</v>
      </c>
      <c r="X54" s="90">
        <v>449.46087599999998</v>
      </c>
      <c r="Y54" s="90">
        <v>456.09204099999999</v>
      </c>
      <c r="Z54" s="90">
        <v>462.64462300000002</v>
      </c>
      <c r="AA54" s="90">
        <v>469.25631700000002</v>
      </c>
      <c r="AB54" s="90">
        <v>475.66360500000002</v>
      </c>
      <c r="AC54" s="90">
        <v>482.26095600000002</v>
      </c>
      <c r="AD54" s="90">
        <v>489.10043300000001</v>
      </c>
      <c r="AE54" s="91">
        <v>4.6808000000000002E-2</v>
      </c>
      <c r="AF54" s="82"/>
    </row>
    <row r="55" spans="1:32" ht="25" x14ac:dyDescent="0.75">
      <c r="A55" s="89" t="s">
        <v>563</v>
      </c>
      <c r="B55" s="90">
        <v>2.8394689999999998</v>
      </c>
      <c r="C55" s="90">
        <v>2.6402389999999998</v>
      </c>
      <c r="D55" s="90">
        <v>2.4714209999999999</v>
      </c>
      <c r="E55" s="90">
        <v>2.307671</v>
      </c>
      <c r="F55" s="90">
        <v>2.1489020000000001</v>
      </c>
      <c r="G55" s="90">
        <v>1.9944459999999999</v>
      </c>
      <c r="H55" s="90">
        <v>1.8519239999999999</v>
      </c>
      <c r="I55" s="90">
        <v>1.735058</v>
      </c>
      <c r="J55" s="90">
        <v>1.626692</v>
      </c>
      <c r="K55" s="90">
        <v>1.521126</v>
      </c>
      <c r="L55" s="90">
        <v>1.4203939999999999</v>
      </c>
      <c r="M55" s="90">
        <v>1.3247119999999999</v>
      </c>
      <c r="N55" s="90">
        <v>1.23502</v>
      </c>
      <c r="O55" s="90">
        <v>1.1505069999999999</v>
      </c>
      <c r="P55" s="90">
        <v>1.0719479999999999</v>
      </c>
      <c r="Q55" s="90">
        <v>1.010057</v>
      </c>
      <c r="R55" s="90">
        <v>0.95058600000000004</v>
      </c>
      <c r="S55" s="90">
        <v>0.89879100000000001</v>
      </c>
      <c r="T55" s="90">
        <v>0.84982899999999995</v>
      </c>
      <c r="U55" s="90">
        <v>0.80354300000000001</v>
      </c>
      <c r="V55" s="90">
        <v>0.75978599999999996</v>
      </c>
      <c r="W55" s="90">
        <v>0.71842099999999998</v>
      </c>
      <c r="X55" s="90">
        <v>0.679315</v>
      </c>
      <c r="Y55" s="90">
        <v>0.64234599999999997</v>
      </c>
      <c r="Z55" s="90">
        <v>0.60739500000000002</v>
      </c>
      <c r="AA55" s="90">
        <v>0.57435199999999997</v>
      </c>
      <c r="AB55" s="90">
        <v>0.54311299999999996</v>
      </c>
      <c r="AC55" s="90">
        <v>0.51357900000000001</v>
      </c>
      <c r="AD55" s="90">
        <v>0.48565700000000001</v>
      </c>
      <c r="AE55" s="91">
        <v>-6.1119E-2</v>
      </c>
      <c r="AF55" s="82"/>
    </row>
    <row r="56" spans="1:32" ht="25" x14ac:dyDescent="0.75">
      <c r="A56" s="89" t="s">
        <v>564</v>
      </c>
      <c r="B56" s="90">
        <v>2.1852510000000001</v>
      </c>
      <c r="C56" s="90">
        <v>2.0150779999999999</v>
      </c>
      <c r="D56" s="90">
        <v>1.9048449999999999</v>
      </c>
      <c r="E56" s="90">
        <v>1.8006629999999999</v>
      </c>
      <c r="F56" s="90">
        <v>1.702199</v>
      </c>
      <c r="G56" s="90">
        <v>1.609138</v>
      </c>
      <c r="H56" s="90">
        <v>1.521183</v>
      </c>
      <c r="I56" s="90">
        <v>1.4380520000000001</v>
      </c>
      <c r="J56" s="90">
        <v>1.35948</v>
      </c>
      <c r="K56" s="90">
        <v>1.2852170000000001</v>
      </c>
      <c r="L56" s="90">
        <v>1.2150240000000001</v>
      </c>
      <c r="M56" s="90">
        <v>1.1486780000000001</v>
      </c>
      <c r="N56" s="90">
        <v>1.085968</v>
      </c>
      <c r="O56" s="90">
        <v>1.0266930000000001</v>
      </c>
      <c r="P56" s="90">
        <v>0.970665</v>
      </c>
      <c r="Q56" s="90">
        <v>0.91770499999999999</v>
      </c>
      <c r="R56" s="90">
        <v>0.867645</v>
      </c>
      <c r="S56" s="90">
        <v>0.82032499999999997</v>
      </c>
      <c r="T56" s="90">
        <v>0.77559500000000003</v>
      </c>
      <c r="U56" s="90">
        <v>0.73331199999999996</v>
      </c>
      <c r="V56" s="90">
        <v>0.69334200000000001</v>
      </c>
      <c r="W56" s="90">
        <v>0.655559</v>
      </c>
      <c r="X56" s="90">
        <v>0.619842</v>
      </c>
      <c r="Y56" s="90">
        <v>0.58607699999999996</v>
      </c>
      <c r="Z56" s="90">
        <v>0.55415800000000004</v>
      </c>
      <c r="AA56" s="90">
        <v>0.52398299999999998</v>
      </c>
      <c r="AB56" s="90">
        <v>0.49545699999999998</v>
      </c>
      <c r="AC56" s="90">
        <v>0.46848899999999999</v>
      </c>
      <c r="AD56" s="90">
        <v>0.44299500000000003</v>
      </c>
      <c r="AE56" s="91">
        <v>-5.5404000000000002E-2</v>
      </c>
      <c r="AF56" s="82"/>
    </row>
    <row r="57" spans="1:32" ht="25" x14ac:dyDescent="0.75">
      <c r="A57" s="89" t="s">
        <v>565</v>
      </c>
      <c r="B57" s="90">
        <v>5.7546530000000002</v>
      </c>
      <c r="C57" s="90">
        <v>5.1709949999999996</v>
      </c>
      <c r="D57" s="90">
        <v>4.6336570000000004</v>
      </c>
      <c r="E57" s="90">
        <v>4.2048030000000001</v>
      </c>
      <c r="F57" s="90">
        <v>3.890476</v>
      </c>
      <c r="G57" s="90">
        <v>3.6618270000000002</v>
      </c>
      <c r="H57" s="90">
        <v>3.461627</v>
      </c>
      <c r="I57" s="90">
        <v>3.272411</v>
      </c>
      <c r="J57" s="90">
        <v>3.0935739999999998</v>
      </c>
      <c r="K57" s="90">
        <v>2.924544</v>
      </c>
      <c r="L57" s="90">
        <v>2.764783</v>
      </c>
      <c r="M57" s="90">
        <v>2.6137800000000002</v>
      </c>
      <c r="N57" s="90">
        <v>2.4710519999999998</v>
      </c>
      <c r="O57" s="90">
        <v>2.3361459999999998</v>
      </c>
      <c r="P57" s="90">
        <v>2.208631</v>
      </c>
      <c r="Q57" s="90">
        <v>2.0880999999999998</v>
      </c>
      <c r="R57" s="90">
        <v>1.97417</v>
      </c>
      <c r="S57" s="90">
        <v>1.8664780000000001</v>
      </c>
      <c r="T57" s="90">
        <v>1.7646809999999999</v>
      </c>
      <c r="U57" s="90">
        <v>1.668455</v>
      </c>
      <c r="V57" s="90">
        <v>1.577494</v>
      </c>
      <c r="W57" s="90">
        <v>1.4915099999999999</v>
      </c>
      <c r="X57" s="90">
        <v>1.410229</v>
      </c>
      <c r="Y57" s="90">
        <v>1.3333919999999999</v>
      </c>
      <c r="Z57" s="90">
        <v>1.2607569999999999</v>
      </c>
      <c r="AA57" s="90">
        <v>1.192091</v>
      </c>
      <c r="AB57" s="90">
        <v>1.1271789999999999</v>
      </c>
      <c r="AC57" s="90">
        <v>1.0658129999999999</v>
      </c>
      <c r="AD57" s="90">
        <v>1.0078</v>
      </c>
      <c r="AE57" s="91">
        <v>-6.0326999999999999E-2</v>
      </c>
      <c r="AF57" s="82"/>
    </row>
    <row r="58" spans="1:32" ht="25" x14ac:dyDescent="0.75">
      <c r="A58" s="89" t="s">
        <v>566</v>
      </c>
      <c r="B58" s="90">
        <v>5.1262449999999999</v>
      </c>
      <c r="C58" s="90">
        <v>4.7267590000000004</v>
      </c>
      <c r="D58" s="90">
        <v>4.4681829999999998</v>
      </c>
      <c r="E58" s="90">
        <v>4.2238020000000001</v>
      </c>
      <c r="F58" s="90">
        <v>3.9928349999999999</v>
      </c>
      <c r="G58" s="90">
        <v>3.7745419999999998</v>
      </c>
      <c r="H58" s="90">
        <v>3.568225</v>
      </c>
      <c r="I58" s="90">
        <v>3.373224</v>
      </c>
      <c r="J58" s="90">
        <v>3.1889189999999998</v>
      </c>
      <c r="K58" s="90">
        <v>3.0147189999999999</v>
      </c>
      <c r="L58" s="90">
        <v>2.8500670000000001</v>
      </c>
      <c r="M58" s="90">
        <v>2.6944400000000002</v>
      </c>
      <c r="N58" s="90">
        <v>2.5473409999999999</v>
      </c>
      <c r="O58" s="90">
        <v>2.4083000000000001</v>
      </c>
      <c r="P58" s="90">
        <v>2.276875</v>
      </c>
      <c r="Q58" s="90">
        <v>2.152647</v>
      </c>
      <c r="R58" s="90">
        <v>2.0352209999999999</v>
      </c>
      <c r="S58" s="90">
        <v>1.924223</v>
      </c>
      <c r="T58" s="90">
        <v>1.819299</v>
      </c>
      <c r="U58" s="90">
        <v>1.7201169999999999</v>
      </c>
      <c r="V58" s="90">
        <v>1.62636</v>
      </c>
      <c r="W58" s="90">
        <v>1.5377320000000001</v>
      </c>
      <c r="X58" s="90">
        <v>1.4539500000000001</v>
      </c>
      <c r="Y58" s="90">
        <v>1.3747480000000001</v>
      </c>
      <c r="Z58" s="90">
        <v>1.299876</v>
      </c>
      <c r="AA58" s="90">
        <v>1.229095</v>
      </c>
      <c r="AB58" s="90">
        <v>1.162182</v>
      </c>
      <c r="AC58" s="90">
        <v>1.0989249999999999</v>
      </c>
      <c r="AD58" s="90">
        <v>1.0391220000000001</v>
      </c>
      <c r="AE58" s="91">
        <v>-5.5405999999999997E-2</v>
      </c>
      <c r="AF58" s="82"/>
    </row>
    <row r="59" spans="1:32" ht="25" x14ac:dyDescent="0.75">
      <c r="A59" s="89" t="s">
        <v>567</v>
      </c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1" t="s">
        <v>298</v>
      </c>
      <c r="AF59" s="82"/>
    </row>
    <row r="60" spans="1:32" ht="25" x14ac:dyDescent="0.75">
      <c r="A60" s="89" t="s">
        <v>568</v>
      </c>
      <c r="B60" s="90">
        <v>2.0339999999999998E-3</v>
      </c>
      <c r="C60" s="90">
        <v>6.2049999999999996E-3</v>
      </c>
      <c r="D60" s="90">
        <v>1.2722000000000001E-2</v>
      </c>
      <c r="E60" s="90">
        <v>2.1700000000000001E-2</v>
      </c>
      <c r="F60" s="90">
        <v>3.3008999999999997E-2</v>
      </c>
      <c r="G60" s="90">
        <v>4.6428999999999998E-2</v>
      </c>
      <c r="H60" s="90">
        <v>6.1843000000000002E-2</v>
      </c>
      <c r="I60" s="90">
        <v>7.9235E-2</v>
      </c>
      <c r="J60" s="90">
        <v>9.8308999999999994E-2</v>
      </c>
      <c r="K60" s="90">
        <v>0.118946</v>
      </c>
      <c r="L60" s="90">
        <v>0.140962</v>
      </c>
      <c r="M60" s="90">
        <v>0.164185</v>
      </c>
      <c r="N60" s="90">
        <v>0.188612</v>
      </c>
      <c r="O60" s="90">
        <v>0.214285</v>
      </c>
      <c r="P60" s="90">
        <v>0.241124</v>
      </c>
      <c r="Q60" s="90">
        <v>0.26907399999999998</v>
      </c>
      <c r="R60" s="90">
        <v>0.298147</v>
      </c>
      <c r="S60" s="90">
        <v>0.328241</v>
      </c>
      <c r="T60" s="90">
        <v>0.359404</v>
      </c>
      <c r="U60" s="90">
        <v>0.39135799999999998</v>
      </c>
      <c r="V60" s="90">
        <v>0.42408899999999999</v>
      </c>
      <c r="W60" s="90">
        <v>0.45756999999999998</v>
      </c>
      <c r="X60" s="90">
        <v>0.49168200000000001</v>
      </c>
      <c r="Y60" s="90">
        <v>0.52675700000000003</v>
      </c>
      <c r="Z60" s="90">
        <v>0.56241099999999999</v>
      </c>
      <c r="AA60" s="90">
        <v>0.598777</v>
      </c>
      <c r="AB60" s="90">
        <v>0.63556699999999999</v>
      </c>
      <c r="AC60" s="90">
        <v>0.67315000000000003</v>
      </c>
      <c r="AD60" s="90">
        <v>0.71160800000000002</v>
      </c>
      <c r="AE60" s="91">
        <v>0.23269400000000001</v>
      </c>
      <c r="AF60" s="82"/>
    </row>
    <row r="61" spans="1:32" ht="37.25" x14ac:dyDescent="0.75">
      <c r="A61" s="89" t="s">
        <v>576</v>
      </c>
      <c r="B61" s="90">
        <v>1403.9254149999999</v>
      </c>
      <c r="C61" s="90">
        <v>1339.2801509999999</v>
      </c>
      <c r="D61" s="90">
        <v>1292.7174070000001</v>
      </c>
      <c r="E61" s="90">
        <v>1250.237183</v>
      </c>
      <c r="F61" s="90">
        <v>1215.381226</v>
      </c>
      <c r="G61" s="90">
        <v>1184.0926509999999</v>
      </c>
      <c r="H61" s="90">
        <v>1157.4570309999999</v>
      </c>
      <c r="I61" s="90">
        <v>1137.7867429999999</v>
      </c>
      <c r="J61" s="90">
        <v>1123.8199460000001</v>
      </c>
      <c r="K61" s="90">
        <v>1116.2508539999999</v>
      </c>
      <c r="L61" s="90">
        <v>1114.6232910000001</v>
      </c>
      <c r="M61" s="90">
        <v>1118.8454589999999</v>
      </c>
      <c r="N61" s="90">
        <v>1129.5892329999999</v>
      </c>
      <c r="O61" s="90">
        <v>1147.3548579999999</v>
      </c>
      <c r="P61" s="90">
        <v>1171.02124</v>
      </c>
      <c r="Q61" s="90">
        <v>1199.61853</v>
      </c>
      <c r="R61" s="90">
        <v>1232.7967530000001</v>
      </c>
      <c r="S61" s="90">
        <v>1269.1655270000001</v>
      </c>
      <c r="T61" s="90">
        <v>1308.4490969999999</v>
      </c>
      <c r="U61" s="90">
        <v>1348.881836</v>
      </c>
      <c r="V61" s="90">
        <v>1390.580811</v>
      </c>
      <c r="W61" s="90">
        <v>1433.535034</v>
      </c>
      <c r="X61" s="90">
        <v>1477.3614500000001</v>
      </c>
      <c r="Y61" s="90">
        <v>1523.897217</v>
      </c>
      <c r="Z61" s="90">
        <v>1570.9343260000001</v>
      </c>
      <c r="AA61" s="90">
        <v>1619.0146480000001</v>
      </c>
      <c r="AB61" s="90">
        <v>1666.595703</v>
      </c>
      <c r="AC61" s="90">
        <v>1715.9692379999999</v>
      </c>
      <c r="AD61" s="90">
        <v>1767.3173830000001</v>
      </c>
      <c r="AE61" s="91">
        <v>8.2550000000000002E-3</v>
      </c>
      <c r="AF61" s="82"/>
    </row>
    <row r="62" spans="1:32" x14ac:dyDescent="0.7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</row>
    <row r="63" spans="1:32" ht="25" x14ac:dyDescent="0.75">
      <c r="A63" s="89" t="s">
        <v>601</v>
      </c>
      <c r="B63" s="90">
        <v>9103.5634769999997</v>
      </c>
      <c r="C63" s="90">
        <v>9049.1894530000009</v>
      </c>
      <c r="D63" s="90">
        <v>9102.0302730000003</v>
      </c>
      <c r="E63" s="90">
        <v>9189.4833980000003</v>
      </c>
      <c r="F63" s="90">
        <v>9278.2109380000002</v>
      </c>
      <c r="G63" s="90">
        <v>9347.515625</v>
      </c>
      <c r="H63" s="90">
        <v>9402.4619139999995</v>
      </c>
      <c r="I63" s="90">
        <v>9456.7958980000003</v>
      </c>
      <c r="J63" s="90">
        <v>9498.7880860000005</v>
      </c>
      <c r="K63" s="90">
        <v>9532.4726559999999</v>
      </c>
      <c r="L63" s="90">
        <v>9557.3642579999996</v>
      </c>
      <c r="M63" s="90">
        <v>9575.2666019999997</v>
      </c>
      <c r="N63" s="90">
        <v>9594.7626949999994</v>
      </c>
      <c r="O63" s="90">
        <v>9623.9726559999999</v>
      </c>
      <c r="P63" s="90">
        <v>9661.0117190000001</v>
      </c>
      <c r="Q63" s="90">
        <v>9704.4042969999991</v>
      </c>
      <c r="R63" s="90">
        <v>9755.2119139999995</v>
      </c>
      <c r="S63" s="90">
        <v>9810.3886719999991</v>
      </c>
      <c r="T63" s="90">
        <v>9872.4140619999998</v>
      </c>
      <c r="U63" s="90">
        <v>9932.7216800000006</v>
      </c>
      <c r="V63" s="90">
        <v>9993.1640619999998</v>
      </c>
      <c r="W63" s="90">
        <v>10054.582031</v>
      </c>
      <c r="X63" s="90">
        <v>10115.234375</v>
      </c>
      <c r="Y63" s="90">
        <v>10185.045898</v>
      </c>
      <c r="Z63" s="90">
        <v>10253.295898</v>
      </c>
      <c r="AA63" s="90">
        <v>10323.652344</v>
      </c>
      <c r="AB63" s="90">
        <v>10388.939453000001</v>
      </c>
      <c r="AC63" s="90">
        <v>10459.662109000001</v>
      </c>
      <c r="AD63" s="90">
        <v>10536.678711</v>
      </c>
      <c r="AE63" s="91">
        <v>5.2350000000000001E-3</v>
      </c>
      <c r="AF63" s="82"/>
    </row>
    <row r="64" spans="1:32" x14ac:dyDescent="0.7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</row>
    <row r="65" spans="1:32" ht="25" x14ac:dyDescent="0.75">
      <c r="A65" s="88" t="s">
        <v>262</v>
      </c>
      <c r="B65" s="92">
        <v>14741.170898</v>
      </c>
      <c r="C65" s="92">
        <v>14276.033203000001</v>
      </c>
      <c r="D65" s="92">
        <v>14006.5625</v>
      </c>
      <c r="E65" s="92">
        <v>13803.979492</v>
      </c>
      <c r="F65" s="92">
        <v>13625.132812</v>
      </c>
      <c r="G65" s="92">
        <v>13457.716796999999</v>
      </c>
      <c r="H65" s="92">
        <v>13304.828125</v>
      </c>
      <c r="I65" s="92">
        <v>13180.441406</v>
      </c>
      <c r="J65" s="92">
        <v>13068.610352</v>
      </c>
      <c r="K65" s="92">
        <v>12969.526367</v>
      </c>
      <c r="L65" s="92">
        <v>12882.349609000001</v>
      </c>
      <c r="M65" s="92">
        <v>12803.548828000001</v>
      </c>
      <c r="N65" s="92">
        <v>12743.689453000001</v>
      </c>
      <c r="O65" s="92">
        <v>12711.219727</v>
      </c>
      <c r="P65" s="92">
        <v>12705.164062</v>
      </c>
      <c r="Q65" s="92">
        <v>12715.314453000001</v>
      </c>
      <c r="R65" s="92">
        <v>12740.125</v>
      </c>
      <c r="S65" s="92">
        <v>12774.943359000001</v>
      </c>
      <c r="T65" s="92">
        <v>12820.956055000001</v>
      </c>
      <c r="U65" s="92">
        <v>12864.253906</v>
      </c>
      <c r="V65" s="92">
        <v>12907.40625</v>
      </c>
      <c r="W65" s="92">
        <v>12948.941406</v>
      </c>
      <c r="X65" s="92">
        <v>12991.878906</v>
      </c>
      <c r="Y65" s="92">
        <v>13049.931640999999</v>
      </c>
      <c r="Z65" s="92">
        <v>13116.971680000001</v>
      </c>
      <c r="AA65" s="92">
        <v>13183.955078000001</v>
      </c>
      <c r="AB65" s="92">
        <v>13244.930664</v>
      </c>
      <c r="AC65" s="92">
        <v>13311.998046999999</v>
      </c>
      <c r="AD65" s="92">
        <v>13388.823242</v>
      </c>
      <c r="AE65" s="93">
        <v>-3.431E-3</v>
      </c>
      <c r="AF65" s="82"/>
    </row>
    <row r="66" spans="1:32" x14ac:dyDescent="0.7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</row>
    <row r="67" spans="1:32" ht="49.5" x14ac:dyDescent="0.75">
      <c r="A67" s="88" t="s">
        <v>602</v>
      </c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</row>
    <row r="68" spans="1:32" ht="25" x14ac:dyDescent="0.75">
      <c r="A68" s="89" t="s">
        <v>580</v>
      </c>
      <c r="B68" s="90">
        <v>8031.3188479999999</v>
      </c>
      <c r="C68" s="90">
        <v>7940.3720700000003</v>
      </c>
      <c r="D68" s="90">
        <v>7903.7353519999997</v>
      </c>
      <c r="E68" s="90">
        <v>7909.8017579999996</v>
      </c>
      <c r="F68" s="90">
        <v>7940.830078</v>
      </c>
      <c r="G68" s="90">
        <v>7987.8505859999996</v>
      </c>
      <c r="H68" s="90">
        <v>8042.6831050000001</v>
      </c>
      <c r="I68" s="90">
        <v>8101.8808589999999</v>
      </c>
      <c r="J68" s="90">
        <v>8168.1220700000003</v>
      </c>
      <c r="K68" s="90">
        <v>8235.2177730000003</v>
      </c>
      <c r="L68" s="90">
        <v>8306.8525389999995</v>
      </c>
      <c r="M68" s="90">
        <v>8373.7109380000002</v>
      </c>
      <c r="N68" s="90">
        <v>8435.4941409999992</v>
      </c>
      <c r="O68" s="90">
        <v>8494.0546880000002</v>
      </c>
      <c r="P68" s="90">
        <v>8552.7587889999995</v>
      </c>
      <c r="Q68" s="90">
        <v>8606.1826170000004</v>
      </c>
      <c r="R68" s="90">
        <v>8658.1015619999998</v>
      </c>
      <c r="S68" s="90">
        <v>8711.0576170000004</v>
      </c>
      <c r="T68" s="90">
        <v>8762.5673829999996</v>
      </c>
      <c r="U68" s="90">
        <v>8814.5947269999997</v>
      </c>
      <c r="V68" s="90">
        <v>8864.6865230000003</v>
      </c>
      <c r="W68" s="90">
        <v>8916.5878909999992</v>
      </c>
      <c r="X68" s="90">
        <v>8972.7021480000003</v>
      </c>
      <c r="Y68" s="90">
        <v>9027.6074219999991</v>
      </c>
      <c r="Z68" s="90">
        <v>9080.1376949999994</v>
      </c>
      <c r="AA68" s="90">
        <v>9132.8710940000001</v>
      </c>
      <c r="AB68" s="90">
        <v>9182.9980469999991</v>
      </c>
      <c r="AC68" s="90">
        <v>9228.2011719999991</v>
      </c>
      <c r="AD68" s="90">
        <v>9269.6210940000001</v>
      </c>
      <c r="AE68" s="91">
        <v>5.1339999999999997E-3</v>
      </c>
      <c r="AF68" s="82"/>
    </row>
    <row r="69" spans="1:32" x14ac:dyDescent="0.75">
      <c r="A69" s="89" t="s">
        <v>581</v>
      </c>
      <c r="B69" s="90">
        <v>5201.8085940000001</v>
      </c>
      <c r="C69" s="90">
        <v>5250.8969729999999</v>
      </c>
      <c r="D69" s="90">
        <v>5302.2626950000003</v>
      </c>
      <c r="E69" s="90">
        <v>5353.2270509999998</v>
      </c>
      <c r="F69" s="90">
        <v>5399.2612300000001</v>
      </c>
      <c r="G69" s="90">
        <v>5437.2954099999997</v>
      </c>
      <c r="H69" s="90">
        <v>5468.6098629999997</v>
      </c>
      <c r="I69" s="90">
        <v>5492.0893550000001</v>
      </c>
      <c r="J69" s="90">
        <v>5507.6777339999999</v>
      </c>
      <c r="K69" s="90">
        <v>5512.2534180000002</v>
      </c>
      <c r="L69" s="90">
        <v>5521.1801759999998</v>
      </c>
      <c r="M69" s="90">
        <v>5519.0473629999997</v>
      </c>
      <c r="N69" s="90">
        <v>5513.2485349999997</v>
      </c>
      <c r="O69" s="90">
        <v>5500.6274409999996</v>
      </c>
      <c r="P69" s="90">
        <v>5486.0024409999996</v>
      </c>
      <c r="Q69" s="90">
        <v>5469.0234380000002</v>
      </c>
      <c r="R69" s="90">
        <v>5449.0185549999997</v>
      </c>
      <c r="S69" s="90">
        <v>5431.8198240000002</v>
      </c>
      <c r="T69" s="90">
        <v>5414.2065430000002</v>
      </c>
      <c r="U69" s="90">
        <v>5406.3969729999999</v>
      </c>
      <c r="V69" s="90">
        <v>5405.3071289999998</v>
      </c>
      <c r="W69" s="90">
        <v>5420.1103519999997</v>
      </c>
      <c r="X69" s="90">
        <v>5445.6806640000004</v>
      </c>
      <c r="Y69" s="90">
        <v>5472.6030270000001</v>
      </c>
      <c r="Z69" s="90">
        <v>5500.2749020000001</v>
      </c>
      <c r="AA69" s="90">
        <v>5530.6381840000004</v>
      </c>
      <c r="AB69" s="90">
        <v>5561.6923829999996</v>
      </c>
      <c r="AC69" s="90">
        <v>5585.7548829999996</v>
      </c>
      <c r="AD69" s="90">
        <v>5608.0507809999999</v>
      </c>
      <c r="AE69" s="91">
        <v>2.689E-3</v>
      </c>
      <c r="AF69" s="82"/>
    </row>
    <row r="70" spans="1:32" x14ac:dyDescent="0.75">
      <c r="A70" s="89" t="s">
        <v>582</v>
      </c>
      <c r="B70" s="90">
        <v>2.7199999999999998E-2</v>
      </c>
      <c r="C70" s="90">
        <v>0.446405</v>
      </c>
      <c r="D70" s="90">
        <v>0.88520500000000002</v>
      </c>
      <c r="E70" s="90">
        <v>1.334503</v>
      </c>
      <c r="F70" s="90">
        <v>1.8046040000000001</v>
      </c>
      <c r="G70" s="90">
        <v>2.2977280000000002</v>
      </c>
      <c r="H70" s="90">
        <v>2.8189009999999999</v>
      </c>
      <c r="I70" s="90">
        <v>3.3765900000000002</v>
      </c>
      <c r="J70" s="90">
        <v>3.9795349999999998</v>
      </c>
      <c r="K70" s="90">
        <v>4.6397399999999998</v>
      </c>
      <c r="L70" s="90">
        <v>5.3691800000000001</v>
      </c>
      <c r="M70" s="90">
        <v>6.1793230000000001</v>
      </c>
      <c r="N70" s="90">
        <v>7.0851259999999998</v>
      </c>
      <c r="O70" s="90">
        <v>8.1084790000000009</v>
      </c>
      <c r="P70" s="90">
        <v>9.2763559999999998</v>
      </c>
      <c r="Q70" s="90">
        <v>10.613517999999999</v>
      </c>
      <c r="R70" s="90">
        <v>12.144465</v>
      </c>
      <c r="S70" s="90">
        <v>13.896808999999999</v>
      </c>
      <c r="T70" s="90">
        <v>15.894682</v>
      </c>
      <c r="U70" s="90">
        <v>18.155231000000001</v>
      </c>
      <c r="V70" s="90">
        <v>20.693428000000001</v>
      </c>
      <c r="W70" s="90">
        <v>23.531113000000001</v>
      </c>
      <c r="X70" s="90">
        <v>26.681090999999999</v>
      </c>
      <c r="Y70" s="90">
        <v>30.170033</v>
      </c>
      <c r="Z70" s="90">
        <v>33.996665999999998</v>
      </c>
      <c r="AA70" s="90">
        <v>38.143760999999998</v>
      </c>
      <c r="AB70" s="90">
        <v>42.573020999999997</v>
      </c>
      <c r="AC70" s="90">
        <v>47.273494999999997</v>
      </c>
      <c r="AD70" s="90">
        <v>52.222855000000003</v>
      </c>
      <c r="AE70" s="91">
        <v>0.30996800000000002</v>
      </c>
      <c r="AF70" s="82"/>
    </row>
    <row r="71" spans="1:32" ht="49.5" x14ac:dyDescent="0.75">
      <c r="A71" s="89" t="s">
        <v>583</v>
      </c>
      <c r="B71" s="90">
        <v>12.657215000000001</v>
      </c>
      <c r="C71" s="90">
        <v>12.253945999999999</v>
      </c>
      <c r="D71" s="90">
        <v>11.837052999999999</v>
      </c>
      <c r="E71" s="90">
        <v>11.405747</v>
      </c>
      <c r="F71" s="90">
        <v>10.958615999999999</v>
      </c>
      <c r="G71" s="90">
        <v>10.497102999999999</v>
      </c>
      <c r="H71" s="90">
        <v>10.004996999999999</v>
      </c>
      <c r="I71" s="90">
        <v>9.5020070000000008</v>
      </c>
      <c r="J71" s="90">
        <v>8.9698100000000007</v>
      </c>
      <c r="K71" s="90">
        <v>8.4179040000000001</v>
      </c>
      <c r="L71" s="90">
        <v>7.8272069999999996</v>
      </c>
      <c r="M71" s="90">
        <v>7.1769290000000003</v>
      </c>
      <c r="N71" s="90">
        <v>6.5703300000000002</v>
      </c>
      <c r="O71" s="90">
        <v>6.0011219999999996</v>
      </c>
      <c r="P71" s="90">
        <v>5.4681610000000003</v>
      </c>
      <c r="Q71" s="90">
        <v>4.9728019999999997</v>
      </c>
      <c r="R71" s="90">
        <v>4.5123030000000002</v>
      </c>
      <c r="S71" s="90">
        <v>4.0931480000000002</v>
      </c>
      <c r="T71" s="90">
        <v>3.7105700000000001</v>
      </c>
      <c r="U71" s="90">
        <v>3.3614989999999998</v>
      </c>
      <c r="V71" s="90">
        <v>3.0438139999999998</v>
      </c>
      <c r="W71" s="90">
        <v>2.7556120000000002</v>
      </c>
      <c r="X71" s="90">
        <v>2.4947569999999999</v>
      </c>
      <c r="Y71" s="90">
        <v>2.2507510000000002</v>
      </c>
      <c r="Z71" s="90">
        <v>1.9678009999999999</v>
      </c>
      <c r="AA71" s="90">
        <v>1.629623</v>
      </c>
      <c r="AB71" s="90">
        <v>1.333248</v>
      </c>
      <c r="AC71" s="90">
        <v>1.052214</v>
      </c>
      <c r="AD71" s="90">
        <v>0.83661700000000006</v>
      </c>
      <c r="AE71" s="91">
        <v>-9.2464000000000005E-2</v>
      </c>
      <c r="AF71" s="82"/>
    </row>
    <row r="72" spans="1:32" ht="25" x14ac:dyDescent="0.75">
      <c r="A72" s="89" t="s">
        <v>584</v>
      </c>
      <c r="B72" s="90">
        <v>1568.900635</v>
      </c>
      <c r="C72" s="90">
        <v>1592.0656739999999</v>
      </c>
      <c r="D72" s="90">
        <v>1617.6141359999999</v>
      </c>
      <c r="E72" s="90">
        <v>1642.889404</v>
      </c>
      <c r="F72" s="90">
        <v>1666.8477780000001</v>
      </c>
      <c r="G72" s="90">
        <v>1689.6022949999999</v>
      </c>
      <c r="H72" s="90">
        <v>1709.506836</v>
      </c>
      <c r="I72" s="90">
        <v>1727.1770019999999</v>
      </c>
      <c r="J72" s="90">
        <v>1742.9711910000001</v>
      </c>
      <c r="K72" s="90">
        <v>1757.8314210000001</v>
      </c>
      <c r="L72" s="90">
        <v>1771.9936520000001</v>
      </c>
      <c r="M72" s="90">
        <v>1785.9129640000001</v>
      </c>
      <c r="N72" s="90">
        <v>1799.8901370000001</v>
      </c>
      <c r="O72" s="90">
        <v>1814.896606</v>
      </c>
      <c r="P72" s="90">
        <v>1830.9842530000001</v>
      </c>
      <c r="Q72" s="90">
        <v>1848.5692140000001</v>
      </c>
      <c r="R72" s="90">
        <v>1867.8732910000001</v>
      </c>
      <c r="S72" s="90">
        <v>1889.3264160000001</v>
      </c>
      <c r="T72" s="90">
        <v>1913.0802000000001</v>
      </c>
      <c r="U72" s="90">
        <v>1938.9139399999999</v>
      </c>
      <c r="V72" s="90">
        <v>1966.8549800000001</v>
      </c>
      <c r="W72" s="90">
        <v>1997.009155</v>
      </c>
      <c r="X72" s="90">
        <v>2025.797241</v>
      </c>
      <c r="Y72" s="90">
        <v>2053.891846</v>
      </c>
      <c r="Z72" s="90">
        <v>2081.9648440000001</v>
      </c>
      <c r="AA72" s="90">
        <v>2106.8190920000002</v>
      </c>
      <c r="AB72" s="90">
        <v>2130.8447270000001</v>
      </c>
      <c r="AC72" s="90">
        <v>2151.36499</v>
      </c>
      <c r="AD72" s="90">
        <v>2171.7822270000001</v>
      </c>
      <c r="AE72" s="91">
        <v>1.1681E-2</v>
      </c>
      <c r="AF72" s="82"/>
    </row>
    <row r="73" spans="1:32" x14ac:dyDescent="0.75">
      <c r="A73" s="89" t="s">
        <v>585</v>
      </c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1" t="s">
        <v>298</v>
      </c>
      <c r="AF73" s="82"/>
    </row>
    <row r="74" spans="1:32" ht="37.25" x14ac:dyDescent="0.75">
      <c r="A74" s="89" t="s">
        <v>586</v>
      </c>
      <c r="B74" s="90">
        <v>0</v>
      </c>
      <c r="C74" s="90">
        <v>0.787767</v>
      </c>
      <c r="D74" s="90">
        <v>1.5879289999999999</v>
      </c>
      <c r="E74" s="90">
        <v>2.3966599999999998</v>
      </c>
      <c r="F74" s="90">
        <v>3.208523</v>
      </c>
      <c r="G74" s="90">
        <v>4.0274260000000002</v>
      </c>
      <c r="H74" s="90">
        <v>4.8601450000000002</v>
      </c>
      <c r="I74" s="90">
        <v>5.7169280000000002</v>
      </c>
      <c r="J74" s="90">
        <v>6.6017650000000003</v>
      </c>
      <c r="K74" s="90">
        <v>7.5191460000000001</v>
      </c>
      <c r="L74" s="90">
        <v>8.4768489999999996</v>
      </c>
      <c r="M74" s="90">
        <v>9.4802370000000007</v>
      </c>
      <c r="N74" s="90">
        <v>10.536694000000001</v>
      </c>
      <c r="O74" s="90">
        <v>11.657214</v>
      </c>
      <c r="P74" s="90">
        <v>12.856301999999999</v>
      </c>
      <c r="Q74" s="90">
        <v>14.143478</v>
      </c>
      <c r="R74" s="90">
        <v>15.531952</v>
      </c>
      <c r="S74" s="90">
        <v>17.031109000000001</v>
      </c>
      <c r="T74" s="90">
        <v>18.651724000000002</v>
      </c>
      <c r="U74" s="90">
        <v>20.389593000000001</v>
      </c>
      <c r="V74" s="90">
        <v>22.245595999999999</v>
      </c>
      <c r="W74" s="90">
        <v>24.213246999999999</v>
      </c>
      <c r="X74" s="90">
        <v>26.284991999999999</v>
      </c>
      <c r="Y74" s="90">
        <v>28.463531</v>
      </c>
      <c r="Z74" s="90">
        <v>30.733688000000001</v>
      </c>
      <c r="AA74" s="90">
        <v>33.074711000000001</v>
      </c>
      <c r="AB74" s="90">
        <v>35.461925999999998</v>
      </c>
      <c r="AC74" s="90">
        <v>37.891818999999998</v>
      </c>
      <c r="AD74" s="90">
        <v>40.35284</v>
      </c>
      <c r="AE74" s="91" t="s">
        <v>298</v>
      </c>
      <c r="AF74" s="82"/>
    </row>
    <row r="75" spans="1:32" ht="37.25" x14ac:dyDescent="0.75">
      <c r="A75" s="89" t="s">
        <v>587</v>
      </c>
      <c r="B75" s="90">
        <v>0</v>
      </c>
      <c r="C75" s="90">
        <v>0.855433</v>
      </c>
      <c r="D75" s="90">
        <v>1.733762</v>
      </c>
      <c r="E75" s="90">
        <v>2.6065299999999998</v>
      </c>
      <c r="F75" s="90">
        <v>3.4725510000000002</v>
      </c>
      <c r="G75" s="90">
        <v>4.3335290000000004</v>
      </c>
      <c r="H75" s="90">
        <v>5.1927940000000001</v>
      </c>
      <c r="I75" s="90">
        <v>6.0617429999999999</v>
      </c>
      <c r="J75" s="90">
        <v>6.9501559999999998</v>
      </c>
      <c r="K75" s="90">
        <v>7.8712400000000002</v>
      </c>
      <c r="L75" s="90">
        <v>8.836157</v>
      </c>
      <c r="M75" s="90">
        <v>9.8554539999999999</v>
      </c>
      <c r="N75" s="90">
        <v>10.940022000000001</v>
      </c>
      <c r="O75" s="90">
        <v>12.10994</v>
      </c>
      <c r="P75" s="90">
        <v>13.379708000000001</v>
      </c>
      <c r="Q75" s="90">
        <v>14.764685</v>
      </c>
      <c r="R75" s="90">
        <v>16.280159000000001</v>
      </c>
      <c r="S75" s="90">
        <v>17.941573999999999</v>
      </c>
      <c r="T75" s="90">
        <v>19.761744</v>
      </c>
      <c r="U75" s="90">
        <v>21.739498000000001</v>
      </c>
      <c r="V75" s="90">
        <v>23.876650000000001</v>
      </c>
      <c r="W75" s="90">
        <v>26.169352</v>
      </c>
      <c r="X75" s="90">
        <v>28.600905999999998</v>
      </c>
      <c r="Y75" s="90">
        <v>31.175287000000001</v>
      </c>
      <c r="Z75" s="90">
        <v>33.863022000000001</v>
      </c>
      <c r="AA75" s="90">
        <v>36.644165000000001</v>
      </c>
      <c r="AB75" s="90">
        <v>39.482059</v>
      </c>
      <c r="AC75" s="90">
        <v>42.376590999999998</v>
      </c>
      <c r="AD75" s="90">
        <v>45.306109999999997</v>
      </c>
      <c r="AE75" s="91" t="s">
        <v>298</v>
      </c>
      <c r="AF75" s="82"/>
    </row>
    <row r="76" spans="1:32" x14ac:dyDescent="0.75">
      <c r="A76" s="89" t="s">
        <v>588</v>
      </c>
      <c r="B76" s="90">
        <v>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1" t="s">
        <v>298</v>
      </c>
      <c r="AF76" s="82"/>
    </row>
    <row r="77" spans="1:32" ht="49.5" x14ac:dyDescent="0.75">
      <c r="A77" s="88" t="s">
        <v>603</v>
      </c>
      <c r="B77" s="92">
        <v>14814.711914</v>
      </c>
      <c r="C77" s="92">
        <v>14797.678711</v>
      </c>
      <c r="D77" s="92">
        <v>14839.655273</v>
      </c>
      <c r="E77" s="92">
        <v>14923.662109000001</v>
      </c>
      <c r="F77" s="92">
        <v>15026.384765999999</v>
      </c>
      <c r="G77" s="92">
        <v>15135.905273</v>
      </c>
      <c r="H77" s="92">
        <v>15243.676758</v>
      </c>
      <c r="I77" s="92">
        <v>15345.804688</v>
      </c>
      <c r="J77" s="92">
        <v>15445.272461</v>
      </c>
      <c r="K77" s="92">
        <v>15533.75</v>
      </c>
      <c r="L77" s="92">
        <v>15630.535156</v>
      </c>
      <c r="M77" s="92">
        <v>15711.363281</v>
      </c>
      <c r="N77" s="92">
        <v>15783.764648</v>
      </c>
      <c r="O77" s="92">
        <v>15847.455078000001</v>
      </c>
      <c r="P77" s="92">
        <v>15910.726562</v>
      </c>
      <c r="Q77" s="92">
        <v>15968.269531</v>
      </c>
      <c r="R77" s="92">
        <v>16023.462890999999</v>
      </c>
      <c r="S77" s="92">
        <v>16085.165039</v>
      </c>
      <c r="T77" s="92">
        <v>16147.872069999999</v>
      </c>
      <c r="U77" s="92">
        <v>16223.551758</v>
      </c>
      <c r="V77" s="92">
        <v>16306.708008</v>
      </c>
      <c r="W77" s="92">
        <v>16410.376952999999</v>
      </c>
      <c r="X77" s="92">
        <v>16528.242188</v>
      </c>
      <c r="Y77" s="92">
        <v>16646.162109000001</v>
      </c>
      <c r="Z77" s="92">
        <v>16762.939452999999</v>
      </c>
      <c r="AA77" s="92">
        <v>16879.820312</v>
      </c>
      <c r="AB77" s="92">
        <v>16994.386718999998</v>
      </c>
      <c r="AC77" s="92">
        <v>17093.916015999999</v>
      </c>
      <c r="AD77" s="92">
        <v>17188.173827999999</v>
      </c>
      <c r="AE77" s="93">
        <v>5.3210000000000002E-3</v>
      </c>
      <c r="AF77" s="82"/>
    </row>
    <row r="78" spans="1:32" ht="15.5" thickBot="1" x14ac:dyDescent="0.9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</row>
    <row r="79" spans="1:32" x14ac:dyDescent="0.75">
      <c r="A79" s="99" t="s">
        <v>590</v>
      </c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</row>
    <row r="80" spans="1:32" x14ac:dyDescent="0.75">
      <c r="A80" s="82" t="s">
        <v>591</v>
      </c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</row>
    <row r="81" spans="1:32" x14ac:dyDescent="0.75">
      <c r="A81" s="82" t="s">
        <v>592</v>
      </c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</row>
    <row r="82" spans="1:32" x14ac:dyDescent="0.75">
      <c r="A82" s="82" t="s">
        <v>593</v>
      </c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</row>
    <row r="83" spans="1:32" x14ac:dyDescent="0.75">
      <c r="A83" s="82" t="s">
        <v>540</v>
      </c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</row>
    <row r="84" spans="1:32" x14ac:dyDescent="0.75">
      <c r="A84" s="82" t="s">
        <v>595</v>
      </c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</row>
    <row r="85" spans="1:32" x14ac:dyDescent="0.75">
      <c r="A85" s="82" t="s">
        <v>596</v>
      </c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</row>
    <row r="86" spans="1:32" x14ac:dyDescent="0.7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</row>
    <row r="87" spans="1:32" x14ac:dyDescent="0.75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</row>
    <row r="88" spans="1:32" x14ac:dyDescent="0.75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</row>
    <row r="89" spans="1:32" x14ac:dyDescent="0.75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</row>
    <row r="90" spans="1:32" x14ac:dyDescent="0.75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</row>
    <row r="91" spans="1:32" x14ac:dyDescent="0.75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</row>
    <row r="92" spans="1:32" x14ac:dyDescent="0.75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</row>
    <row r="93" spans="1:32" x14ac:dyDescent="0.75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</row>
    <row r="94" spans="1:32" x14ac:dyDescent="0.7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</row>
    <row r="95" spans="1:32" x14ac:dyDescent="0.7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</row>
    <row r="96" spans="1:32" x14ac:dyDescent="0.75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</row>
    <row r="97" spans="1:32" x14ac:dyDescent="0.75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</row>
    <row r="98" spans="1:32" x14ac:dyDescent="0.75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</row>
    <row r="99" spans="1:32" x14ac:dyDescent="0.75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</row>
    <row r="100" spans="1:32" x14ac:dyDescent="0.75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</row>
    <row r="101" spans="1:32" x14ac:dyDescent="0.75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</row>
    <row r="102" spans="1:32" x14ac:dyDescent="0.75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</row>
    <row r="103" spans="1:32" x14ac:dyDescent="0.75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</row>
    <row r="104" spans="1:32" x14ac:dyDescent="0.75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</row>
    <row r="105" spans="1:32" x14ac:dyDescent="0.7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</row>
    <row r="106" spans="1:32" x14ac:dyDescent="0.75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</row>
    <row r="107" spans="1:32" x14ac:dyDescent="0.75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</row>
    <row r="108" spans="1:32" x14ac:dyDescent="0.75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</row>
    <row r="109" spans="1:32" x14ac:dyDescent="0.75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 t="s">
        <v>545</v>
      </c>
      <c r="AF109" s="82"/>
    </row>
    <row r="117" spans="1:31" x14ac:dyDescent="0.75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</row>
    <row r="259" spans="1:31" x14ac:dyDescent="0.75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</row>
  </sheetData>
  <mergeCells count="3">
    <mergeCell ref="A79:AF79"/>
    <mergeCell ref="A117:AE117"/>
    <mergeCell ref="A259:AE25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BF280-22E2-4E71-8AC1-2F9F141B6A69}">
  <dimension ref="A1:AH4510"/>
  <sheetViews>
    <sheetView topLeftCell="B154" workbookViewId="0">
      <selection activeCell="C23" sqref="C23"/>
    </sheetView>
  </sheetViews>
  <sheetFormatPr defaultRowHeight="14.75" x14ac:dyDescent="0.75"/>
  <cols>
    <col min="1" max="1" width="20.86328125" hidden="1" customWidth="1"/>
    <col min="2" max="2" width="45.7265625" customWidth="1"/>
  </cols>
  <sheetData>
    <row r="1" spans="1:33" ht="15" customHeight="1" thickBot="1" x14ac:dyDescent="0.9">
      <c r="B1" s="76" t="s">
        <v>265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75"/>
    <row r="3" spans="1:33" ht="15" customHeight="1" x14ac:dyDescent="0.75">
      <c r="C3" s="78" t="s">
        <v>266</v>
      </c>
      <c r="D3" s="78" t="s">
        <v>267</v>
      </c>
      <c r="E3" s="79"/>
      <c r="F3" s="79"/>
      <c r="G3" s="79"/>
    </row>
    <row r="4" spans="1:33" ht="15" customHeight="1" x14ac:dyDescent="0.75">
      <c r="C4" s="78" t="s">
        <v>268</v>
      </c>
      <c r="D4" s="78" t="s">
        <v>269</v>
      </c>
      <c r="E4" s="79"/>
      <c r="F4" s="79"/>
      <c r="G4" s="78" t="s">
        <v>270</v>
      </c>
    </row>
    <row r="5" spans="1:33" ht="15" customHeight="1" x14ac:dyDescent="0.75">
      <c r="C5" s="78" t="s">
        <v>271</v>
      </c>
      <c r="D5" s="78" t="s">
        <v>272</v>
      </c>
      <c r="E5" s="79"/>
      <c r="F5" s="79"/>
      <c r="G5" s="79"/>
    </row>
    <row r="6" spans="1:33" ht="15" customHeight="1" x14ac:dyDescent="0.75">
      <c r="C6" s="78" t="s">
        <v>273</v>
      </c>
      <c r="D6" s="79"/>
      <c r="E6" s="78" t="s">
        <v>274</v>
      </c>
      <c r="F6" s="79"/>
      <c r="G6" s="79"/>
    </row>
    <row r="7" spans="1:33" ht="12" customHeight="1" x14ac:dyDescent="0.75"/>
    <row r="8" spans="1:33" ht="12" customHeight="1" x14ac:dyDescent="0.75"/>
    <row r="9" spans="1:33" ht="12" customHeight="1" x14ac:dyDescent="0.75"/>
    <row r="10" spans="1:33" ht="15" customHeight="1" x14ac:dyDescent="0.8">
      <c r="A10" s="80" t="s">
        <v>275</v>
      </c>
      <c r="B10" s="81" t="s">
        <v>276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277</v>
      </c>
      <c r="AG10" s="82"/>
    </row>
    <row r="11" spans="1:33" ht="15" customHeight="1" x14ac:dyDescent="0.7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278</v>
      </c>
      <c r="AG11" s="82"/>
    </row>
    <row r="12" spans="1:33" ht="15" customHeight="1" x14ac:dyDescent="0.7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279</v>
      </c>
      <c r="AG12" s="82"/>
    </row>
    <row r="13" spans="1:33" ht="15" customHeight="1" thickBot="1" x14ac:dyDescent="0.9">
      <c r="B13" s="86" t="s">
        <v>280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7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75">
      <c r="B15" s="88" t="s">
        <v>281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7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75">
      <c r="B17" s="88" t="s">
        <v>282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75">
      <c r="B18" s="88" t="s">
        <v>283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75">
      <c r="A19" s="80" t="s">
        <v>284</v>
      </c>
      <c r="B19" s="89" t="s">
        <v>285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75">
      <c r="A20" s="80" t="s">
        <v>286</v>
      </c>
      <c r="B20" s="89" t="s">
        <v>287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75">
      <c r="A21" s="80" t="s">
        <v>288</v>
      </c>
      <c r="B21" s="89" t="s">
        <v>289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75">
      <c r="A22" s="80" t="s">
        <v>290</v>
      </c>
      <c r="B22" s="89" t="s">
        <v>291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75">
      <c r="A23" s="80" t="s">
        <v>292</v>
      </c>
      <c r="B23" s="89" t="s">
        <v>293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75">
      <c r="A24" s="80" t="s">
        <v>294</v>
      </c>
      <c r="B24" s="89" t="s">
        <v>295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75">
      <c r="A25" s="80" t="s">
        <v>296</v>
      </c>
      <c r="B25" s="89" t="s">
        <v>297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298</v>
      </c>
      <c r="AG25" s="82"/>
    </row>
    <row r="26" spans="1:33" ht="15" customHeight="1" x14ac:dyDescent="0.75">
      <c r="A26" s="80" t="s">
        <v>299</v>
      </c>
      <c r="B26" s="89" t="s">
        <v>300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298</v>
      </c>
      <c r="AG26" s="82"/>
    </row>
    <row r="27" spans="1:33" ht="15" customHeight="1" x14ac:dyDescent="0.75">
      <c r="A27" s="80" t="s">
        <v>301</v>
      </c>
      <c r="B27" s="89" t="s">
        <v>302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298</v>
      </c>
      <c r="AG27" s="82"/>
    </row>
    <row r="28" spans="1:33" ht="15" customHeight="1" x14ac:dyDescent="0.75">
      <c r="A28" s="80" t="s">
        <v>303</v>
      </c>
      <c r="B28" s="89" t="s">
        <v>304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75">
      <c r="B29" s="88" t="s">
        <v>305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75">
      <c r="A30" s="80" t="s">
        <v>306</v>
      </c>
      <c r="B30" s="89" t="s">
        <v>285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75">
      <c r="A31" s="80" t="s">
        <v>307</v>
      </c>
      <c r="B31" s="89" t="s">
        <v>287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75">
      <c r="A32" s="80" t="s">
        <v>308</v>
      </c>
      <c r="B32" s="89" t="s">
        <v>289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75">
      <c r="A33" s="80" t="s">
        <v>309</v>
      </c>
      <c r="B33" s="89" t="s">
        <v>291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75">
      <c r="A34" s="80" t="s">
        <v>310</v>
      </c>
      <c r="B34" s="89" t="s">
        <v>293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75">
      <c r="A35" s="80" t="s">
        <v>311</v>
      </c>
      <c r="B35" s="89" t="s">
        <v>295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75">
      <c r="A36" s="80" t="s">
        <v>312</v>
      </c>
      <c r="B36" s="89" t="s">
        <v>297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298</v>
      </c>
      <c r="AG36" s="82"/>
    </row>
    <row r="37" spans="1:33" ht="15" customHeight="1" x14ac:dyDescent="0.75">
      <c r="A37" s="80" t="s">
        <v>313</v>
      </c>
      <c r="B37" s="89" t="s">
        <v>300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298</v>
      </c>
      <c r="AG37" s="82"/>
    </row>
    <row r="38" spans="1:33" ht="15" customHeight="1" x14ac:dyDescent="0.75">
      <c r="A38" s="80" t="s">
        <v>314</v>
      </c>
      <c r="B38" s="89" t="s">
        <v>302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298</v>
      </c>
      <c r="AG38" s="82"/>
    </row>
    <row r="39" spans="1:33" ht="12" customHeight="1" x14ac:dyDescent="0.75">
      <c r="A39" s="80" t="s">
        <v>315</v>
      </c>
      <c r="B39" s="89" t="s">
        <v>316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75">
      <c r="B40" s="88" t="s">
        <v>317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75">
      <c r="A41" s="80" t="s">
        <v>318</v>
      </c>
      <c r="B41" s="89" t="s">
        <v>285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75">
      <c r="A42" s="80" t="s">
        <v>319</v>
      </c>
      <c r="B42" s="89" t="s">
        <v>287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75">
      <c r="A43" s="80" t="s">
        <v>320</v>
      </c>
      <c r="B43" s="89" t="s">
        <v>289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75">
      <c r="A44" s="80" t="s">
        <v>321</v>
      </c>
      <c r="B44" s="89" t="s">
        <v>291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75">
      <c r="A45" s="80" t="s">
        <v>322</v>
      </c>
      <c r="B45" s="89" t="s">
        <v>293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298</v>
      </c>
      <c r="AG45" s="82"/>
    </row>
    <row r="46" spans="1:33" ht="12" customHeight="1" x14ac:dyDescent="0.75">
      <c r="A46" s="80" t="s">
        <v>323</v>
      </c>
      <c r="B46" s="89" t="s">
        <v>295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75">
      <c r="A47" s="80" t="s">
        <v>324</v>
      </c>
      <c r="B47" s="89" t="s">
        <v>297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298</v>
      </c>
      <c r="AG47" s="82"/>
    </row>
    <row r="48" spans="1:33" ht="12" customHeight="1" x14ac:dyDescent="0.75">
      <c r="A48" s="80" t="s">
        <v>325</v>
      </c>
      <c r="B48" s="89" t="s">
        <v>300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298</v>
      </c>
      <c r="AG48" s="82"/>
    </row>
    <row r="49" spans="1:33" ht="12" customHeight="1" x14ac:dyDescent="0.75">
      <c r="A49" s="80" t="s">
        <v>326</v>
      </c>
      <c r="B49" s="89" t="s">
        <v>302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298</v>
      </c>
      <c r="AG49" s="82"/>
    </row>
    <row r="50" spans="1:33" ht="15" customHeight="1" x14ac:dyDescent="0.75">
      <c r="A50" s="80" t="s">
        <v>327</v>
      </c>
      <c r="B50" s="89" t="s">
        <v>328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75">
      <c r="A51" s="80" t="s">
        <v>329</v>
      </c>
      <c r="B51" s="88" t="s">
        <v>330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7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75">
      <c r="B53" s="88" t="s">
        <v>331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75">
      <c r="B54" s="88" t="s">
        <v>283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75">
      <c r="A55" s="80" t="s">
        <v>332</v>
      </c>
      <c r="B55" s="89" t="s">
        <v>285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75">
      <c r="A56" s="80" t="s">
        <v>333</v>
      </c>
      <c r="B56" s="89" t="s">
        <v>287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75">
      <c r="A57" s="80" t="s">
        <v>334</v>
      </c>
      <c r="B57" s="89" t="s">
        <v>289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75">
      <c r="A58" s="80" t="s">
        <v>335</v>
      </c>
      <c r="B58" s="89" t="s">
        <v>291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75">
      <c r="A59" s="80" t="s">
        <v>336</v>
      </c>
      <c r="B59" s="89" t="s">
        <v>293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75">
      <c r="A60" s="80" t="s">
        <v>337</v>
      </c>
      <c r="B60" s="89" t="s">
        <v>295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75">
      <c r="A61" s="80" t="s">
        <v>338</v>
      </c>
      <c r="B61" s="89" t="s">
        <v>297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298</v>
      </c>
      <c r="AG61" s="82"/>
    </row>
    <row r="62" spans="1:33" ht="15" customHeight="1" x14ac:dyDescent="0.75">
      <c r="A62" s="80" t="s">
        <v>339</v>
      </c>
      <c r="B62" s="89" t="s">
        <v>300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298</v>
      </c>
      <c r="AG62" s="82"/>
    </row>
    <row r="63" spans="1:33" ht="15" customHeight="1" x14ac:dyDescent="0.75">
      <c r="A63" s="80" t="s">
        <v>340</v>
      </c>
      <c r="B63" s="89" t="s">
        <v>302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298</v>
      </c>
      <c r="AG63" s="82"/>
    </row>
    <row r="64" spans="1:33" ht="15" customHeight="1" x14ac:dyDescent="0.75">
      <c r="A64" s="80" t="s">
        <v>341</v>
      </c>
      <c r="B64" s="89" t="s">
        <v>304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75">
      <c r="B65" s="88" t="s">
        <v>305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75">
      <c r="A66" s="80" t="s">
        <v>342</v>
      </c>
      <c r="B66" s="89" t="s">
        <v>285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75">
      <c r="A67" s="80" t="s">
        <v>343</v>
      </c>
      <c r="B67" s="89" t="s">
        <v>287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75">
      <c r="A68" s="80" t="s">
        <v>344</v>
      </c>
      <c r="B68" s="89" t="s">
        <v>289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75">
      <c r="A69" s="80" t="s">
        <v>345</v>
      </c>
      <c r="B69" s="89" t="s">
        <v>291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75">
      <c r="A70" s="80" t="s">
        <v>346</v>
      </c>
      <c r="B70" s="89" t="s">
        <v>293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75">
      <c r="A71" s="80" t="s">
        <v>347</v>
      </c>
      <c r="B71" s="89" t="s">
        <v>295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75">
      <c r="A72" s="80" t="s">
        <v>348</v>
      </c>
      <c r="B72" s="89" t="s">
        <v>297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298</v>
      </c>
      <c r="AG72" s="82"/>
    </row>
    <row r="73" spans="1:33" ht="15" customHeight="1" x14ac:dyDescent="0.75">
      <c r="A73" s="80" t="s">
        <v>349</v>
      </c>
      <c r="B73" s="89" t="s">
        <v>300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298</v>
      </c>
      <c r="AG73" s="82"/>
    </row>
    <row r="74" spans="1:33" ht="15" customHeight="1" x14ac:dyDescent="0.75">
      <c r="A74" s="80" t="s">
        <v>350</v>
      </c>
      <c r="B74" s="89" t="s">
        <v>302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298</v>
      </c>
      <c r="AG74" s="82"/>
    </row>
    <row r="75" spans="1:33" ht="15" customHeight="1" x14ac:dyDescent="0.75">
      <c r="A75" s="80" t="s">
        <v>351</v>
      </c>
      <c r="B75" s="89" t="s">
        <v>316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75">
      <c r="B76" s="88" t="s">
        <v>317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75">
      <c r="A77" s="80" t="s">
        <v>352</v>
      </c>
      <c r="B77" s="89" t="s">
        <v>285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75">
      <c r="A78" s="80" t="s">
        <v>353</v>
      </c>
      <c r="B78" s="89" t="s">
        <v>287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75">
      <c r="A79" s="80" t="s">
        <v>354</v>
      </c>
      <c r="B79" s="89" t="s">
        <v>289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75">
      <c r="A80" s="80" t="s">
        <v>355</v>
      </c>
      <c r="B80" s="89" t="s">
        <v>291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75">
      <c r="A81" s="80" t="s">
        <v>356</v>
      </c>
      <c r="B81" s="89" t="s">
        <v>293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298</v>
      </c>
      <c r="AG81" s="82"/>
    </row>
    <row r="82" spans="1:33" ht="15" customHeight="1" x14ac:dyDescent="0.75">
      <c r="A82" s="80" t="s">
        <v>357</v>
      </c>
      <c r="B82" s="89" t="s">
        <v>295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75">
      <c r="A83" s="80" t="s">
        <v>358</v>
      </c>
      <c r="B83" s="89" t="s">
        <v>297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298</v>
      </c>
      <c r="AG83" s="82"/>
    </row>
    <row r="84" spans="1:33" ht="15" customHeight="1" x14ac:dyDescent="0.75">
      <c r="A84" s="80" t="s">
        <v>359</v>
      </c>
      <c r="B84" s="89" t="s">
        <v>300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298</v>
      </c>
      <c r="AG84" s="82"/>
    </row>
    <row r="85" spans="1:33" ht="15" customHeight="1" x14ac:dyDescent="0.75">
      <c r="A85" s="80" t="s">
        <v>360</v>
      </c>
      <c r="B85" s="89" t="s">
        <v>302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298</v>
      </c>
      <c r="AG85" s="82"/>
    </row>
    <row r="86" spans="1:33" ht="15" customHeight="1" x14ac:dyDescent="0.75">
      <c r="A86" s="80" t="s">
        <v>361</v>
      </c>
      <c r="B86" s="89" t="s">
        <v>328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75">
      <c r="B87" s="88" t="s">
        <v>362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75">
      <c r="A88" s="80" t="s">
        <v>363</v>
      </c>
      <c r="B88" s="89" t="s">
        <v>285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75">
      <c r="A89" s="80" t="s">
        <v>364</v>
      </c>
      <c r="B89" s="89" t="s">
        <v>287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75">
      <c r="A90" s="80" t="s">
        <v>365</v>
      </c>
      <c r="B90" s="89" t="s">
        <v>289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75">
      <c r="A91" s="80" t="s">
        <v>366</v>
      </c>
      <c r="B91" s="89" t="s">
        <v>291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75">
      <c r="A92" s="80" t="s">
        <v>367</v>
      </c>
      <c r="B92" s="89" t="s">
        <v>293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75">
      <c r="A93" s="80" t="s">
        <v>368</v>
      </c>
      <c r="B93" s="89" t="s">
        <v>295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75">
      <c r="A94" s="80" t="s">
        <v>369</v>
      </c>
      <c r="B94" s="89" t="s">
        <v>297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298</v>
      </c>
      <c r="AG94" s="82"/>
    </row>
    <row r="95" spans="1:33" ht="15" customHeight="1" x14ac:dyDescent="0.75">
      <c r="A95" s="80" t="s">
        <v>370</v>
      </c>
      <c r="B95" s="89" t="s">
        <v>300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298</v>
      </c>
      <c r="AG95" s="82"/>
    </row>
    <row r="96" spans="1:33" ht="12" customHeight="1" x14ac:dyDescent="0.75">
      <c r="A96" s="80" t="s">
        <v>371</v>
      </c>
      <c r="B96" s="89" t="s">
        <v>302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298</v>
      </c>
      <c r="AG96" s="82"/>
    </row>
    <row r="97" spans="1:33" ht="15" customHeight="1" x14ac:dyDescent="0.75">
      <c r="A97" s="80" t="s">
        <v>372</v>
      </c>
      <c r="B97" s="88" t="s">
        <v>373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7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75">
      <c r="B99" s="88" t="s">
        <v>374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75">
      <c r="B100" s="88" t="s">
        <v>283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75">
      <c r="A101" s="80" t="s">
        <v>375</v>
      </c>
      <c r="B101" s="89" t="s">
        <v>285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75">
      <c r="A102" s="80" t="s">
        <v>376</v>
      </c>
      <c r="B102" s="89" t="s">
        <v>287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75">
      <c r="A103" s="80" t="s">
        <v>377</v>
      </c>
      <c r="B103" s="89" t="s">
        <v>289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75">
      <c r="A104" s="80" t="s">
        <v>378</v>
      </c>
      <c r="B104" s="89" t="s">
        <v>291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75">
      <c r="A105" s="80" t="s">
        <v>379</v>
      </c>
      <c r="B105" s="89" t="s">
        <v>293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75">
      <c r="A106" s="80" t="s">
        <v>380</v>
      </c>
      <c r="B106" s="89" t="s">
        <v>295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75">
      <c r="A107" s="80" t="s">
        <v>381</v>
      </c>
      <c r="B107" s="89" t="s">
        <v>297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298</v>
      </c>
      <c r="AG107" s="82"/>
    </row>
    <row r="108" spans="1:33" ht="15" customHeight="1" x14ac:dyDescent="0.75">
      <c r="A108" s="80" t="s">
        <v>382</v>
      </c>
      <c r="B108" s="89" t="s">
        <v>300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298</v>
      </c>
      <c r="AG108" s="82"/>
    </row>
    <row r="109" spans="1:33" ht="15" customHeight="1" x14ac:dyDescent="0.75">
      <c r="A109" s="80" t="s">
        <v>383</v>
      </c>
      <c r="B109" s="89" t="s">
        <v>302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298</v>
      </c>
      <c r="AG109" s="82"/>
    </row>
    <row r="110" spans="1:33" ht="15" customHeight="1" x14ac:dyDescent="0.75">
      <c r="A110" s="80" t="s">
        <v>384</v>
      </c>
      <c r="B110" s="89" t="s">
        <v>385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75">
      <c r="B111" s="88" t="s">
        <v>305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75">
      <c r="A112" s="80" t="s">
        <v>386</v>
      </c>
      <c r="B112" s="89" t="s">
        <v>285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75">
      <c r="A113" s="80" t="s">
        <v>387</v>
      </c>
      <c r="B113" s="89" t="s">
        <v>287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75">
      <c r="A114" s="80" t="s">
        <v>388</v>
      </c>
      <c r="B114" s="89" t="s">
        <v>289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75">
      <c r="A115" s="80" t="s">
        <v>389</v>
      </c>
      <c r="B115" s="89" t="s">
        <v>291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75">
      <c r="A116" s="80" t="s">
        <v>390</v>
      </c>
      <c r="B116" s="89" t="s">
        <v>293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75">
      <c r="A117" s="80" t="s">
        <v>391</v>
      </c>
      <c r="B117" s="102" t="s">
        <v>295</v>
      </c>
      <c r="C117" s="103">
        <v>17.406853000000002</v>
      </c>
      <c r="D117" s="103">
        <v>17.424419</v>
      </c>
      <c r="E117" s="103">
        <v>17.492840000000001</v>
      </c>
      <c r="F117" s="103">
        <v>17.594168</v>
      </c>
      <c r="G117" s="103">
        <v>17.723022</v>
      </c>
      <c r="H117" s="103">
        <v>17.870365</v>
      </c>
      <c r="I117" s="103">
        <v>18.006972999999999</v>
      </c>
      <c r="J117" s="103">
        <v>18.150782</v>
      </c>
      <c r="K117" s="103">
        <v>18.295826000000002</v>
      </c>
      <c r="L117" s="103">
        <v>18.440176000000001</v>
      </c>
      <c r="M117" s="103">
        <v>18.580342999999999</v>
      </c>
      <c r="N117" s="103">
        <v>18.711387999999999</v>
      </c>
      <c r="O117" s="103">
        <v>18.795469000000001</v>
      </c>
      <c r="P117" s="103">
        <v>18.886208</v>
      </c>
      <c r="Q117" s="103">
        <v>18.994534999999999</v>
      </c>
      <c r="R117" s="103">
        <v>19.086106999999998</v>
      </c>
      <c r="S117" s="103">
        <v>19.144750999999999</v>
      </c>
      <c r="T117" s="103">
        <v>19.193377999999999</v>
      </c>
      <c r="U117" s="103">
        <v>19.256512000000001</v>
      </c>
      <c r="V117" s="103">
        <v>19.306592999999999</v>
      </c>
      <c r="W117" s="103">
        <v>19.347332000000002</v>
      </c>
      <c r="X117" s="103">
        <v>19.379252999999999</v>
      </c>
      <c r="Y117" s="103">
        <v>19.403368</v>
      </c>
      <c r="Z117" s="103">
        <v>19.420500000000001</v>
      </c>
      <c r="AA117" s="103">
        <v>19.432022</v>
      </c>
      <c r="AB117" s="103">
        <v>19.441696</v>
      </c>
      <c r="AC117" s="103">
        <v>19.448132999999999</v>
      </c>
      <c r="AD117" s="103">
        <v>19.409203000000002</v>
      </c>
      <c r="AE117" s="103">
        <v>19.409485</v>
      </c>
      <c r="AF117" s="104">
        <v>3.8969999999999999E-3</v>
      </c>
      <c r="AG117" s="82"/>
    </row>
    <row r="118" spans="1:33" ht="15" customHeight="1" x14ac:dyDescent="0.75">
      <c r="A118" s="80" t="s">
        <v>392</v>
      </c>
      <c r="B118" s="89" t="s">
        <v>297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298</v>
      </c>
      <c r="AG118" s="82"/>
    </row>
    <row r="119" spans="1:33" ht="15" customHeight="1" x14ac:dyDescent="0.75">
      <c r="A119" s="80" t="s">
        <v>393</v>
      </c>
      <c r="B119" s="89" t="s">
        <v>300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298</v>
      </c>
      <c r="AG119" s="82"/>
    </row>
    <row r="120" spans="1:33" ht="15" customHeight="1" x14ac:dyDescent="0.75">
      <c r="A120" s="80" t="s">
        <v>394</v>
      </c>
      <c r="B120" s="89" t="s">
        <v>302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298</v>
      </c>
      <c r="AG120" s="82"/>
    </row>
    <row r="121" spans="1:33" ht="15" customHeight="1" x14ac:dyDescent="0.75">
      <c r="A121" s="80" t="s">
        <v>395</v>
      </c>
      <c r="B121" s="89" t="s">
        <v>396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75">
      <c r="B122" s="88" t="s">
        <v>317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75">
      <c r="A123" s="80" t="s">
        <v>397</v>
      </c>
      <c r="B123" s="89" t="s">
        <v>285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75">
      <c r="A124" s="80" t="s">
        <v>398</v>
      </c>
      <c r="B124" s="89" t="s">
        <v>287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75">
      <c r="A125" s="80" t="s">
        <v>399</v>
      </c>
      <c r="B125" s="89" t="s">
        <v>289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75">
      <c r="A126" s="80" t="s">
        <v>400</v>
      </c>
      <c r="B126" s="89" t="s">
        <v>291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75">
      <c r="A127" s="80" t="s">
        <v>401</v>
      </c>
      <c r="B127" s="89" t="s">
        <v>293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298</v>
      </c>
      <c r="AG127" s="82"/>
    </row>
    <row r="128" spans="1:33" ht="15" customHeight="1" x14ac:dyDescent="0.75">
      <c r="A128" s="80" t="s">
        <v>402</v>
      </c>
      <c r="B128" s="89" t="s">
        <v>295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75">
      <c r="A129" s="80" t="s">
        <v>403</v>
      </c>
      <c r="B129" s="89" t="s">
        <v>297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298</v>
      </c>
      <c r="AG129" s="82"/>
    </row>
    <row r="130" spans="1:33" ht="12" customHeight="1" x14ac:dyDescent="0.75">
      <c r="A130" s="80" t="s">
        <v>404</v>
      </c>
      <c r="B130" s="89" t="s">
        <v>300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298</v>
      </c>
      <c r="AG130" s="82"/>
    </row>
    <row r="131" spans="1:33" ht="12" customHeight="1" x14ac:dyDescent="0.75">
      <c r="A131" s="80" t="s">
        <v>405</v>
      </c>
      <c r="B131" s="89" t="s">
        <v>302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298</v>
      </c>
      <c r="AG131" s="82"/>
    </row>
    <row r="132" spans="1:33" ht="12" customHeight="1" x14ac:dyDescent="0.75">
      <c r="A132" s="80" t="s">
        <v>406</v>
      </c>
      <c r="B132" s="89" t="s">
        <v>407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75">
      <c r="A133" s="80" t="s">
        <v>408</v>
      </c>
      <c r="B133" s="88" t="s">
        <v>409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7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75">
      <c r="B135" s="88" t="s">
        <v>410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75">
      <c r="B136" s="88" t="s">
        <v>283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75">
      <c r="A137" s="80" t="s">
        <v>411</v>
      </c>
      <c r="B137" s="89" t="s">
        <v>285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75">
      <c r="A138" s="80" t="s">
        <v>412</v>
      </c>
      <c r="B138" s="89" t="s">
        <v>287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75">
      <c r="A139" s="80" t="s">
        <v>413</v>
      </c>
      <c r="B139" s="89" t="s">
        <v>289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75">
      <c r="A140" s="80" t="s">
        <v>414</v>
      </c>
      <c r="B140" s="89" t="s">
        <v>291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75">
      <c r="A141" s="80" t="s">
        <v>415</v>
      </c>
      <c r="B141" s="89" t="s">
        <v>293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75">
      <c r="A142" s="80" t="s">
        <v>416</v>
      </c>
      <c r="B142" s="89" t="s">
        <v>295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75">
      <c r="A143" s="80" t="s">
        <v>417</v>
      </c>
      <c r="B143" s="89" t="s">
        <v>297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298</v>
      </c>
      <c r="AG143" s="82"/>
    </row>
    <row r="144" spans="1:33" ht="12" customHeight="1" x14ac:dyDescent="0.75">
      <c r="A144" s="80" t="s">
        <v>418</v>
      </c>
      <c r="B144" s="89" t="s">
        <v>300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298</v>
      </c>
      <c r="AG144" s="82"/>
    </row>
    <row r="145" spans="1:33" ht="12" customHeight="1" x14ac:dyDescent="0.75">
      <c r="A145" s="80" t="s">
        <v>419</v>
      </c>
      <c r="B145" s="89" t="s">
        <v>302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298</v>
      </c>
      <c r="AG145" s="82"/>
    </row>
    <row r="146" spans="1:33" ht="12" customHeight="1" x14ac:dyDescent="0.75">
      <c r="A146" s="80" t="s">
        <v>420</v>
      </c>
      <c r="B146" s="89" t="s">
        <v>304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75">
      <c r="B147" s="88" t="s">
        <v>305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75">
      <c r="A148" s="80" t="s">
        <v>421</v>
      </c>
      <c r="B148" s="89" t="s">
        <v>285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75">
      <c r="A149" s="80" t="s">
        <v>422</v>
      </c>
      <c r="B149" s="89" t="s">
        <v>287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75">
      <c r="A150" s="80" t="s">
        <v>423</v>
      </c>
      <c r="B150" s="89" t="s">
        <v>289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75">
      <c r="A151" s="80" t="s">
        <v>424</v>
      </c>
      <c r="B151" s="89" t="s">
        <v>291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75">
      <c r="A152" s="80" t="s">
        <v>425</v>
      </c>
      <c r="B152" s="89" t="s">
        <v>293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75">
      <c r="A153" s="80" t="s">
        <v>426</v>
      </c>
      <c r="B153" s="89" t="s">
        <v>295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75">
      <c r="A154" s="80" t="s">
        <v>427</v>
      </c>
      <c r="B154" s="89" t="s">
        <v>297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298</v>
      </c>
      <c r="AG154" s="82"/>
    </row>
    <row r="155" spans="1:33" ht="15" customHeight="1" x14ac:dyDescent="0.75">
      <c r="A155" s="80" t="s">
        <v>428</v>
      </c>
      <c r="B155" s="89" t="s">
        <v>300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298</v>
      </c>
      <c r="AG155" s="82"/>
    </row>
    <row r="156" spans="1:33" ht="15" customHeight="1" x14ac:dyDescent="0.75">
      <c r="A156" s="80" t="s">
        <v>429</v>
      </c>
      <c r="B156" s="89" t="s">
        <v>302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298</v>
      </c>
      <c r="AG156" s="82"/>
    </row>
    <row r="157" spans="1:33" ht="15" customHeight="1" x14ac:dyDescent="0.75">
      <c r="A157" s="80" t="s">
        <v>430</v>
      </c>
      <c r="B157" s="89" t="s">
        <v>316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75">
      <c r="B158" s="88" t="s">
        <v>317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75">
      <c r="A159" s="80" t="s">
        <v>431</v>
      </c>
      <c r="B159" s="89" t="s">
        <v>285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75">
      <c r="A160" s="80" t="s">
        <v>432</v>
      </c>
      <c r="B160" s="89" t="s">
        <v>287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75">
      <c r="A161" s="80" t="s">
        <v>433</v>
      </c>
      <c r="B161" s="89" t="s">
        <v>289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75">
      <c r="A162" s="80" t="s">
        <v>434</v>
      </c>
      <c r="B162" s="89" t="s">
        <v>291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75">
      <c r="A163" s="80" t="s">
        <v>435</v>
      </c>
      <c r="B163" s="89" t="s">
        <v>293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298</v>
      </c>
      <c r="AG163" s="82"/>
    </row>
    <row r="164" spans="1:33" ht="15" customHeight="1" x14ac:dyDescent="0.75">
      <c r="A164" s="80" t="s">
        <v>436</v>
      </c>
      <c r="B164" s="89" t="s">
        <v>295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75">
      <c r="A165" s="80" t="s">
        <v>437</v>
      </c>
      <c r="B165" s="89" t="s">
        <v>297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298</v>
      </c>
      <c r="AG165" s="82"/>
    </row>
    <row r="166" spans="1:33" ht="15" customHeight="1" x14ac:dyDescent="0.75">
      <c r="A166" s="80" t="s">
        <v>438</v>
      </c>
      <c r="B166" s="89" t="s">
        <v>300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298</v>
      </c>
      <c r="AG166" s="82"/>
    </row>
    <row r="167" spans="1:33" ht="15" customHeight="1" x14ac:dyDescent="0.75">
      <c r="A167" s="80" t="s">
        <v>439</v>
      </c>
      <c r="B167" s="89" t="s">
        <v>302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298</v>
      </c>
      <c r="AG167" s="82"/>
    </row>
    <row r="168" spans="1:33" ht="15" customHeight="1" x14ac:dyDescent="0.75">
      <c r="A168" s="80" t="s">
        <v>440</v>
      </c>
      <c r="B168" s="89" t="s">
        <v>328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75">
      <c r="A169" s="80" t="s">
        <v>441</v>
      </c>
      <c r="B169" s="88" t="s">
        <v>442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7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75">
      <c r="B171" s="88" t="s">
        <v>258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7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75">
      <c r="B173" s="88" t="s">
        <v>374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75">
      <c r="B174" s="88" t="s">
        <v>283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75">
      <c r="A175" s="80" t="s">
        <v>443</v>
      </c>
      <c r="B175" s="89" t="s">
        <v>285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75">
      <c r="A176" s="80" t="s">
        <v>444</v>
      </c>
      <c r="B176" s="89" t="s">
        <v>287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75">
      <c r="A177" s="80" t="s">
        <v>445</v>
      </c>
      <c r="B177" s="89" t="s">
        <v>289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75">
      <c r="A178" s="80" t="s">
        <v>446</v>
      </c>
      <c r="B178" s="89" t="s">
        <v>291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75">
      <c r="A179" s="80" t="s">
        <v>447</v>
      </c>
      <c r="B179" s="89" t="s">
        <v>293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75">
      <c r="A180" s="80" t="s">
        <v>448</v>
      </c>
      <c r="B180" s="89" t="s">
        <v>295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75">
      <c r="A181" s="80" t="s">
        <v>449</v>
      </c>
      <c r="B181" s="89" t="s">
        <v>297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298</v>
      </c>
      <c r="AG181" s="82"/>
    </row>
    <row r="182" spans="1:33" ht="12" customHeight="1" x14ac:dyDescent="0.75">
      <c r="A182" s="80" t="s">
        <v>450</v>
      </c>
      <c r="B182" s="89" t="s">
        <v>300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298</v>
      </c>
      <c r="AG182" s="82"/>
    </row>
    <row r="183" spans="1:33" ht="15" customHeight="1" x14ac:dyDescent="0.75">
      <c r="A183" s="80" t="s">
        <v>451</v>
      </c>
      <c r="B183" s="89" t="s">
        <v>302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298</v>
      </c>
      <c r="AG183" s="82"/>
    </row>
    <row r="184" spans="1:33" ht="15" customHeight="1" x14ac:dyDescent="0.75">
      <c r="A184" s="80" t="s">
        <v>452</v>
      </c>
      <c r="B184" s="89" t="s">
        <v>385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75">
      <c r="B185" s="88" t="s">
        <v>305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75">
      <c r="A186" s="80" t="s">
        <v>453</v>
      </c>
      <c r="B186" s="89" t="s">
        <v>285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75">
      <c r="A187" s="80" t="s">
        <v>454</v>
      </c>
      <c r="B187" s="89" t="s">
        <v>287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75">
      <c r="A188" s="80" t="s">
        <v>455</v>
      </c>
      <c r="B188" s="89" t="s">
        <v>289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75">
      <c r="A189" s="80" t="s">
        <v>456</v>
      </c>
      <c r="B189" s="89" t="s">
        <v>291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75">
      <c r="A190" s="80" t="s">
        <v>457</v>
      </c>
      <c r="B190" s="89" t="s">
        <v>293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75">
      <c r="A191" s="80" t="s">
        <v>458</v>
      </c>
      <c r="B191" s="89" t="s">
        <v>295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75">
      <c r="A192" s="80" t="s">
        <v>459</v>
      </c>
      <c r="B192" s="89" t="s">
        <v>297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298</v>
      </c>
      <c r="AG192" s="82"/>
    </row>
    <row r="193" spans="1:33" ht="15" customHeight="1" x14ac:dyDescent="0.75">
      <c r="A193" s="80" t="s">
        <v>460</v>
      </c>
      <c r="B193" s="89" t="s">
        <v>300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298</v>
      </c>
      <c r="AG193" s="82"/>
    </row>
    <row r="194" spans="1:33" ht="12" customHeight="1" x14ac:dyDescent="0.75">
      <c r="A194" s="80" t="s">
        <v>461</v>
      </c>
      <c r="B194" s="89" t="s">
        <v>302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298</v>
      </c>
      <c r="AG194" s="82"/>
    </row>
    <row r="195" spans="1:33" ht="15" customHeight="1" x14ac:dyDescent="0.75">
      <c r="A195" s="80" t="s">
        <v>462</v>
      </c>
      <c r="B195" s="89" t="s">
        <v>396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75">
      <c r="B196" s="88" t="s">
        <v>317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75">
      <c r="A197" s="80" t="s">
        <v>463</v>
      </c>
      <c r="B197" s="89" t="s">
        <v>285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75">
      <c r="A198" s="80" t="s">
        <v>464</v>
      </c>
      <c r="B198" s="89" t="s">
        <v>287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75">
      <c r="A199" s="80" t="s">
        <v>465</v>
      </c>
      <c r="B199" s="89" t="s">
        <v>289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75">
      <c r="A200" s="80" t="s">
        <v>466</v>
      </c>
      <c r="B200" s="89" t="s">
        <v>291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75">
      <c r="A201" s="80" t="s">
        <v>467</v>
      </c>
      <c r="B201" s="89" t="s">
        <v>293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298</v>
      </c>
      <c r="AG201" s="82"/>
    </row>
    <row r="202" spans="1:33" ht="15" customHeight="1" x14ac:dyDescent="0.75">
      <c r="A202" s="80" t="s">
        <v>468</v>
      </c>
      <c r="B202" s="89" t="s">
        <v>295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75">
      <c r="A203" s="80" t="s">
        <v>469</v>
      </c>
      <c r="B203" s="89" t="s">
        <v>297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298</v>
      </c>
      <c r="AG203" s="82"/>
    </row>
    <row r="204" spans="1:33" ht="12" customHeight="1" x14ac:dyDescent="0.75">
      <c r="A204" s="80" t="s">
        <v>470</v>
      </c>
      <c r="B204" s="89" t="s">
        <v>300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298</v>
      </c>
      <c r="AG204" s="82"/>
    </row>
    <row r="205" spans="1:33" ht="15" customHeight="1" x14ac:dyDescent="0.75">
      <c r="A205" s="80" t="s">
        <v>471</v>
      </c>
      <c r="B205" s="89" t="s">
        <v>302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298</v>
      </c>
      <c r="AG205" s="82"/>
    </row>
    <row r="206" spans="1:33" ht="15" customHeight="1" x14ac:dyDescent="0.75">
      <c r="A206" s="80" t="s">
        <v>472</v>
      </c>
      <c r="B206" s="89" t="s">
        <v>407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75">
      <c r="A207" s="80" t="s">
        <v>473</v>
      </c>
      <c r="B207" s="88" t="s">
        <v>409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7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75">
      <c r="B209" s="88" t="s">
        <v>474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75">
      <c r="B210" s="88" t="s">
        <v>283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75">
      <c r="A211" s="80" t="s">
        <v>475</v>
      </c>
      <c r="B211" s="89" t="s">
        <v>285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75">
      <c r="A212" s="80" t="s">
        <v>476</v>
      </c>
      <c r="B212" s="89" t="s">
        <v>287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75">
      <c r="A213" s="80" t="s">
        <v>477</v>
      </c>
      <c r="B213" s="89" t="s">
        <v>289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298</v>
      </c>
      <c r="AG213" s="82"/>
    </row>
    <row r="214" spans="1:33" ht="15" customHeight="1" x14ac:dyDescent="0.75">
      <c r="A214" s="80" t="s">
        <v>478</v>
      </c>
      <c r="B214" s="89" t="s">
        <v>291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298</v>
      </c>
      <c r="AG214" s="82"/>
    </row>
    <row r="215" spans="1:33" ht="15" customHeight="1" x14ac:dyDescent="0.75">
      <c r="A215" s="80" t="s">
        <v>479</v>
      </c>
      <c r="B215" s="89" t="s">
        <v>293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75">
      <c r="A216" s="80" t="s">
        <v>480</v>
      </c>
      <c r="B216" s="89" t="s">
        <v>295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298</v>
      </c>
      <c r="AG216" s="82"/>
    </row>
    <row r="217" spans="1:33" ht="15" customHeight="1" x14ac:dyDescent="0.75">
      <c r="A217" s="80" t="s">
        <v>481</v>
      </c>
      <c r="B217" s="89" t="s">
        <v>297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298</v>
      </c>
      <c r="AG217" s="82"/>
    </row>
    <row r="218" spans="1:33" ht="15" customHeight="1" x14ac:dyDescent="0.75">
      <c r="A218" s="80" t="s">
        <v>482</v>
      </c>
      <c r="B218" s="89" t="s">
        <v>300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298</v>
      </c>
      <c r="AG218" s="82"/>
    </row>
    <row r="219" spans="1:33" ht="15" customHeight="1" x14ac:dyDescent="0.75">
      <c r="A219" s="80" t="s">
        <v>483</v>
      </c>
      <c r="B219" s="89" t="s">
        <v>302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298</v>
      </c>
      <c r="AG219" s="82"/>
    </row>
    <row r="220" spans="1:33" ht="15" customHeight="1" x14ac:dyDescent="0.75">
      <c r="A220" s="80" t="s">
        <v>484</v>
      </c>
      <c r="B220" s="89" t="s">
        <v>304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75">
      <c r="B221" s="88" t="s">
        <v>305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75">
      <c r="A222" s="80" t="s">
        <v>485</v>
      </c>
      <c r="B222" s="89" t="s">
        <v>285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75">
      <c r="A223" s="80" t="s">
        <v>486</v>
      </c>
      <c r="B223" s="89" t="s">
        <v>287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75">
      <c r="A224" s="80" t="s">
        <v>487</v>
      </c>
      <c r="B224" s="89" t="s">
        <v>289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75">
      <c r="A225" s="80" t="s">
        <v>488</v>
      </c>
      <c r="B225" s="89" t="s">
        <v>291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75">
      <c r="A226" s="80" t="s">
        <v>489</v>
      </c>
      <c r="B226" s="89" t="s">
        <v>293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75">
      <c r="A227" s="80" t="s">
        <v>490</v>
      </c>
      <c r="B227" s="89" t="s">
        <v>295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75">
      <c r="A228" s="80" t="s">
        <v>491</v>
      </c>
      <c r="B228" s="89" t="s">
        <v>297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298</v>
      </c>
      <c r="AG228" s="82"/>
    </row>
    <row r="229" spans="1:33" ht="15" customHeight="1" x14ac:dyDescent="0.75">
      <c r="A229" s="80" t="s">
        <v>492</v>
      </c>
      <c r="B229" s="89" t="s">
        <v>300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298</v>
      </c>
      <c r="AG229" s="82"/>
    </row>
    <row r="230" spans="1:33" ht="15" customHeight="1" x14ac:dyDescent="0.75">
      <c r="A230" s="80" t="s">
        <v>493</v>
      </c>
      <c r="B230" s="89" t="s">
        <v>302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298</v>
      </c>
      <c r="AG230" s="82"/>
    </row>
    <row r="231" spans="1:33" ht="15" customHeight="1" x14ac:dyDescent="0.75">
      <c r="A231" s="80" t="s">
        <v>494</v>
      </c>
      <c r="B231" s="89" t="s">
        <v>316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75">
      <c r="B232" s="88" t="s">
        <v>317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75">
      <c r="A233" s="80" t="s">
        <v>495</v>
      </c>
      <c r="B233" s="89" t="s">
        <v>285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75">
      <c r="A234" s="80" t="s">
        <v>496</v>
      </c>
      <c r="B234" s="89" t="s">
        <v>287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75">
      <c r="A235" s="80" t="s">
        <v>497</v>
      </c>
      <c r="B235" s="89" t="s">
        <v>289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75">
      <c r="A236" s="80" t="s">
        <v>498</v>
      </c>
      <c r="B236" s="89" t="s">
        <v>291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75">
      <c r="A237" s="80" t="s">
        <v>499</v>
      </c>
      <c r="B237" s="89" t="s">
        <v>293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298</v>
      </c>
      <c r="AG237" s="82"/>
    </row>
    <row r="238" spans="1:33" ht="15" customHeight="1" x14ac:dyDescent="0.75">
      <c r="A238" s="80" t="s">
        <v>500</v>
      </c>
      <c r="B238" s="89" t="s">
        <v>295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75">
      <c r="A239" s="80" t="s">
        <v>501</v>
      </c>
      <c r="B239" s="89" t="s">
        <v>297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298</v>
      </c>
      <c r="AG239" s="82"/>
    </row>
    <row r="240" spans="1:33" ht="15" customHeight="1" x14ac:dyDescent="0.75">
      <c r="A240" s="80" t="s">
        <v>502</v>
      </c>
      <c r="B240" s="89" t="s">
        <v>300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298</v>
      </c>
      <c r="AG240" s="82"/>
    </row>
    <row r="241" spans="1:33" ht="15" customHeight="1" x14ac:dyDescent="0.75">
      <c r="A241" s="80" t="s">
        <v>503</v>
      </c>
      <c r="B241" s="89" t="s">
        <v>302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298</v>
      </c>
      <c r="AG241" s="82"/>
    </row>
    <row r="242" spans="1:33" ht="15" customHeight="1" x14ac:dyDescent="0.75">
      <c r="A242" s="80" t="s">
        <v>504</v>
      </c>
      <c r="B242" s="89" t="s">
        <v>328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75">
      <c r="A243" s="80" t="s">
        <v>505</v>
      </c>
      <c r="B243" s="88" t="s">
        <v>506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7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7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7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75">
      <c r="B247" s="88" t="s">
        <v>259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75">
      <c r="A248" s="80" t="s">
        <v>507</v>
      </c>
      <c r="B248" s="89" t="s">
        <v>508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75">
      <c r="A249" s="80" t="s">
        <v>509</v>
      </c>
      <c r="B249" s="89" t="s">
        <v>510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75">
      <c r="B250" s="88" t="s">
        <v>511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75">
      <c r="A251" s="80" t="s">
        <v>512</v>
      </c>
      <c r="B251" s="89" t="s">
        <v>513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75">
      <c r="A252" s="80" t="s">
        <v>514</v>
      </c>
      <c r="B252" s="89" t="s">
        <v>515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298</v>
      </c>
      <c r="AG252" s="82"/>
    </row>
    <row r="253" spans="1:33" ht="15" customHeight="1" x14ac:dyDescent="0.75">
      <c r="A253" s="80" t="s">
        <v>516</v>
      </c>
      <c r="B253" s="89" t="s">
        <v>517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298</v>
      </c>
      <c r="AG253" s="82"/>
    </row>
    <row r="254" spans="1:33" ht="15" customHeight="1" x14ac:dyDescent="0.75">
      <c r="A254" s="80" t="s">
        <v>518</v>
      </c>
      <c r="B254" s="89" t="s">
        <v>519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7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75">
      <c r="B256" s="88" t="s">
        <v>260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75">
      <c r="A257" s="80" t="s">
        <v>520</v>
      </c>
      <c r="B257" s="89" t="s">
        <v>521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75">
      <c r="A258" s="80" t="s">
        <v>522</v>
      </c>
      <c r="B258" s="89" t="s">
        <v>510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75">
      <c r="B259" s="105" t="s">
        <v>511</v>
      </c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82"/>
    </row>
    <row r="260" spans="1:33" ht="15" customHeight="1" x14ac:dyDescent="0.75">
      <c r="A260" s="80" t="s">
        <v>523</v>
      </c>
      <c r="B260" s="89" t="s">
        <v>513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75">
      <c r="A261" s="80" t="s">
        <v>524</v>
      </c>
      <c r="B261" s="89" t="s">
        <v>515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75">
      <c r="A262" s="80" t="s">
        <v>525</v>
      </c>
      <c r="B262" s="89" t="s">
        <v>517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298</v>
      </c>
      <c r="AG262" s="82"/>
    </row>
    <row r="263" spans="1:33" ht="15" customHeight="1" x14ac:dyDescent="0.75">
      <c r="A263" s="80" t="s">
        <v>526</v>
      </c>
      <c r="B263" s="89" t="s">
        <v>519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7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75">
      <c r="B265" s="88" t="s">
        <v>261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75">
      <c r="A266" s="80" t="s">
        <v>527</v>
      </c>
      <c r="B266" s="89" t="s">
        <v>528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75">
      <c r="A267" s="80" t="s">
        <v>529</v>
      </c>
      <c r="B267" s="89" t="s">
        <v>530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75">
      <c r="A268" s="80" t="s">
        <v>531</v>
      </c>
      <c r="B268" s="89" t="s">
        <v>532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75">
      <c r="B269" s="88" t="s">
        <v>511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75">
      <c r="A270" s="80" t="s">
        <v>533</v>
      </c>
      <c r="B270" s="89" t="s">
        <v>513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75">
      <c r="A271" s="80" t="s">
        <v>534</v>
      </c>
      <c r="B271" s="89" t="s">
        <v>515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75">
      <c r="A272" s="80" t="s">
        <v>535</v>
      </c>
      <c r="B272" s="89" t="s">
        <v>517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298</v>
      </c>
      <c r="AG272" s="82"/>
    </row>
    <row r="273" spans="1:34" ht="12" customHeight="1" x14ac:dyDescent="0.75">
      <c r="A273" s="80" t="s">
        <v>536</v>
      </c>
      <c r="B273" s="89" t="s">
        <v>519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9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75">
      <c r="B275" s="99" t="s">
        <v>537</v>
      </c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97"/>
    </row>
    <row r="276" spans="1:34" ht="12" customHeight="1" x14ac:dyDescent="0.75">
      <c r="B276" s="82" t="s">
        <v>538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75">
      <c r="B277" s="82" t="s">
        <v>539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75">
      <c r="B278" s="82" t="s">
        <v>540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75">
      <c r="B279" s="82" t="s">
        <v>541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75">
      <c r="B280" s="82" t="s">
        <v>542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75">
      <c r="B281" s="82" t="s">
        <v>543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75">
      <c r="B282" s="82" t="s">
        <v>544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7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7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7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7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7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7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7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7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7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7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7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7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7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7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7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7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7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7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7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7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7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7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7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7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7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7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7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7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7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7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7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7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7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7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7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7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7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7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7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7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7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7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7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7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7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7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7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7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7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7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7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7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545</v>
      </c>
      <c r="AG334" s="82"/>
    </row>
    <row r="335" spans="2:33" ht="15" customHeight="1" x14ac:dyDescent="0.75"/>
    <row r="336" spans="2:33" ht="15" customHeight="1" x14ac:dyDescent="0.75"/>
    <row r="337" spans="2:32" ht="15" customHeight="1" x14ac:dyDescent="0.75"/>
    <row r="338" spans="2:32" ht="15" customHeight="1" x14ac:dyDescent="0.75"/>
    <row r="339" spans="2:32" ht="15" customHeight="1" x14ac:dyDescent="0.75"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</row>
    <row r="340" spans="2:32" ht="15" customHeight="1" x14ac:dyDescent="0.75"/>
    <row r="341" spans="2:32" ht="15" customHeight="1" x14ac:dyDescent="0.75"/>
    <row r="342" spans="2:32" ht="15" customHeight="1" x14ac:dyDescent="0.75"/>
    <row r="343" spans="2:32" ht="15" customHeight="1" x14ac:dyDescent="0.75"/>
    <row r="344" spans="2:32" ht="15" customHeight="1" x14ac:dyDescent="0.75"/>
    <row r="345" spans="2:32" ht="15" customHeight="1" x14ac:dyDescent="0.75"/>
    <row r="346" spans="2:32" ht="15" customHeight="1" x14ac:dyDescent="0.75"/>
    <row r="347" spans="2:32" ht="15" customHeight="1" x14ac:dyDescent="0.75"/>
    <row r="348" spans="2:32" ht="12" customHeight="1" x14ac:dyDescent="0.75"/>
    <row r="349" spans="2:32" ht="12" customHeight="1" x14ac:dyDescent="0.75"/>
    <row r="350" spans="2:32" ht="12" customHeight="1" x14ac:dyDescent="0.75"/>
    <row r="351" spans="2:32" ht="12" customHeight="1" x14ac:dyDescent="0.75"/>
    <row r="352" spans="2:32" ht="12" customHeight="1" x14ac:dyDescent="0.75"/>
    <row r="353" customFormat="1" ht="12" customHeight="1" x14ac:dyDescent="0.75"/>
    <row r="354" customFormat="1" ht="12" customHeight="1" x14ac:dyDescent="0.75"/>
    <row r="355" customFormat="1" ht="12" customHeight="1" x14ac:dyDescent="0.75"/>
    <row r="356" customFormat="1" ht="12" customHeight="1" x14ac:dyDescent="0.75"/>
    <row r="357" customFormat="1" ht="12" customHeight="1" x14ac:dyDescent="0.75"/>
    <row r="358" customFormat="1" ht="12" customHeight="1" x14ac:dyDescent="0.75"/>
    <row r="359" customFormat="1" ht="12" customHeight="1" x14ac:dyDescent="0.75"/>
    <row r="360" customFormat="1" ht="12" customHeight="1" x14ac:dyDescent="0.75"/>
    <row r="361" customFormat="1" ht="12" customHeight="1" x14ac:dyDescent="0.75"/>
    <row r="362" customFormat="1" ht="12" customHeight="1" x14ac:dyDescent="0.75"/>
    <row r="363" customFormat="1" ht="12" customHeight="1" x14ac:dyDescent="0.75"/>
    <row r="364" customFormat="1" ht="12" customHeight="1" x14ac:dyDescent="0.75"/>
    <row r="365" customFormat="1" ht="12" customHeight="1" x14ac:dyDescent="0.75"/>
    <row r="366" customFormat="1" ht="12" customHeight="1" x14ac:dyDescent="0.75"/>
    <row r="367" customFormat="1" ht="12" customHeight="1" x14ac:dyDescent="0.75"/>
    <row r="368" customFormat="1" ht="12" customHeight="1" x14ac:dyDescent="0.75"/>
    <row r="369" customFormat="1" ht="12" customHeight="1" x14ac:dyDescent="0.75"/>
    <row r="370" customFormat="1" ht="12" customHeight="1" x14ac:dyDescent="0.75"/>
    <row r="371" customFormat="1" ht="12" customHeight="1" x14ac:dyDescent="0.75"/>
    <row r="372" customFormat="1" ht="12" customHeight="1" x14ac:dyDescent="0.75"/>
    <row r="373" customFormat="1" ht="12" customHeight="1" x14ac:dyDescent="0.75"/>
    <row r="374" customFormat="1" ht="12" customHeight="1" x14ac:dyDescent="0.75"/>
    <row r="375" customFormat="1" ht="15" customHeight="1" x14ac:dyDescent="0.75"/>
    <row r="376" customFormat="1" ht="15" customHeight="1" x14ac:dyDescent="0.75"/>
    <row r="377" customFormat="1" ht="15" customHeight="1" x14ac:dyDescent="0.75"/>
    <row r="378" customFormat="1" ht="15" customHeight="1" x14ac:dyDescent="0.75"/>
    <row r="379" customFormat="1" ht="15" customHeight="1" x14ac:dyDescent="0.75"/>
    <row r="380" customFormat="1" ht="15" customHeight="1" x14ac:dyDescent="0.75"/>
    <row r="381" customFormat="1" ht="15" customHeight="1" x14ac:dyDescent="0.75"/>
    <row r="382" customFormat="1" ht="15" customHeight="1" x14ac:dyDescent="0.75"/>
    <row r="383" customFormat="1" ht="15" customHeight="1" x14ac:dyDescent="0.75"/>
    <row r="384" customFormat="1" ht="15" customHeight="1" x14ac:dyDescent="0.75"/>
    <row r="385" customFormat="1" ht="12" customHeight="1" x14ac:dyDescent="0.75"/>
    <row r="386" customFormat="1" ht="15" customHeight="1" x14ac:dyDescent="0.75"/>
    <row r="387" customFormat="1" ht="15" customHeight="1" x14ac:dyDescent="0.75"/>
    <row r="388" customFormat="1" ht="15" customHeight="1" x14ac:dyDescent="0.75"/>
    <row r="389" customFormat="1" ht="15" customHeight="1" x14ac:dyDescent="0.75"/>
    <row r="390" customFormat="1" ht="15" customHeight="1" x14ac:dyDescent="0.75"/>
    <row r="391" customFormat="1" ht="15" customHeight="1" x14ac:dyDescent="0.75"/>
    <row r="392" customFormat="1" ht="15" customHeight="1" x14ac:dyDescent="0.75"/>
    <row r="393" customFormat="1" ht="15" customHeight="1" x14ac:dyDescent="0.75"/>
    <row r="394" customFormat="1" ht="15" customHeight="1" x14ac:dyDescent="0.75"/>
    <row r="395" customFormat="1" ht="15" customHeight="1" x14ac:dyDescent="0.75"/>
    <row r="396" customFormat="1" ht="15" customHeight="1" x14ac:dyDescent="0.75"/>
    <row r="397" customFormat="1" ht="15" customHeight="1" x14ac:dyDescent="0.75"/>
    <row r="398" customFormat="1" ht="15" customHeight="1" x14ac:dyDescent="0.75"/>
    <row r="399" customFormat="1" ht="15" customHeight="1" x14ac:dyDescent="0.75"/>
    <row r="400" customFormat="1" ht="15" customHeight="1" x14ac:dyDescent="0.75"/>
    <row r="401" customFormat="1" ht="15" customHeight="1" x14ac:dyDescent="0.75"/>
    <row r="402" customFormat="1" ht="12" customHeight="1" x14ac:dyDescent="0.75"/>
    <row r="403" customFormat="1" ht="15" customHeight="1" x14ac:dyDescent="0.75"/>
    <row r="404" customFormat="1" ht="15" customHeight="1" x14ac:dyDescent="0.75"/>
    <row r="405" customFormat="1" ht="12" customHeight="1" x14ac:dyDescent="0.75"/>
    <row r="406" customFormat="1" ht="15" customHeight="1" x14ac:dyDescent="0.75"/>
    <row r="407" customFormat="1" ht="15" customHeight="1" x14ac:dyDescent="0.75"/>
    <row r="408" customFormat="1" ht="15" customHeight="1" x14ac:dyDescent="0.75"/>
    <row r="409" customFormat="1" ht="15" customHeight="1" x14ac:dyDescent="0.75"/>
    <row r="410" customFormat="1" ht="15" customHeight="1" x14ac:dyDescent="0.75"/>
    <row r="411" customFormat="1" ht="12" customHeight="1" x14ac:dyDescent="0.75"/>
    <row r="412" customFormat="1" ht="15" customHeight="1" x14ac:dyDescent="0.75"/>
    <row r="413" customFormat="1" ht="15" customHeight="1" x14ac:dyDescent="0.75"/>
    <row r="414" customFormat="1" ht="15" customHeight="1" x14ac:dyDescent="0.75"/>
    <row r="415" customFormat="1" ht="15" customHeight="1" x14ac:dyDescent="0.75"/>
    <row r="416" customFormat="1" ht="15" customHeight="1" x14ac:dyDescent="0.75"/>
    <row r="417" customFormat="1" ht="15" customHeight="1" x14ac:dyDescent="0.75"/>
    <row r="418" customFormat="1" ht="15" customHeight="1" x14ac:dyDescent="0.75"/>
    <row r="419" customFormat="1" ht="15" customHeight="1" x14ac:dyDescent="0.75"/>
    <row r="420" customFormat="1" ht="15" customHeight="1" x14ac:dyDescent="0.75"/>
    <row r="421" customFormat="1" ht="15" customHeight="1" x14ac:dyDescent="0.75"/>
    <row r="422" customFormat="1" ht="15" customHeight="1" x14ac:dyDescent="0.75"/>
    <row r="423" customFormat="1" ht="15" customHeight="1" x14ac:dyDescent="0.75"/>
    <row r="424" customFormat="1" ht="15" customHeight="1" x14ac:dyDescent="0.75"/>
    <row r="425" customFormat="1" ht="15" customHeight="1" x14ac:dyDescent="0.75"/>
    <row r="426" customFormat="1" ht="15" customHeight="1" x14ac:dyDescent="0.75"/>
    <row r="427" customFormat="1" ht="15" customHeight="1" x14ac:dyDescent="0.75"/>
    <row r="428" customFormat="1" ht="12" customHeight="1" x14ac:dyDescent="0.75"/>
    <row r="429" customFormat="1" ht="15" customHeight="1" x14ac:dyDescent="0.75"/>
    <row r="430" customFormat="1" ht="15" customHeight="1" x14ac:dyDescent="0.75"/>
    <row r="431" customFormat="1" ht="12" customHeight="1" x14ac:dyDescent="0.75"/>
    <row r="432" customFormat="1" ht="15" customHeight="1" x14ac:dyDescent="0.75"/>
    <row r="433" customFormat="1" ht="15" customHeight="1" x14ac:dyDescent="0.75"/>
    <row r="434" customFormat="1" ht="15" customHeight="1" x14ac:dyDescent="0.75"/>
    <row r="435" customFormat="1" ht="12" customHeight="1" x14ac:dyDescent="0.75"/>
    <row r="436" customFormat="1" ht="15" customHeight="1" x14ac:dyDescent="0.75"/>
    <row r="437" customFormat="1" ht="15" customHeight="1" x14ac:dyDescent="0.75"/>
    <row r="438" customFormat="1" ht="15" customHeight="1" x14ac:dyDescent="0.75"/>
    <row r="439" customFormat="1" ht="15" customHeight="1" x14ac:dyDescent="0.75"/>
    <row r="440" customFormat="1" ht="15" customHeight="1" x14ac:dyDescent="0.75"/>
    <row r="441" customFormat="1" ht="15" customHeight="1" x14ac:dyDescent="0.75"/>
    <row r="442" customFormat="1" ht="15" customHeight="1" x14ac:dyDescent="0.75"/>
    <row r="443" customFormat="1" ht="15" customHeight="1" x14ac:dyDescent="0.75"/>
    <row r="444" customFormat="1" ht="15" customHeight="1" x14ac:dyDescent="0.75"/>
    <row r="445" customFormat="1" ht="15" customHeight="1" x14ac:dyDescent="0.75"/>
    <row r="446" customFormat="1" ht="12" customHeight="1" x14ac:dyDescent="0.75"/>
    <row r="447" customFormat="1" ht="15" customHeight="1" x14ac:dyDescent="0.75"/>
    <row r="448" customFormat="1" ht="15" customHeight="1" x14ac:dyDescent="0.75"/>
    <row r="449" spans="2:32" ht="12" customHeight="1" x14ac:dyDescent="0.75"/>
    <row r="450" spans="2:32" ht="15" customHeight="1" x14ac:dyDescent="0.75"/>
    <row r="451" spans="2:32" ht="15" customHeight="1" x14ac:dyDescent="0.75"/>
    <row r="452" spans="2:32" ht="15" customHeight="1" x14ac:dyDescent="0.75"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  <c r="AC452" s="101"/>
      <c r="AD452" s="101"/>
      <c r="AE452" s="101"/>
      <c r="AF452" s="101"/>
    </row>
    <row r="453" spans="2:32" ht="15" customHeight="1" x14ac:dyDescent="0.75"/>
    <row r="454" spans="2:32" ht="15" customHeight="1" x14ac:dyDescent="0.75"/>
    <row r="455" spans="2:32" ht="15" customHeight="1" x14ac:dyDescent="0.75"/>
    <row r="456" spans="2:32" ht="15" customHeight="1" x14ac:dyDescent="0.75"/>
    <row r="457" spans="2:32" ht="15" customHeight="1" x14ac:dyDescent="0.75"/>
    <row r="458" spans="2:32" ht="15" customHeight="1" x14ac:dyDescent="0.75"/>
    <row r="459" spans="2:32" ht="15" customHeight="1" x14ac:dyDescent="0.75"/>
    <row r="460" spans="2:32" ht="15" customHeight="1" x14ac:dyDescent="0.75"/>
    <row r="461" spans="2:32" ht="12" customHeight="1" x14ac:dyDescent="0.75"/>
    <row r="462" spans="2:32" ht="12" customHeight="1" x14ac:dyDescent="0.75"/>
    <row r="463" spans="2:32" ht="12" customHeight="1" x14ac:dyDescent="0.75"/>
    <row r="464" spans="2:32" ht="12" customHeight="1" x14ac:dyDescent="0.75"/>
    <row r="465" customFormat="1" ht="12" customHeight="1" x14ac:dyDescent="0.75"/>
    <row r="466" customFormat="1" ht="12" customHeight="1" x14ac:dyDescent="0.75"/>
    <row r="467" customFormat="1" ht="12" customHeight="1" x14ac:dyDescent="0.75"/>
    <row r="468" customFormat="1" ht="12" customHeight="1" x14ac:dyDescent="0.75"/>
    <row r="469" customFormat="1" ht="12" customHeight="1" x14ac:dyDescent="0.75"/>
    <row r="470" customFormat="1" ht="12" customHeight="1" x14ac:dyDescent="0.75"/>
    <row r="471" customFormat="1" ht="12" customHeight="1" x14ac:dyDescent="0.75"/>
    <row r="472" customFormat="1" ht="12" customHeight="1" x14ac:dyDescent="0.75"/>
    <row r="473" customFormat="1" ht="12" customHeight="1" x14ac:dyDescent="0.75"/>
    <row r="474" customFormat="1" ht="12" customHeight="1" x14ac:dyDescent="0.75"/>
    <row r="475" customFormat="1" ht="12" customHeight="1" x14ac:dyDescent="0.75"/>
    <row r="476" customFormat="1" ht="12" customHeight="1" x14ac:dyDescent="0.75"/>
    <row r="477" customFormat="1" ht="12" customHeight="1" x14ac:dyDescent="0.75"/>
    <row r="478" customFormat="1" ht="12" customHeight="1" x14ac:dyDescent="0.75"/>
    <row r="479" customFormat="1" ht="12" customHeight="1" x14ac:dyDescent="0.75"/>
    <row r="480" customFormat="1" ht="12" customHeight="1" x14ac:dyDescent="0.75"/>
    <row r="481" customFormat="1" ht="12" customHeight="1" x14ac:dyDescent="0.75"/>
    <row r="482" customFormat="1" ht="12" customHeight="1" x14ac:dyDescent="0.75"/>
    <row r="483" customFormat="1" ht="12" customHeight="1" x14ac:dyDescent="0.75"/>
    <row r="484" customFormat="1" ht="12" customHeight="1" x14ac:dyDescent="0.75"/>
    <row r="485" customFormat="1" ht="12" customHeight="1" x14ac:dyDescent="0.75"/>
    <row r="486" customFormat="1" ht="12" customHeight="1" x14ac:dyDescent="0.75"/>
    <row r="487" customFormat="1" ht="12" customHeight="1" x14ac:dyDescent="0.75"/>
    <row r="488" customFormat="1" ht="12" customHeight="1" x14ac:dyDescent="0.75"/>
    <row r="489" customFormat="1" ht="12" customHeight="1" x14ac:dyDescent="0.75"/>
    <row r="490" customFormat="1" ht="12" customHeight="1" x14ac:dyDescent="0.75"/>
    <row r="491" customFormat="1" ht="12" customHeight="1" x14ac:dyDescent="0.75"/>
    <row r="492" customFormat="1" ht="12" customHeight="1" x14ac:dyDescent="0.75"/>
    <row r="493" customFormat="1" ht="12" customHeight="1" x14ac:dyDescent="0.75"/>
    <row r="494" customFormat="1" ht="12" customHeight="1" x14ac:dyDescent="0.75"/>
    <row r="495" customFormat="1" ht="12" customHeight="1" x14ac:dyDescent="0.75"/>
    <row r="496" customFormat="1" ht="12" customHeight="1" x14ac:dyDescent="0.75"/>
    <row r="497" customFormat="1" ht="12" customHeight="1" x14ac:dyDescent="0.75"/>
    <row r="498" customFormat="1" ht="12" customHeight="1" x14ac:dyDescent="0.75"/>
    <row r="499" customFormat="1" ht="12" customHeight="1" x14ac:dyDescent="0.75"/>
    <row r="500" customFormat="1" ht="15" customHeight="1" x14ac:dyDescent="0.75"/>
    <row r="501" customFormat="1" ht="15" customHeight="1" x14ac:dyDescent="0.75"/>
    <row r="502" customFormat="1" ht="15" customHeight="1" x14ac:dyDescent="0.75"/>
    <row r="503" customFormat="1" ht="15" customHeight="1" x14ac:dyDescent="0.75"/>
    <row r="504" customFormat="1" ht="15" customHeight="1" x14ac:dyDescent="0.75"/>
    <row r="505" customFormat="1" ht="15" customHeight="1" x14ac:dyDescent="0.75"/>
    <row r="506" customFormat="1" ht="15" customHeight="1" x14ac:dyDescent="0.75"/>
    <row r="507" customFormat="1" ht="15" customHeight="1" x14ac:dyDescent="0.75"/>
    <row r="508" customFormat="1" ht="15" customHeight="1" x14ac:dyDescent="0.75"/>
    <row r="509" customFormat="1" ht="15" customHeight="1" x14ac:dyDescent="0.75"/>
    <row r="510" customFormat="1" ht="12" customHeight="1" x14ac:dyDescent="0.75"/>
    <row r="511" customFormat="1" ht="15" customHeight="1" x14ac:dyDescent="0.75"/>
    <row r="512" customFormat="1" ht="15" customHeight="1" x14ac:dyDescent="0.75"/>
    <row r="513" customFormat="1" ht="15" customHeight="1" x14ac:dyDescent="0.75"/>
    <row r="514" customFormat="1" ht="15" customHeight="1" x14ac:dyDescent="0.75"/>
    <row r="515" customFormat="1" ht="15" customHeight="1" x14ac:dyDescent="0.75"/>
    <row r="516" customFormat="1" ht="15" customHeight="1" x14ac:dyDescent="0.75"/>
    <row r="517" customFormat="1" ht="15" customHeight="1" x14ac:dyDescent="0.75"/>
    <row r="518" customFormat="1" ht="15" customHeight="1" x14ac:dyDescent="0.75"/>
    <row r="519" customFormat="1" ht="15" customHeight="1" x14ac:dyDescent="0.75"/>
    <row r="520" customFormat="1" ht="15" customHeight="1" x14ac:dyDescent="0.75"/>
    <row r="521" customFormat="1" ht="15" customHeight="1" x14ac:dyDescent="0.75"/>
    <row r="522" customFormat="1" ht="15" customHeight="1" x14ac:dyDescent="0.75"/>
    <row r="523" customFormat="1" ht="15" customHeight="1" x14ac:dyDescent="0.75"/>
    <row r="524" customFormat="1" ht="15" customHeight="1" x14ac:dyDescent="0.75"/>
    <row r="525" customFormat="1" ht="15" customHeight="1" x14ac:dyDescent="0.75"/>
    <row r="526" customFormat="1" ht="15" customHeight="1" x14ac:dyDescent="0.75"/>
    <row r="527" customFormat="1" ht="12" customHeight="1" x14ac:dyDescent="0.75"/>
    <row r="528" customFormat="1" ht="15" customHeight="1" x14ac:dyDescent="0.75"/>
    <row r="529" customFormat="1" ht="12" customHeight="1" x14ac:dyDescent="0.75"/>
    <row r="530" customFormat="1" ht="15" customHeight="1" x14ac:dyDescent="0.75"/>
    <row r="531" customFormat="1" ht="15" customHeight="1" x14ac:dyDescent="0.75"/>
    <row r="532" customFormat="1" ht="15" customHeight="1" x14ac:dyDescent="0.75"/>
    <row r="533" customFormat="1" ht="15" customHeight="1" x14ac:dyDescent="0.75"/>
    <row r="534" customFormat="1" ht="15" customHeight="1" x14ac:dyDescent="0.75"/>
    <row r="535" customFormat="1" ht="12" customHeight="1" x14ac:dyDescent="0.75"/>
    <row r="536" customFormat="1" ht="15" customHeight="1" x14ac:dyDescent="0.75"/>
    <row r="537" customFormat="1" ht="15" customHeight="1" x14ac:dyDescent="0.75"/>
    <row r="538" customFormat="1" ht="15" customHeight="1" x14ac:dyDescent="0.75"/>
    <row r="539" customFormat="1" ht="15" customHeight="1" x14ac:dyDescent="0.75"/>
    <row r="540" customFormat="1" ht="15" customHeight="1" x14ac:dyDescent="0.75"/>
    <row r="541" customFormat="1" ht="15" customHeight="1" x14ac:dyDescent="0.75"/>
    <row r="542" customFormat="1" ht="15" customHeight="1" x14ac:dyDescent="0.75"/>
    <row r="543" customFormat="1" ht="15" customHeight="1" x14ac:dyDescent="0.75"/>
    <row r="544" customFormat="1" ht="15" customHeight="1" x14ac:dyDescent="0.75"/>
    <row r="545" customFormat="1" ht="15" customHeight="1" x14ac:dyDescent="0.75"/>
    <row r="546" customFormat="1" ht="15" customHeight="1" x14ac:dyDescent="0.75"/>
    <row r="547" customFormat="1" ht="15" customHeight="1" x14ac:dyDescent="0.75"/>
    <row r="548" customFormat="1" ht="15" customHeight="1" x14ac:dyDescent="0.75"/>
    <row r="549" customFormat="1" ht="15" customHeight="1" x14ac:dyDescent="0.75"/>
    <row r="550" customFormat="1" ht="15" customHeight="1" x14ac:dyDescent="0.75"/>
    <row r="551" customFormat="1" ht="15" customHeight="1" x14ac:dyDescent="0.75"/>
    <row r="552" customFormat="1" ht="12" customHeight="1" x14ac:dyDescent="0.75"/>
    <row r="553" customFormat="1" ht="15" customHeight="1" x14ac:dyDescent="0.75"/>
    <row r="554" customFormat="1" ht="12" customHeight="1" x14ac:dyDescent="0.75"/>
    <row r="555" customFormat="1" ht="15" customHeight="1" x14ac:dyDescent="0.75"/>
    <row r="556" customFormat="1" ht="15" customHeight="1" x14ac:dyDescent="0.75"/>
    <row r="557" customFormat="1" ht="15" customHeight="1" x14ac:dyDescent="0.75"/>
    <row r="558" customFormat="1" ht="15" customHeight="1" x14ac:dyDescent="0.75"/>
    <row r="559" customFormat="1" ht="15" customHeight="1" x14ac:dyDescent="0.75"/>
    <row r="560" customFormat="1" ht="15" customHeight="1" x14ac:dyDescent="0.75"/>
    <row r="561" spans="2:32" ht="15" customHeight="1" x14ac:dyDescent="0.75"/>
    <row r="562" spans="2:32" ht="15" customHeight="1" x14ac:dyDescent="0.75"/>
    <row r="563" spans="2:32" ht="15" customHeight="1" x14ac:dyDescent="0.75"/>
    <row r="564" spans="2:32" ht="15" customHeight="1" x14ac:dyDescent="0.75"/>
    <row r="565" spans="2:32" ht="15" customHeight="1" x14ac:dyDescent="0.75"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  <c r="AC565" s="101"/>
      <c r="AD565" s="101"/>
      <c r="AE565" s="101"/>
      <c r="AF565" s="101"/>
    </row>
    <row r="566" spans="2:32" ht="15" customHeight="1" x14ac:dyDescent="0.75"/>
    <row r="567" spans="2:32" ht="15" customHeight="1" x14ac:dyDescent="0.75"/>
    <row r="568" spans="2:32" ht="15" customHeight="1" x14ac:dyDescent="0.75"/>
    <row r="569" spans="2:32" ht="15" customHeight="1" x14ac:dyDescent="0.75"/>
    <row r="570" spans="2:32" ht="15" customHeight="1" x14ac:dyDescent="0.75"/>
    <row r="571" spans="2:32" ht="12" customHeight="1" x14ac:dyDescent="0.75"/>
    <row r="572" spans="2:32" ht="12" customHeight="1" x14ac:dyDescent="0.75"/>
    <row r="573" spans="2:32" ht="12" customHeight="1" x14ac:dyDescent="0.75"/>
    <row r="574" spans="2:32" ht="12" customHeight="1" x14ac:dyDescent="0.75"/>
    <row r="575" spans="2:32" ht="12" customHeight="1" x14ac:dyDescent="0.75"/>
    <row r="576" spans="2:32" ht="12" customHeight="1" x14ac:dyDescent="0.75"/>
    <row r="577" customFormat="1" ht="12" customHeight="1" x14ac:dyDescent="0.75"/>
    <row r="578" customFormat="1" ht="12" customHeight="1" x14ac:dyDescent="0.75"/>
    <row r="579" customFormat="1" ht="12" customHeight="1" x14ac:dyDescent="0.75"/>
    <row r="580" customFormat="1" ht="12" customHeight="1" x14ac:dyDescent="0.75"/>
    <row r="581" customFormat="1" ht="12" customHeight="1" x14ac:dyDescent="0.75"/>
    <row r="582" customFormat="1" ht="12" customHeight="1" x14ac:dyDescent="0.75"/>
    <row r="583" customFormat="1" ht="12" customHeight="1" x14ac:dyDescent="0.75"/>
    <row r="584" customFormat="1" ht="12" customHeight="1" x14ac:dyDescent="0.75"/>
    <row r="585" customFormat="1" ht="12" customHeight="1" x14ac:dyDescent="0.75"/>
    <row r="586" customFormat="1" ht="12" customHeight="1" x14ac:dyDescent="0.75"/>
    <row r="587" customFormat="1" ht="12" customHeight="1" x14ac:dyDescent="0.75"/>
    <row r="588" customFormat="1" ht="12" customHeight="1" x14ac:dyDescent="0.75"/>
    <row r="589" customFormat="1" ht="12" customHeight="1" x14ac:dyDescent="0.75"/>
    <row r="590" customFormat="1" ht="12" customHeight="1" x14ac:dyDescent="0.75"/>
    <row r="591" customFormat="1" ht="12" customHeight="1" x14ac:dyDescent="0.75"/>
    <row r="592" customFormat="1" ht="12" customHeight="1" x14ac:dyDescent="0.75"/>
    <row r="593" customFormat="1" ht="12" customHeight="1" x14ac:dyDescent="0.75"/>
    <row r="594" customFormat="1" ht="12" customHeight="1" x14ac:dyDescent="0.75"/>
    <row r="595" customFormat="1" ht="12" customHeight="1" x14ac:dyDescent="0.75"/>
    <row r="596" customFormat="1" ht="12" customHeight="1" x14ac:dyDescent="0.75"/>
    <row r="597" customFormat="1" ht="12" customHeight="1" x14ac:dyDescent="0.75"/>
    <row r="598" customFormat="1" ht="12" customHeight="1" x14ac:dyDescent="0.75"/>
    <row r="599" customFormat="1" ht="12" customHeight="1" x14ac:dyDescent="0.75"/>
    <row r="600" customFormat="1" ht="15" customHeight="1" x14ac:dyDescent="0.75"/>
    <row r="601" customFormat="1" ht="15" customHeight="1" x14ac:dyDescent="0.75"/>
    <row r="602" customFormat="1" ht="15" customHeight="1" x14ac:dyDescent="0.75"/>
    <row r="603" customFormat="1" ht="15" customHeight="1" x14ac:dyDescent="0.75"/>
    <row r="604" customFormat="1" ht="15" customHeight="1" x14ac:dyDescent="0.75"/>
    <row r="605" customFormat="1" ht="15" customHeight="1" x14ac:dyDescent="0.75"/>
    <row r="606" customFormat="1" ht="15" customHeight="1" x14ac:dyDescent="0.75"/>
    <row r="607" customFormat="1" ht="15" customHeight="1" x14ac:dyDescent="0.75"/>
    <row r="608" customFormat="1" ht="15" customHeight="1" x14ac:dyDescent="0.75"/>
    <row r="609" customFormat="1" ht="12" customHeight="1" x14ac:dyDescent="0.75"/>
    <row r="610" customFormat="1" ht="15" customHeight="1" x14ac:dyDescent="0.75"/>
    <row r="611" customFormat="1" ht="15" customHeight="1" x14ac:dyDescent="0.75"/>
    <row r="612" customFormat="1" ht="15" customHeight="1" x14ac:dyDescent="0.75"/>
    <row r="613" customFormat="1" ht="15" customHeight="1" x14ac:dyDescent="0.75"/>
    <row r="614" customFormat="1" ht="15" customHeight="1" x14ac:dyDescent="0.75"/>
    <row r="615" customFormat="1" ht="15" customHeight="1" x14ac:dyDescent="0.75"/>
    <row r="616" customFormat="1" ht="15" customHeight="1" x14ac:dyDescent="0.75"/>
    <row r="617" customFormat="1" ht="15" customHeight="1" x14ac:dyDescent="0.75"/>
    <row r="618" customFormat="1" ht="15" customHeight="1" x14ac:dyDescent="0.75"/>
    <row r="619" customFormat="1" ht="15" customHeight="1" x14ac:dyDescent="0.75"/>
    <row r="620" customFormat="1" ht="15" customHeight="1" x14ac:dyDescent="0.75"/>
    <row r="621" customFormat="1" ht="15" customHeight="1" x14ac:dyDescent="0.75"/>
    <row r="622" customFormat="1" ht="15" customHeight="1" x14ac:dyDescent="0.75"/>
    <row r="623" customFormat="1" ht="15" customHeight="1" x14ac:dyDescent="0.75"/>
    <row r="624" customFormat="1" ht="15" customHeight="1" x14ac:dyDescent="0.75"/>
    <row r="625" customFormat="1" ht="12" customHeight="1" x14ac:dyDescent="0.75"/>
    <row r="626" customFormat="1" ht="15" customHeight="1" x14ac:dyDescent="0.75"/>
    <row r="627" customFormat="1" ht="12" customHeight="1" x14ac:dyDescent="0.75"/>
    <row r="628" customFormat="1" ht="15" customHeight="1" x14ac:dyDescent="0.75"/>
    <row r="629" customFormat="1" ht="15" customHeight="1" x14ac:dyDescent="0.75"/>
    <row r="630" customFormat="1" ht="15" customHeight="1" x14ac:dyDescent="0.75"/>
    <row r="631" customFormat="1" ht="15" customHeight="1" x14ac:dyDescent="0.75"/>
    <row r="632" customFormat="1" ht="12" customHeight="1" x14ac:dyDescent="0.75"/>
    <row r="633" customFormat="1" ht="15" customHeight="1" x14ac:dyDescent="0.75"/>
    <row r="634" customFormat="1" ht="15" customHeight="1" x14ac:dyDescent="0.75"/>
    <row r="635" customFormat="1" ht="15" customHeight="1" x14ac:dyDescent="0.75"/>
    <row r="636" customFormat="1" ht="15" customHeight="1" x14ac:dyDescent="0.75"/>
    <row r="637" customFormat="1" ht="15" customHeight="1" x14ac:dyDescent="0.75"/>
    <row r="638" customFormat="1" ht="15" customHeight="1" x14ac:dyDescent="0.75"/>
    <row r="639" customFormat="1" ht="15" customHeight="1" x14ac:dyDescent="0.75"/>
    <row r="640" customFormat="1" ht="15" customHeight="1" x14ac:dyDescent="0.75"/>
    <row r="641" customFormat="1" ht="15" customHeight="1" x14ac:dyDescent="0.75"/>
    <row r="642" customFormat="1" ht="15" customHeight="1" x14ac:dyDescent="0.75"/>
    <row r="643" customFormat="1" ht="15" customHeight="1" x14ac:dyDescent="0.75"/>
    <row r="644" customFormat="1" ht="15" customHeight="1" x14ac:dyDescent="0.75"/>
    <row r="645" customFormat="1" ht="15" customHeight="1" x14ac:dyDescent="0.75"/>
    <row r="646" customFormat="1" ht="15" customHeight="1" x14ac:dyDescent="0.75"/>
    <row r="647" customFormat="1" ht="15" customHeight="1" x14ac:dyDescent="0.75"/>
    <row r="648" customFormat="1" ht="12" customHeight="1" x14ac:dyDescent="0.75"/>
    <row r="649" customFormat="1" ht="15" customHeight="1" x14ac:dyDescent="0.75"/>
    <row r="650" customFormat="1" ht="12" customHeight="1" x14ac:dyDescent="0.75"/>
    <row r="651" customFormat="1" ht="15" customHeight="1" x14ac:dyDescent="0.75"/>
    <row r="652" customFormat="1" ht="12" customHeight="1" x14ac:dyDescent="0.75"/>
    <row r="653" customFormat="1" ht="15" customHeight="1" x14ac:dyDescent="0.75"/>
    <row r="654" customFormat="1" ht="15" customHeight="1" x14ac:dyDescent="0.75"/>
    <row r="655" customFormat="1" ht="12" customHeight="1" x14ac:dyDescent="0.75"/>
    <row r="656" customFormat="1" ht="15" customHeight="1" x14ac:dyDescent="0.75"/>
    <row r="657" spans="2:32" ht="12" customHeight="1" x14ac:dyDescent="0.75"/>
    <row r="658" spans="2:32" ht="12" customHeight="1" x14ac:dyDescent="0.75"/>
    <row r="659" spans="2:32" ht="15" customHeight="1" x14ac:dyDescent="0.75"/>
    <row r="660" spans="2:32" ht="12" customHeight="1" x14ac:dyDescent="0.75"/>
    <row r="661" spans="2:32" ht="15" customHeight="1" x14ac:dyDescent="0.75"/>
    <row r="662" spans="2:32" ht="15" customHeight="1" x14ac:dyDescent="0.75"/>
    <row r="663" spans="2:32" ht="15" customHeight="1" x14ac:dyDescent="0.75"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  <c r="AC663" s="101"/>
      <c r="AD663" s="101"/>
      <c r="AE663" s="101"/>
      <c r="AF663" s="101"/>
    </row>
    <row r="664" spans="2:32" ht="15" customHeight="1" x14ac:dyDescent="0.75"/>
    <row r="665" spans="2:32" ht="15" customHeight="1" x14ac:dyDescent="0.75"/>
    <row r="666" spans="2:32" ht="15" customHeight="1" x14ac:dyDescent="0.75"/>
    <row r="667" spans="2:32" ht="15" customHeight="1" x14ac:dyDescent="0.75"/>
    <row r="668" spans="2:32" ht="15" customHeight="1" x14ac:dyDescent="0.75"/>
    <row r="669" spans="2:32" ht="12" customHeight="1" x14ac:dyDescent="0.75"/>
    <row r="670" spans="2:32" ht="12" customHeight="1" x14ac:dyDescent="0.75"/>
    <row r="671" spans="2:32" ht="12" customHeight="1" x14ac:dyDescent="0.75"/>
    <row r="672" spans="2:32" ht="12" customHeight="1" x14ac:dyDescent="0.75"/>
    <row r="673" customFormat="1" ht="12" customHeight="1" x14ac:dyDescent="0.75"/>
    <row r="674" customFormat="1" ht="12" customHeight="1" x14ac:dyDescent="0.75"/>
    <row r="675" customFormat="1" ht="12" customHeight="1" x14ac:dyDescent="0.75"/>
    <row r="676" customFormat="1" ht="12" customHeight="1" x14ac:dyDescent="0.75"/>
    <row r="677" customFormat="1" ht="12" customHeight="1" x14ac:dyDescent="0.75"/>
    <row r="678" customFormat="1" ht="12" customHeight="1" x14ac:dyDescent="0.75"/>
    <row r="679" customFormat="1" ht="12" customHeight="1" x14ac:dyDescent="0.75"/>
    <row r="680" customFormat="1" ht="12" customHeight="1" x14ac:dyDescent="0.75"/>
    <row r="681" customFormat="1" ht="12" customHeight="1" x14ac:dyDescent="0.75"/>
    <row r="682" customFormat="1" ht="12" customHeight="1" x14ac:dyDescent="0.75"/>
    <row r="683" customFormat="1" ht="12" customHeight="1" x14ac:dyDescent="0.75"/>
    <row r="684" customFormat="1" ht="12" customHeight="1" x14ac:dyDescent="0.75"/>
    <row r="685" customFormat="1" ht="12" customHeight="1" x14ac:dyDescent="0.75"/>
    <row r="686" customFormat="1" ht="12" customHeight="1" x14ac:dyDescent="0.75"/>
    <row r="687" customFormat="1" ht="12" customHeight="1" x14ac:dyDescent="0.75"/>
    <row r="688" customFormat="1" ht="12" customHeight="1" x14ac:dyDescent="0.75"/>
    <row r="689" customFormat="1" ht="12" customHeight="1" x14ac:dyDescent="0.75"/>
    <row r="690" customFormat="1" ht="12" customHeight="1" x14ac:dyDescent="0.75"/>
    <row r="691" customFormat="1" ht="12" customHeight="1" x14ac:dyDescent="0.75"/>
    <row r="692" customFormat="1" ht="12" customHeight="1" x14ac:dyDescent="0.75"/>
    <row r="693" customFormat="1" ht="12" customHeight="1" x14ac:dyDescent="0.75"/>
    <row r="694" customFormat="1" ht="12" customHeight="1" x14ac:dyDescent="0.75"/>
    <row r="695" customFormat="1" ht="12" customHeight="1" x14ac:dyDescent="0.75"/>
    <row r="696" customFormat="1" ht="12" customHeight="1" x14ac:dyDescent="0.75"/>
    <row r="697" customFormat="1" ht="12" customHeight="1" x14ac:dyDescent="0.75"/>
    <row r="698" customFormat="1" ht="12" customHeight="1" x14ac:dyDescent="0.75"/>
    <row r="699" customFormat="1" ht="12" customHeight="1" x14ac:dyDescent="0.75"/>
    <row r="700" customFormat="1" ht="15" customHeight="1" x14ac:dyDescent="0.75"/>
    <row r="701" customFormat="1" ht="15" customHeight="1" x14ac:dyDescent="0.75"/>
    <row r="702" customFormat="1" ht="15" customHeight="1" x14ac:dyDescent="0.75"/>
    <row r="703" customFormat="1" ht="15" customHeight="1" x14ac:dyDescent="0.75"/>
    <row r="704" customFormat="1" ht="15" customHeight="1" x14ac:dyDescent="0.75"/>
    <row r="705" customFormat="1" ht="15" customHeight="1" x14ac:dyDescent="0.75"/>
    <row r="706" customFormat="1" ht="15" customHeight="1" x14ac:dyDescent="0.75"/>
    <row r="707" customFormat="1" ht="12" customHeight="1" x14ac:dyDescent="0.75"/>
    <row r="708" customFormat="1" ht="15" customHeight="1" x14ac:dyDescent="0.75"/>
    <row r="709" customFormat="1" ht="15" customHeight="1" x14ac:dyDescent="0.75"/>
    <row r="710" customFormat="1" ht="15" customHeight="1" x14ac:dyDescent="0.75"/>
    <row r="711" customFormat="1" ht="15" customHeight="1" x14ac:dyDescent="0.75"/>
    <row r="712" customFormat="1" ht="15" customHeight="1" x14ac:dyDescent="0.75"/>
    <row r="713" customFormat="1" ht="15" customHeight="1" x14ac:dyDescent="0.75"/>
    <row r="714" customFormat="1" ht="15" customHeight="1" x14ac:dyDescent="0.75"/>
    <row r="715" customFormat="1" ht="15" customHeight="1" x14ac:dyDescent="0.75"/>
    <row r="716" customFormat="1" ht="15" customHeight="1" x14ac:dyDescent="0.75"/>
    <row r="717" customFormat="1" ht="15" customHeight="1" x14ac:dyDescent="0.75"/>
    <row r="718" customFormat="1" ht="15" customHeight="1" x14ac:dyDescent="0.75"/>
    <row r="719" customFormat="1" ht="15" customHeight="1" x14ac:dyDescent="0.75"/>
    <row r="720" customFormat="1" ht="15" customHeight="1" x14ac:dyDescent="0.75"/>
    <row r="721" spans="2:32" ht="15" customHeight="1" x14ac:dyDescent="0.75"/>
    <row r="722" spans="2:32" ht="15" customHeight="1" x14ac:dyDescent="0.75"/>
    <row r="723" spans="2:32" ht="12" customHeight="1" x14ac:dyDescent="0.75"/>
    <row r="724" spans="2:32" ht="15" customHeight="1" x14ac:dyDescent="0.75"/>
    <row r="725" spans="2:32" ht="15" customHeight="1" x14ac:dyDescent="0.75"/>
    <row r="726" spans="2:32" ht="15" customHeight="1" x14ac:dyDescent="0.75"/>
    <row r="727" spans="2:32" ht="15" customHeight="1" x14ac:dyDescent="0.75"/>
    <row r="728" spans="2:32" ht="12" customHeight="1" x14ac:dyDescent="0.75"/>
    <row r="729" spans="2:32" ht="15" customHeight="1" x14ac:dyDescent="0.75"/>
    <row r="730" spans="2:32" ht="15" customHeight="1" x14ac:dyDescent="0.75"/>
    <row r="731" spans="2:32" ht="15" customHeight="1" x14ac:dyDescent="0.75"/>
    <row r="732" spans="2:32" ht="15" customHeight="1" x14ac:dyDescent="0.75"/>
    <row r="733" spans="2:32" ht="15" customHeight="1" x14ac:dyDescent="0.75"/>
    <row r="734" spans="2:32" ht="15" customHeight="1" x14ac:dyDescent="0.75"/>
    <row r="735" spans="2:32" ht="15" customHeight="1" x14ac:dyDescent="0.75"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  <c r="AC735" s="101"/>
      <c r="AD735" s="101"/>
      <c r="AE735" s="101"/>
      <c r="AF735" s="101"/>
    </row>
    <row r="736" spans="2:32" ht="15" customHeight="1" x14ac:dyDescent="0.75"/>
    <row r="737" customFormat="1" ht="15" customHeight="1" x14ac:dyDescent="0.75"/>
    <row r="738" customFormat="1" ht="15" customHeight="1" x14ac:dyDescent="0.75"/>
    <row r="739" customFormat="1" ht="15" customHeight="1" x14ac:dyDescent="0.75"/>
    <row r="740" customFormat="1" ht="15" customHeight="1" x14ac:dyDescent="0.75"/>
    <row r="741" customFormat="1" ht="15" customHeight="1" x14ac:dyDescent="0.75"/>
    <row r="742" customFormat="1" ht="12" customHeight="1" x14ac:dyDescent="0.75"/>
    <row r="743" customFormat="1" ht="12" customHeight="1" x14ac:dyDescent="0.75"/>
    <row r="744" customFormat="1" ht="12" customHeight="1" x14ac:dyDescent="0.75"/>
    <row r="745" customFormat="1" ht="12" customHeight="1" x14ac:dyDescent="0.75"/>
    <row r="746" customFormat="1" ht="12" customHeight="1" x14ac:dyDescent="0.75"/>
    <row r="747" customFormat="1" ht="12" customHeight="1" x14ac:dyDescent="0.75"/>
    <row r="748" customFormat="1" ht="12" customHeight="1" x14ac:dyDescent="0.75"/>
    <row r="749" customFormat="1" ht="12" customHeight="1" x14ac:dyDescent="0.75"/>
    <row r="750" customFormat="1" ht="12" customHeight="1" x14ac:dyDescent="0.75"/>
    <row r="751" customFormat="1" ht="12" customHeight="1" x14ac:dyDescent="0.75"/>
    <row r="752" customFormat="1" ht="12" customHeight="1" x14ac:dyDescent="0.75"/>
    <row r="753" customFormat="1" ht="12" customHeight="1" x14ac:dyDescent="0.75"/>
    <row r="754" customFormat="1" ht="12" customHeight="1" x14ac:dyDescent="0.75"/>
    <row r="755" customFormat="1" ht="12" customHeight="1" x14ac:dyDescent="0.75"/>
    <row r="756" customFormat="1" ht="12" customHeight="1" x14ac:dyDescent="0.75"/>
    <row r="757" customFormat="1" ht="12" customHeight="1" x14ac:dyDescent="0.75"/>
    <row r="758" customFormat="1" ht="12" customHeight="1" x14ac:dyDescent="0.75"/>
    <row r="759" customFormat="1" ht="12" customHeight="1" x14ac:dyDescent="0.75"/>
    <row r="760" customFormat="1" ht="12" customHeight="1" x14ac:dyDescent="0.75"/>
    <row r="761" customFormat="1" ht="12" customHeight="1" x14ac:dyDescent="0.75"/>
    <row r="762" customFormat="1" ht="12" customHeight="1" x14ac:dyDescent="0.75"/>
    <row r="763" customFormat="1" ht="12" customHeight="1" x14ac:dyDescent="0.75"/>
    <row r="764" customFormat="1" ht="12" customHeight="1" x14ac:dyDescent="0.75"/>
    <row r="765" customFormat="1" ht="12" customHeight="1" x14ac:dyDescent="0.75"/>
    <row r="766" customFormat="1" ht="12" customHeight="1" x14ac:dyDescent="0.75"/>
    <row r="767" customFormat="1" ht="12" customHeight="1" x14ac:dyDescent="0.75"/>
    <row r="768" customFormat="1" ht="12" customHeight="1" x14ac:dyDescent="0.75"/>
    <row r="769" customFormat="1" ht="12" customHeight="1" x14ac:dyDescent="0.75"/>
    <row r="770" customFormat="1" ht="12" customHeight="1" x14ac:dyDescent="0.75"/>
    <row r="771" customFormat="1" ht="12" customHeight="1" x14ac:dyDescent="0.75"/>
    <row r="772" customFormat="1" ht="12" customHeight="1" x14ac:dyDescent="0.75"/>
    <row r="773" customFormat="1" ht="12" customHeight="1" x14ac:dyDescent="0.75"/>
    <row r="774" customFormat="1" ht="12" customHeight="1" x14ac:dyDescent="0.75"/>
    <row r="775" customFormat="1" ht="15" customHeight="1" x14ac:dyDescent="0.75"/>
    <row r="776" customFormat="1" ht="15" customHeight="1" x14ac:dyDescent="0.75"/>
    <row r="777" customFormat="1" ht="15" customHeight="1" x14ac:dyDescent="0.75"/>
    <row r="778" customFormat="1" ht="15" customHeight="1" x14ac:dyDescent="0.75"/>
    <row r="779" customFormat="1" ht="15" customHeight="1" x14ac:dyDescent="0.75"/>
    <row r="780" customFormat="1" ht="15" customHeight="1" x14ac:dyDescent="0.75"/>
    <row r="781" customFormat="1" ht="15" customHeight="1" x14ac:dyDescent="0.75"/>
    <row r="782" customFormat="1" ht="15" customHeight="1" x14ac:dyDescent="0.75"/>
    <row r="783" customFormat="1" ht="15" customHeight="1" x14ac:dyDescent="0.75"/>
    <row r="784" customFormat="1" ht="15" customHeight="1" x14ac:dyDescent="0.75"/>
    <row r="785" customFormat="1" ht="15" customHeight="1" x14ac:dyDescent="0.75"/>
    <row r="786" customFormat="1" ht="15" customHeight="1" x14ac:dyDescent="0.75"/>
    <row r="787" customFormat="1" ht="15" customHeight="1" x14ac:dyDescent="0.75"/>
    <row r="788" customFormat="1" ht="15" customHeight="1" x14ac:dyDescent="0.75"/>
    <row r="789" customFormat="1" ht="15" customHeight="1" x14ac:dyDescent="0.75"/>
    <row r="790" customFormat="1" ht="15" customHeight="1" x14ac:dyDescent="0.75"/>
    <row r="791" customFormat="1" ht="15" customHeight="1" x14ac:dyDescent="0.75"/>
    <row r="792" customFormat="1" ht="15" customHeight="1" x14ac:dyDescent="0.75"/>
    <row r="793" customFormat="1" ht="12" customHeight="1" x14ac:dyDescent="0.75"/>
    <row r="794" customFormat="1" ht="15" customHeight="1" x14ac:dyDescent="0.75"/>
    <row r="795" customFormat="1" ht="15" customHeight="1" x14ac:dyDescent="0.75"/>
    <row r="796" customFormat="1" ht="15" customHeight="1" x14ac:dyDescent="0.75"/>
    <row r="797" customFormat="1" ht="15" customHeight="1" x14ac:dyDescent="0.75"/>
    <row r="798" customFormat="1" ht="15" customHeight="1" x14ac:dyDescent="0.75"/>
    <row r="799" customFormat="1" ht="15" customHeight="1" x14ac:dyDescent="0.75"/>
    <row r="800" customFormat="1" ht="15" customHeight="1" x14ac:dyDescent="0.75"/>
    <row r="801" customFormat="1" ht="15" customHeight="1" x14ac:dyDescent="0.75"/>
    <row r="802" customFormat="1" ht="15" customHeight="1" x14ac:dyDescent="0.75"/>
    <row r="803" customFormat="1" ht="15" customHeight="1" x14ac:dyDescent="0.75"/>
    <row r="804" customFormat="1" ht="15" customHeight="1" x14ac:dyDescent="0.75"/>
    <row r="805" customFormat="1" ht="12" customHeight="1" x14ac:dyDescent="0.75"/>
    <row r="806" customFormat="1" ht="15" customHeight="1" x14ac:dyDescent="0.75"/>
    <row r="807" customFormat="1" ht="15" customHeight="1" x14ac:dyDescent="0.75"/>
    <row r="808" customFormat="1" ht="15" customHeight="1" x14ac:dyDescent="0.75"/>
    <row r="809" customFormat="1" ht="12" customHeight="1" x14ac:dyDescent="0.75"/>
    <row r="810" customFormat="1" ht="15" customHeight="1" x14ac:dyDescent="0.75"/>
    <row r="811" customFormat="1" ht="15" customHeight="1" x14ac:dyDescent="0.75"/>
    <row r="812" customFormat="1" ht="15" customHeight="1" x14ac:dyDescent="0.75"/>
    <row r="813" customFormat="1" ht="15" customHeight="1" x14ac:dyDescent="0.75"/>
    <row r="814" customFormat="1" ht="15" customHeight="1" x14ac:dyDescent="0.75"/>
    <row r="815" customFormat="1" ht="15" customHeight="1" x14ac:dyDescent="0.75"/>
    <row r="816" customFormat="1" ht="15" customHeight="1" x14ac:dyDescent="0.75"/>
    <row r="817" customFormat="1" ht="15" customHeight="1" x14ac:dyDescent="0.75"/>
    <row r="818" customFormat="1" ht="15" customHeight="1" x14ac:dyDescent="0.75"/>
    <row r="819" customFormat="1" ht="15" customHeight="1" x14ac:dyDescent="0.75"/>
    <row r="820" customFormat="1" ht="15" customHeight="1" x14ac:dyDescent="0.75"/>
    <row r="821" customFormat="1" ht="12" customHeight="1" x14ac:dyDescent="0.75"/>
    <row r="822" customFormat="1" ht="15" customHeight="1" x14ac:dyDescent="0.75"/>
    <row r="823" customFormat="1" ht="15" customHeight="1" x14ac:dyDescent="0.75"/>
    <row r="824" customFormat="1" ht="15" customHeight="1" x14ac:dyDescent="0.75"/>
    <row r="825" customFormat="1" ht="15" customHeight="1" x14ac:dyDescent="0.75"/>
    <row r="826" customFormat="1" ht="15" customHeight="1" x14ac:dyDescent="0.75"/>
    <row r="827" customFormat="1" ht="15" customHeight="1" x14ac:dyDescent="0.75"/>
    <row r="828" customFormat="1" ht="15" customHeight="1" x14ac:dyDescent="0.75"/>
    <row r="829" customFormat="1" ht="15" customHeight="1" x14ac:dyDescent="0.75"/>
    <row r="830" customFormat="1" ht="15" customHeight="1" x14ac:dyDescent="0.75"/>
    <row r="831" customFormat="1" ht="15" customHeight="1" x14ac:dyDescent="0.75"/>
    <row r="832" customFormat="1" ht="15" customHeight="1" x14ac:dyDescent="0.75"/>
    <row r="833" customFormat="1" ht="15" customHeight="1" x14ac:dyDescent="0.75"/>
    <row r="834" customFormat="1" ht="15" customHeight="1" x14ac:dyDescent="0.75"/>
    <row r="835" customFormat="1" ht="12" customHeight="1" x14ac:dyDescent="0.75"/>
    <row r="836" customFormat="1" ht="15" customHeight="1" x14ac:dyDescent="0.75"/>
    <row r="837" customFormat="1" ht="15" customHeight="1" x14ac:dyDescent="0.75"/>
    <row r="838" customFormat="1" ht="15" customHeight="1" x14ac:dyDescent="0.75"/>
    <row r="839" customFormat="1" ht="12" customHeight="1" x14ac:dyDescent="0.75"/>
    <row r="840" customFormat="1" ht="15" customHeight="1" x14ac:dyDescent="0.75"/>
    <row r="841" customFormat="1" ht="15" customHeight="1" x14ac:dyDescent="0.75"/>
    <row r="842" customFormat="1" ht="15" customHeight="1" x14ac:dyDescent="0.75"/>
    <row r="843" customFormat="1" ht="15" customHeight="1" x14ac:dyDescent="0.75"/>
    <row r="844" customFormat="1" ht="15" customHeight="1" x14ac:dyDescent="0.75"/>
    <row r="845" customFormat="1" ht="15" customHeight="1" x14ac:dyDescent="0.75"/>
    <row r="846" customFormat="1" ht="15" customHeight="1" x14ac:dyDescent="0.75"/>
    <row r="847" customFormat="1" ht="15" customHeight="1" x14ac:dyDescent="0.75"/>
    <row r="848" customFormat="1" ht="15" customHeight="1" x14ac:dyDescent="0.75"/>
    <row r="849" customFormat="1" ht="15" customHeight="1" x14ac:dyDescent="0.75"/>
    <row r="850" customFormat="1" ht="12" customHeight="1" x14ac:dyDescent="0.75"/>
    <row r="851" customFormat="1" ht="15" customHeight="1" x14ac:dyDescent="0.75"/>
    <row r="852" customFormat="1" ht="15" customHeight="1" x14ac:dyDescent="0.75"/>
    <row r="853" customFormat="1" ht="15" customHeight="1" x14ac:dyDescent="0.75"/>
    <row r="854" customFormat="1" ht="15" customHeight="1" x14ac:dyDescent="0.75"/>
    <row r="855" customFormat="1" ht="15" customHeight="1" x14ac:dyDescent="0.75"/>
    <row r="856" customFormat="1" ht="15" customHeight="1" x14ac:dyDescent="0.75"/>
    <row r="857" customFormat="1" ht="15" customHeight="1" x14ac:dyDescent="0.75"/>
    <row r="858" customFormat="1" ht="15" customHeight="1" x14ac:dyDescent="0.75"/>
    <row r="859" customFormat="1" ht="15" customHeight="1" x14ac:dyDescent="0.75"/>
    <row r="860" customFormat="1" ht="12" customHeight="1" x14ac:dyDescent="0.75"/>
    <row r="861" customFormat="1" ht="15" customHeight="1" x14ac:dyDescent="0.75"/>
    <row r="862" customFormat="1" ht="15" customHeight="1" x14ac:dyDescent="0.75"/>
    <row r="863" customFormat="1" ht="15" customHeight="1" x14ac:dyDescent="0.75"/>
    <row r="864" customFormat="1" ht="15" customHeight="1" x14ac:dyDescent="0.75"/>
    <row r="865" customFormat="1" ht="15" customHeight="1" x14ac:dyDescent="0.75"/>
    <row r="866" customFormat="1" ht="15" customHeight="1" x14ac:dyDescent="0.75"/>
    <row r="867" customFormat="1" ht="15" customHeight="1" x14ac:dyDescent="0.75"/>
    <row r="868" customFormat="1" ht="15" customHeight="1" x14ac:dyDescent="0.75"/>
    <row r="869" customFormat="1" ht="15" customHeight="1" x14ac:dyDescent="0.75"/>
    <row r="870" customFormat="1" ht="15" customHeight="1" x14ac:dyDescent="0.75"/>
    <row r="871" customFormat="1" ht="15" customHeight="1" x14ac:dyDescent="0.75"/>
    <row r="872" customFormat="1" ht="12" customHeight="1" x14ac:dyDescent="0.75"/>
    <row r="873" customFormat="1" ht="15" customHeight="1" x14ac:dyDescent="0.75"/>
    <row r="874" customFormat="1" ht="15" customHeight="1" x14ac:dyDescent="0.75"/>
    <row r="875" customFormat="1" ht="15" customHeight="1" x14ac:dyDescent="0.75"/>
    <row r="876" customFormat="1" ht="15" customHeight="1" x14ac:dyDescent="0.75"/>
    <row r="877" customFormat="1" ht="15" customHeight="1" x14ac:dyDescent="0.75"/>
    <row r="878" customFormat="1" ht="15" customHeight="1" x14ac:dyDescent="0.75"/>
    <row r="879" customFormat="1" ht="15" customHeight="1" x14ac:dyDescent="0.75"/>
    <row r="880" customFormat="1" ht="15" customHeight="1" x14ac:dyDescent="0.75"/>
    <row r="881" customFormat="1" ht="15" customHeight="1" x14ac:dyDescent="0.75"/>
    <row r="882" customFormat="1" ht="15" customHeight="1" x14ac:dyDescent="0.75"/>
    <row r="883" customFormat="1" ht="12" customHeight="1" x14ac:dyDescent="0.75"/>
    <row r="884" customFormat="1" ht="15" customHeight="1" x14ac:dyDescent="0.75"/>
    <row r="885" customFormat="1" ht="15" customHeight="1" x14ac:dyDescent="0.75"/>
    <row r="886" customFormat="1" ht="15" customHeight="1" x14ac:dyDescent="0.75"/>
    <row r="887" customFormat="1" ht="15" customHeight="1" x14ac:dyDescent="0.75"/>
    <row r="888" customFormat="1" ht="15" customHeight="1" x14ac:dyDescent="0.75"/>
    <row r="889" customFormat="1" ht="15" customHeight="1" x14ac:dyDescent="0.75"/>
    <row r="890" customFormat="1" ht="15" customHeight="1" x14ac:dyDescent="0.75"/>
    <row r="891" customFormat="1" ht="15" customHeight="1" x14ac:dyDescent="0.75"/>
    <row r="892" customFormat="1" ht="15" customHeight="1" x14ac:dyDescent="0.75"/>
    <row r="893" customFormat="1" ht="15" customHeight="1" x14ac:dyDescent="0.75"/>
    <row r="894" customFormat="1" ht="15" customHeight="1" x14ac:dyDescent="0.75"/>
    <row r="895" customFormat="1" ht="12" customHeight="1" x14ac:dyDescent="0.75"/>
    <row r="896" customFormat="1" ht="15" customHeight="1" x14ac:dyDescent="0.75"/>
    <row r="897" spans="2:32" ht="15" customHeight="1" x14ac:dyDescent="0.75"/>
    <row r="898" spans="2:32" ht="15" customHeight="1" x14ac:dyDescent="0.75"/>
    <row r="899" spans="2:32" ht="15" customHeight="1" x14ac:dyDescent="0.75"/>
    <row r="900" spans="2:32" ht="15" customHeight="1" x14ac:dyDescent="0.75"/>
    <row r="901" spans="2:32" ht="15" customHeight="1" x14ac:dyDescent="0.75"/>
    <row r="902" spans="2:32" ht="15" customHeight="1" x14ac:dyDescent="0.75"/>
    <row r="903" spans="2:32" ht="15" customHeight="1" x14ac:dyDescent="0.75"/>
    <row r="904" spans="2:32" ht="15" customHeight="1" x14ac:dyDescent="0.75"/>
    <row r="905" spans="2:32" ht="15" customHeight="1" x14ac:dyDescent="0.75"/>
    <row r="906" spans="2:32" ht="12" customHeight="1" x14ac:dyDescent="0.75"/>
    <row r="907" spans="2:32" ht="15" customHeight="1" x14ac:dyDescent="0.75"/>
    <row r="908" spans="2:32" ht="15" customHeight="1" x14ac:dyDescent="0.75"/>
    <row r="909" spans="2:32" ht="15" customHeight="1" x14ac:dyDescent="0.75"/>
    <row r="910" spans="2:32" ht="15" customHeight="1" x14ac:dyDescent="0.75"/>
    <row r="911" spans="2:32" ht="15" customHeight="1" x14ac:dyDescent="0.75"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</row>
    <row r="912" spans="2:32" ht="15" customHeight="1" x14ac:dyDescent="0.75"/>
    <row r="913" customFormat="1" ht="15" customHeight="1" x14ac:dyDescent="0.75"/>
    <row r="914" customFormat="1" ht="12" customHeight="1" x14ac:dyDescent="0.75"/>
    <row r="915" customFormat="1" ht="12" customHeight="1" x14ac:dyDescent="0.75"/>
    <row r="916" customFormat="1" ht="12" customHeight="1" x14ac:dyDescent="0.75"/>
    <row r="917" customFormat="1" ht="12" customHeight="1" x14ac:dyDescent="0.75"/>
    <row r="918" customFormat="1" ht="12" customHeight="1" x14ac:dyDescent="0.75"/>
    <row r="919" customFormat="1" ht="12" customHeight="1" x14ac:dyDescent="0.75"/>
    <row r="920" customFormat="1" ht="12" customHeight="1" x14ac:dyDescent="0.75"/>
    <row r="921" customFormat="1" ht="12" customHeight="1" x14ac:dyDescent="0.75"/>
    <row r="922" customFormat="1" ht="12" customHeight="1" x14ac:dyDescent="0.75"/>
    <row r="923" customFormat="1" ht="12" customHeight="1" x14ac:dyDescent="0.75"/>
    <row r="924" customFormat="1" ht="12" customHeight="1" x14ac:dyDescent="0.75"/>
    <row r="925" customFormat="1" ht="15" customHeight="1" x14ac:dyDescent="0.75"/>
    <row r="926" customFormat="1" ht="15" customHeight="1" x14ac:dyDescent="0.75"/>
    <row r="927" customFormat="1" ht="15" customHeight="1" x14ac:dyDescent="0.75"/>
    <row r="928" customFormat="1" ht="15" customHeight="1" x14ac:dyDescent="0.75"/>
    <row r="929" customFormat="1" ht="15" customHeight="1" x14ac:dyDescent="0.75"/>
    <row r="930" customFormat="1" ht="15" customHeight="1" x14ac:dyDescent="0.75"/>
    <row r="931" customFormat="1" ht="15" customHeight="1" x14ac:dyDescent="0.75"/>
    <row r="932" customFormat="1" ht="15" customHeight="1" x14ac:dyDescent="0.75"/>
    <row r="933" customFormat="1" ht="15" customHeight="1" x14ac:dyDescent="0.75"/>
    <row r="934" customFormat="1" ht="15" customHeight="1" x14ac:dyDescent="0.75"/>
    <row r="935" customFormat="1" ht="12" customHeight="1" x14ac:dyDescent="0.75"/>
    <row r="936" customFormat="1" ht="15" customHeight="1" x14ac:dyDescent="0.75"/>
    <row r="937" customFormat="1" ht="15" customHeight="1" x14ac:dyDescent="0.75"/>
    <row r="938" customFormat="1" ht="15" customHeight="1" x14ac:dyDescent="0.75"/>
    <row r="939" customFormat="1" ht="15" customHeight="1" x14ac:dyDescent="0.75"/>
    <row r="940" customFormat="1" ht="15" customHeight="1" x14ac:dyDescent="0.75"/>
    <row r="941" customFormat="1" ht="15" customHeight="1" x14ac:dyDescent="0.75"/>
    <row r="942" customFormat="1" ht="15" customHeight="1" x14ac:dyDescent="0.75"/>
    <row r="943" customFormat="1" ht="15" customHeight="1" x14ac:dyDescent="0.75"/>
    <row r="944" customFormat="1" ht="15" customHeight="1" x14ac:dyDescent="0.75"/>
    <row r="945" customFormat="1" ht="15" customHeight="1" x14ac:dyDescent="0.75"/>
    <row r="946" customFormat="1" ht="15" customHeight="1" x14ac:dyDescent="0.75"/>
    <row r="947" customFormat="1" ht="15" customHeight="1" x14ac:dyDescent="0.75"/>
    <row r="948" customFormat="1" ht="15" customHeight="1" x14ac:dyDescent="0.75"/>
    <row r="949" customFormat="1" ht="15" customHeight="1" x14ac:dyDescent="0.75"/>
    <row r="950" customFormat="1" ht="15" customHeight="1" x14ac:dyDescent="0.75"/>
    <row r="951" customFormat="1" ht="15" customHeight="1" x14ac:dyDescent="0.75"/>
    <row r="952" customFormat="1" ht="12" customHeight="1" x14ac:dyDescent="0.75"/>
    <row r="953" customFormat="1" ht="15" customHeight="1" x14ac:dyDescent="0.75"/>
    <row r="954" customFormat="1" ht="12" customHeight="1" x14ac:dyDescent="0.75"/>
    <row r="955" customFormat="1" ht="15" customHeight="1" x14ac:dyDescent="0.75"/>
    <row r="956" customFormat="1" ht="15" customHeight="1" x14ac:dyDescent="0.75"/>
    <row r="957" customFormat="1" ht="15" customHeight="1" x14ac:dyDescent="0.75"/>
    <row r="958" customFormat="1" ht="15" customHeight="1" x14ac:dyDescent="0.75"/>
    <row r="959" customFormat="1" ht="15" customHeight="1" x14ac:dyDescent="0.75"/>
    <row r="960" customFormat="1" ht="12" customHeight="1" x14ac:dyDescent="0.75"/>
    <row r="961" customFormat="1" ht="15" customHeight="1" x14ac:dyDescent="0.75"/>
    <row r="962" customFormat="1" ht="15" customHeight="1" x14ac:dyDescent="0.75"/>
    <row r="963" customFormat="1" ht="15" customHeight="1" x14ac:dyDescent="0.75"/>
    <row r="964" customFormat="1" ht="15" customHeight="1" x14ac:dyDescent="0.75"/>
    <row r="965" customFormat="1" ht="15" customHeight="1" x14ac:dyDescent="0.75"/>
    <row r="966" customFormat="1" ht="15" customHeight="1" x14ac:dyDescent="0.75"/>
    <row r="967" customFormat="1" ht="15" customHeight="1" x14ac:dyDescent="0.75"/>
    <row r="968" customFormat="1" ht="15" customHeight="1" x14ac:dyDescent="0.75"/>
    <row r="969" customFormat="1" ht="15" customHeight="1" x14ac:dyDescent="0.75"/>
    <row r="970" customFormat="1" ht="15" customHeight="1" x14ac:dyDescent="0.75"/>
    <row r="971" customFormat="1" ht="15" customHeight="1" x14ac:dyDescent="0.75"/>
    <row r="972" customFormat="1" ht="15" customHeight="1" x14ac:dyDescent="0.75"/>
    <row r="973" customFormat="1" ht="15" customHeight="1" x14ac:dyDescent="0.75"/>
    <row r="974" customFormat="1" ht="15" customHeight="1" x14ac:dyDescent="0.75"/>
    <row r="975" customFormat="1" ht="15" customHeight="1" x14ac:dyDescent="0.75"/>
    <row r="976" customFormat="1" ht="15" customHeight="1" x14ac:dyDescent="0.75"/>
    <row r="977" customFormat="1" ht="12" customHeight="1" x14ac:dyDescent="0.75"/>
    <row r="978" customFormat="1" ht="15" customHeight="1" x14ac:dyDescent="0.75"/>
    <row r="979" customFormat="1" ht="12" customHeight="1" x14ac:dyDescent="0.75"/>
    <row r="980" customFormat="1" ht="15" customHeight="1" x14ac:dyDescent="0.75"/>
    <row r="981" customFormat="1" ht="12" customHeight="1" x14ac:dyDescent="0.75"/>
    <row r="982" customFormat="1" ht="15" customHeight="1" x14ac:dyDescent="0.75"/>
    <row r="983" customFormat="1" ht="15" customHeight="1" x14ac:dyDescent="0.75"/>
    <row r="984" customFormat="1" ht="15" customHeight="1" x14ac:dyDescent="0.75"/>
    <row r="985" customFormat="1" ht="15" customHeight="1" x14ac:dyDescent="0.75"/>
    <row r="986" customFormat="1" ht="15" customHeight="1" x14ac:dyDescent="0.75"/>
    <row r="987" customFormat="1" ht="15" customHeight="1" x14ac:dyDescent="0.75"/>
    <row r="988" customFormat="1" ht="15" customHeight="1" x14ac:dyDescent="0.75"/>
    <row r="989" customFormat="1" ht="15" customHeight="1" x14ac:dyDescent="0.75"/>
    <row r="990" customFormat="1" ht="15" customHeight="1" x14ac:dyDescent="0.75"/>
    <row r="991" customFormat="1" ht="15" customHeight="1" x14ac:dyDescent="0.75"/>
    <row r="992" customFormat="1" ht="15" customHeight="1" x14ac:dyDescent="0.75"/>
    <row r="993" spans="2:32" ht="15" customHeight="1" x14ac:dyDescent="0.75"/>
    <row r="994" spans="2:32" ht="15" customHeight="1" x14ac:dyDescent="0.75"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  <c r="AC994" s="101"/>
      <c r="AD994" s="101"/>
      <c r="AE994" s="101"/>
      <c r="AF994" s="101"/>
    </row>
    <row r="995" spans="2:32" ht="15" customHeight="1" x14ac:dyDescent="0.75"/>
    <row r="996" spans="2:32" ht="15" customHeight="1" x14ac:dyDescent="0.75"/>
    <row r="997" spans="2:32" ht="15" customHeight="1" x14ac:dyDescent="0.75"/>
    <row r="998" spans="2:32" ht="15" customHeight="1" x14ac:dyDescent="0.75"/>
    <row r="999" spans="2:32" ht="15" customHeight="1" x14ac:dyDescent="0.75"/>
    <row r="1000" spans="2:32" ht="15" customHeight="1" x14ac:dyDescent="0.75"/>
    <row r="1001" spans="2:32" ht="12" customHeight="1" x14ac:dyDescent="0.75"/>
    <row r="1002" spans="2:32" ht="12" customHeight="1" x14ac:dyDescent="0.75"/>
    <row r="1003" spans="2:32" ht="12" customHeight="1" x14ac:dyDescent="0.75"/>
    <row r="1004" spans="2:32" ht="12" customHeight="1" x14ac:dyDescent="0.75"/>
    <row r="1005" spans="2:32" ht="12" customHeight="1" x14ac:dyDescent="0.75"/>
    <row r="1006" spans="2:32" ht="12" customHeight="1" x14ac:dyDescent="0.75"/>
    <row r="1007" spans="2:32" ht="12" customHeight="1" x14ac:dyDescent="0.75"/>
    <row r="1008" spans="2:32" ht="12" customHeight="1" x14ac:dyDescent="0.75"/>
    <row r="1009" customFormat="1" ht="12" customHeight="1" x14ac:dyDescent="0.75"/>
    <row r="1010" customFormat="1" ht="12" customHeight="1" x14ac:dyDescent="0.75"/>
    <row r="1011" customFormat="1" ht="12" customHeight="1" x14ac:dyDescent="0.75"/>
    <row r="1012" customFormat="1" ht="12" customHeight="1" x14ac:dyDescent="0.75"/>
    <row r="1013" customFormat="1" ht="12" customHeight="1" x14ac:dyDescent="0.75"/>
    <row r="1014" customFormat="1" ht="12" customHeight="1" x14ac:dyDescent="0.75"/>
    <row r="1015" customFormat="1" ht="12" customHeight="1" x14ac:dyDescent="0.75"/>
    <row r="1016" customFormat="1" ht="12" customHeight="1" x14ac:dyDescent="0.75"/>
    <row r="1017" customFormat="1" ht="12" customHeight="1" x14ac:dyDescent="0.75"/>
    <row r="1018" customFormat="1" ht="12" customHeight="1" x14ac:dyDescent="0.75"/>
    <row r="1019" customFormat="1" ht="12" customHeight="1" x14ac:dyDescent="0.75"/>
    <row r="1020" customFormat="1" ht="12" customHeight="1" x14ac:dyDescent="0.75"/>
    <row r="1021" customFormat="1" ht="12" customHeight="1" x14ac:dyDescent="0.75"/>
    <row r="1022" customFormat="1" ht="12" customHeight="1" x14ac:dyDescent="0.75"/>
    <row r="1023" customFormat="1" ht="12" customHeight="1" x14ac:dyDescent="0.75"/>
    <row r="1024" customFormat="1" ht="12" customHeight="1" x14ac:dyDescent="0.75"/>
    <row r="1025" customFormat="1" ht="15" customHeight="1" x14ac:dyDescent="0.75"/>
    <row r="1026" customFormat="1" ht="15" customHeight="1" x14ac:dyDescent="0.75"/>
    <row r="1027" customFormat="1" ht="15" customHeight="1" x14ac:dyDescent="0.75"/>
    <row r="1028" customFormat="1" ht="15" customHeight="1" x14ac:dyDescent="0.75"/>
    <row r="1029" customFormat="1" ht="15" customHeight="1" x14ac:dyDescent="0.75"/>
    <row r="1030" customFormat="1" ht="15" customHeight="1" x14ac:dyDescent="0.75"/>
    <row r="1031" customFormat="1" ht="15" customHeight="1" x14ac:dyDescent="0.75"/>
    <row r="1032" customFormat="1" ht="15" customHeight="1" x14ac:dyDescent="0.75"/>
    <row r="1033" customFormat="1" ht="15" customHeight="1" x14ac:dyDescent="0.75"/>
    <row r="1034" customFormat="1" ht="15" customHeight="1" x14ac:dyDescent="0.75"/>
    <row r="1035" customFormat="1" ht="12" customHeight="1" x14ac:dyDescent="0.75"/>
    <row r="1036" customFormat="1" ht="15" customHeight="1" x14ac:dyDescent="0.75"/>
    <row r="1037" customFormat="1" ht="15" customHeight="1" x14ac:dyDescent="0.75"/>
    <row r="1038" customFormat="1" ht="15" customHeight="1" x14ac:dyDescent="0.75"/>
    <row r="1039" customFormat="1" ht="15" customHeight="1" x14ac:dyDescent="0.75"/>
    <row r="1040" customFormat="1" ht="15" customHeight="1" x14ac:dyDescent="0.75"/>
    <row r="1041" customFormat="1" ht="15" customHeight="1" x14ac:dyDescent="0.75"/>
    <row r="1042" customFormat="1" ht="15" customHeight="1" x14ac:dyDescent="0.75"/>
    <row r="1043" customFormat="1" ht="15" customHeight="1" x14ac:dyDescent="0.75"/>
    <row r="1044" customFormat="1" ht="15" customHeight="1" x14ac:dyDescent="0.75"/>
    <row r="1045" customFormat="1" ht="15" customHeight="1" x14ac:dyDescent="0.75"/>
    <row r="1046" customFormat="1" ht="15" customHeight="1" x14ac:dyDescent="0.75"/>
    <row r="1047" customFormat="1" ht="15" customHeight="1" x14ac:dyDescent="0.75"/>
    <row r="1048" customFormat="1" ht="15" customHeight="1" x14ac:dyDescent="0.75"/>
    <row r="1049" customFormat="1" ht="15" customHeight="1" x14ac:dyDescent="0.75"/>
    <row r="1050" customFormat="1" ht="15" customHeight="1" x14ac:dyDescent="0.75"/>
    <row r="1051" customFormat="1" ht="15" customHeight="1" x14ac:dyDescent="0.75"/>
    <row r="1052" customFormat="1" ht="12" customHeight="1" x14ac:dyDescent="0.75"/>
    <row r="1053" customFormat="1" ht="15" customHeight="1" x14ac:dyDescent="0.75"/>
    <row r="1054" customFormat="1" ht="15" customHeight="1" x14ac:dyDescent="0.75"/>
    <row r="1055" customFormat="1" ht="12" customHeight="1" x14ac:dyDescent="0.75"/>
    <row r="1056" customFormat="1" ht="15" customHeight="1" x14ac:dyDescent="0.75"/>
    <row r="1057" customFormat="1" ht="15" customHeight="1" x14ac:dyDescent="0.75"/>
    <row r="1058" customFormat="1" ht="15" customHeight="1" x14ac:dyDescent="0.75"/>
    <row r="1059" customFormat="1" ht="15" customHeight="1" x14ac:dyDescent="0.75"/>
    <row r="1060" customFormat="1" ht="15" customHeight="1" x14ac:dyDescent="0.75"/>
    <row r="1061" customFormat="1" ht="12" customHeight="1" x14ac:dyDescent="0.75"/>
    <row r="1062" customFormat="1" ht="15" customHeight="1" x14ac:dyDescent="0.75"/>
    <row r="1063" customFormat="1" ht="15" customHeight="1" x14ac:dyDescent="0.75"/>
    <row r="1064" customFormat="1" ht="15" customHeight="1" x14ac:dyDescent="0.75"/>
    <row r="1065" customFormat="1" ht="15" customHeight="1" x14ac:dyDescent="0.75"/>
    <row r="1066" customFormat="1" ht="15" customHeight="1" x14ac:dyDescent="0.75"/>
    <row r="1067" customFormat="1" ht="15" customHeight="1" x14ac:dyDescent="0.75"/>
    <row r="1068" customFormat="1" ht="15" customHeight="1" x14ac:dyDescent="0.75"/>
    <row r="1069" customFormat="1" ht="15" customHeight="1" x14ac:dyDescent="0.75"/>
    <row r="1070" customFormat="1" ht="15" customHeight="1" x14ac:dyDescent="0.75"/>
    <row r="1071" customFormat="1" ht="15" customHeight="1" x14ac:dyDescent="0.75"/>
    <row r="1072" customFormat="1" ht="15" customHeight="1" x14ac:dyDescent="0.75"/>
    <row r="1073" customFormat="1" ht="15" customHeight="1" x14ac:dyDescent="0.75"/>
    <row r="1074" customFormat="1" ht="15" customHeight="1" x14ac:dyDescent="0.75"/>
    <row r="1075" customFormat="1" ht="15" customHeight="1" x14ac:dyDescent="0.75"/>
    <row r="1076" customFormat="1" ht="15" customHeight="1" x14ac:dyDescent="0.75"/>
    <row r="1077" customFormat="1" ht="15" customHeight="1" x14ac:dyDescent="0.75"/>
    <row r="1078" customFormat="1" ht="12" customHeight="1" x14ac:dyDescent="0.75"/>
    <row r="1079" customFormat="1" ht="15" customHeight="1" x14ac:dyDescent="0.75"/>
    <row r="1080" customFormat="1" ht="15" customHeight="1" x14ac:dyDescent="0.75"/>
    <row r="1081" customFormat="1" ht="12" customHeight="1" x14ac:dyDescent="0.75"/>
    <row r="1082" customFormat="1" ht="15" customHeight="1" x14ac:dyDescent="0.75"/>
    <row r="1083" customFormat="1" ht="12" customHeight="1" x14ac:dyDescent="0.75"/>
    <row r="1084" customFormat="1" ht="15" customHeight="1" x14ac:dyDescent="0.75"/>
    <row r="1085" customFormat="1" ht="15" customHeight="1" x14ac:dyDescent="0.75"/>
    <row r="1086" customFormat="1" ht="15" customHeight="1" x14ac:dyDescent="0.75"/>
    <row r="1087" customFormat="1" ht="15" customHeight="1" x14ac:dyDescent="0.75"/>
    <row r="1088" customFormat="1" ht="15" customHeight="1" x14ac:dyDescent="0.75"/>
    <row r="1089" spans="2:32" ht="15" customHeight="1" x14ac:dyDescent="0.75"/>
    <row r="1090" spans="2:32" ht="15" customHeight="1" x14ac:dyDescent="0.75"/>
    <row r="1091" spans="2:32" ht="15" customHeight="1" x14ac:dyDescent="0.75"/>
    <row r="1092" spans="2:32" ht="15" customHeight="1" x14ac:dyDescent="0.75"/>
    <row r="1093" spans="2:32" ht="15" customHeight="1" x14ac:dyDescent="0.75"/>
    <row r="1094" spans="2:32" ht="15" customHeight="1" x14ac:dyDescent="0.75"/>
    <row r="1095" spans="2:32" ht="15" customHeight="1" x14ac:dyDescent="0.75"/>
    <row r="1096" spans="2:32" ht="15" customHeight="1" x14ac:dyDescent="0.75">
      <c r="B1096" s="101"/>
      <c r="C1096" s="101"/>
      <c r="D1096" s="101"/>
      <c r="E1096" s="101"/>
      <c r="F1096" s="101"/>
      <c r="G1096" s="101"/>
      <c r="H1096" s="101"/>
      <c r="I1096" s="101"/>
      <c r="J1096" s="101"/>
      <c r="K1096" s="101"/>
      <c r="L1096" s="101"/>
      <c r="M1096" s="101"/>
      <c r="N1096" s="101"/>
      <c r="O1096" s="101"/>
      <c r="P1096" s="101"/>
      <c r="Q1096" s="101"/>
      <c r="R1096" s="101"/>
      <c r="S1096" s="101"/>
      <c r="T1096" s="101"/>
      <c r="U1096" s="101"/>
      <c r="V1096" s="101"/>
      <c r="W1096" s="101"/>
      <c r="X1096" s="101"/>
      <c r="Y1096" s="101"/>
      <c r="Z1096" s="101"/>
      <c r="AA1096" s="101"/>
      <c r="AB1096" s="101"/>
      <c r="AC1096" s="101"/>
      <c r="AD1096" s="101"/>
      <c r="AE1096" s="101"/>
      <c r="AF1096" s="101"/>
    </row>
    <row r="1097" spans="2:32" ht="15" customHeight="1" x14ac:dyDescent="0.75"/>
    <row r="1098" spans="2:32" ht="15" customHeight="1" x14ac:dyDescent="0.75"/>
    <row r="1099" spans="2:32" ht="15" customHeight="1" x14ac:dyDescent="0.75"/>
    <row r="1100" spans="2:32" ht="15" customHeight="1" x14ac:dyDescent="0.75"/>
    <row r="1101" spans="2:32" ht="15" customHeight="1" x14ac:dyDescent="0.75"/>
    <row r="1102" spans="2:32" ht="15" customHeight="1" x14ac:dyDescent="0.75"/>
    <row r="1103" spans="2:32" ht="12" customHeight="1" x14ac:dyDescent="0.75"/>
    <row r="1104" spans="2:32" ht="12" customHeight="1" x14ac:dyDescent="0.75"/>
    <row r="1105" customFormat="1" ht="12" customHeight="1" x14ac:dyDescent="0.75"/>
    <row r="1106" customFormat="1" ht="12" customHeight="1" x14ac:dyDescent="0.75"/>
    <row r="1107" customFormat="1" ht="12" customHeight="1" x14ac:dyDescent="0.75"/>
    <row r="1108" customFormat="1" ht="12" customHeight="1" x14ac:dyDescent="0.75"/>
    <row r="1109" customFormat="1" ht="12" customHeight="1" x14ac:dyDescent="0.75"/>
    <row r="1110" customFormat="1" ht="12" customHeight="1" x14ac:dyDescent="0.75"/>
    <row r="1111" customFormat="1" ht="12" customHeight="1" x14ac:dyDescent="0.75"/>
    <row r="1112" customFormat="1" ht="12" customHeight="1" x14ac:dyDescent="0.75"/>
    <row r="1113" customFormat="1" ht="12" customHeight="1" x14ac:dyDescent="0.75"/>
    <row r="1114" customFormat="1" ht="12" customHeight="1" x14ac:dyDescent="0.75"/>
    <row r="1115" customFormat="1" ht="12" customHeight="1" x14ac:dyDescent="0.75"/>
    <row r="1116" customFormat="1" ht="12" customHeight="1" x14ac:dyDescent="0.75"/>
    <row r="1117" customFormat="1" ht="12" customHeight="1" x14ac:dyDescent="0.75"/>
    <row r="1118" customFormat="1" ht="12" customHeight="1" x14ac:dyDescent="0.75"/>
    <row r="1119" customFormat="1" ht="12" customHeight="1" x14ac:dyDescent="0.75"/>
    <row r="1120" customFormat="1" ht="12" customHeight="1" x14ac:dyDescent="0.75"/>
    <row r="1121" customFormat="1" ht="12" customHeight="1" x14ac:dyDescent="0.75"/>
    <row r="1122" customFormat="1" ht="12" customHeight="1" x14ac:dyDescent="0.75"/>
    <row r="1123" customFormat="1" ht="12" customHeight="1" x14ac:dyDescent="0.75"/>
    <row r="1124" customFormat="1" ht="12" customHeight="1" x14ac:dyDescent="0.75"/>
    <row r="1125" customFormat="1" ht="15" customHeight="1" x14ac:dyDescent="0.75"/>
    <row r="1126" customFormat="1" ht="15" customHeight="1" x14ac:dyDescent="0.75"/>
    <row r="1127" customFormat="1" ht="15" customHeight="1" x14ac:dyDescent="0.75"/>
    <row r="1128" customFormat="1" ht="15" customHeight="1" x14ac:dyDescent="0.75"/>
    <row r="1129" customFormat="1" ht="15" customHeight="1" x14ac:dyDescent="0.75"/>
    <row r="1130" customFormat="1" ht="15" customHeight="1" x14ac:dyDescent="0.75"/>
    <row r="1131" customFormat="1" ht="15" customHeight="1" x14ac:dyDescent="0.75"/>
    <row r="1132" customFormat="1" ht="15" customHeight="1" x14ac:dyDescent="0.75"/>
    <row r="1133" customFormat="1" ht="15" customHeight="1" x14ac:dyDescent="0.75"/>
    <row r="1134" customFormat="1" ht="15" customHeight="1" x14ac:dyDescent="0.75"/>
    <row r="1135" customFormat="1" ht="12" customHeight="1" x14ac:dyDescent="0.75"/>
    <row r="1136" customFormat="1" ht="15" customHeight="1" x14ac:dyDescent="0.75"/>
    <row r="1137" customFormat="1" ht="15" customHeight="1" x14ac:dyDescent="0.75"/>
    <row r="1138" customFormat="1" ht="15" customHeight="1" x14ac:dyDescent="0.75"/>
    <row r="1139" customFormat="1" ht="15" customHeight="1" x14ac:dyDescent="0.75"/>
    <row r="1140" customFormat="1" ht="15" customHeight="1" x14ac:dyDescent="0.75"/>
    <row r="1141" customFormat="1" ht="15" customHeight="1" x14ac:dyDescent="0.75"/>
    <row r="1142" customFormat="1" ht="15" customHeight="1" x14ac:dyDescent="0.75"/>
    <row r="1143" customFormat="1" ht="15" customHeight="1" x14ac:dyDescent="0.75"/>
    <row r="1144" customFormat="1" ht="15" customHeight="1" x14ac:dyDescent="0.75"/>
    <row r="1145" customFormat="1" ht="15" customHeight="1" x14ac:dyDescent="0.75"/>
    <row r="1146" customFormat="1" ht="15" customHeight="1" x14ac:dyDescent="0.75"/>
    <row r="1147" customFormat="1" ht="15" customHeight="1" x14ac:dyDescent="0.75"/>
    <row r="1148" customFormat="1" ht="15" customHeight="1" x14ac:dyDescent="0.75"/>
    <row r="1149" customFormat="1" ht="15" customHeight="1" x14ac:dyDescent="0.75"/>
    <row r="1150" customFormat="1" ht="15" customHeight="1" x14ac:dyDescent="0.75"/>
    <row r="1151" customFormat="1" ht="15" customHeight="1" x14ac:dyDescent="0.75"/>
    <row r="1152" customFormat="1" ht="12" customHeight="1" x14ac:dyDescent="0.75"/>
    <row r="1153" customFormat="1" ht="15" customHeight="1" x14ac:dyDescent="0.75"/>
    <row r="1154" customFormat="1" ht="12" customHeight="1" x14ac:dyDescent="0.75"/>
    <row r="1155" customFormat="1" ht="15" customHeight="1" x14ac:dyDescent="0.75"/>
    <row r="1156" customFormat="1" ht="15" customHeight="1" x14ac:dyDescent="0.75"/>
    <row r="1157" customFormat="1" ht="15" customHeight="1" x14ac:dyDescent="0.75"/>
    <row r="1158" customFormat="1" ht="15" customHeight="1" x14ac:dyDescent="0.75"/>
    <row r="1159" customFormat="1" ht="15" customHeight="1" x14ac:dyDescent="0.75"/>
    <row r="1160" customFormat="1" ht="12" customHeight="1" x14ac:dyDescent="0.75"/>
    <row r="1161" customFormat="1" ht="15" customHeight="1" x14ac:dyDescent="0.75"/>
    <row r="1162" customFormat="1" ht="15" customHeight="1" x14ac:dyDescent="0.75"/>
    <row r="1163" customFormat="1" ht="15" customHeight="1" x14ac:dyDescent="0.75"/>
    <row r="1164" customFormat="1" ht="15" customHeight="1" x14ac:dyDescent="0.75"/>
    <row r="1165" customFormat="1" ht="15" customHeight="1" x14ac:dyDescent="0.75"/>
    <row r="1166" customFormat="1" ht="15" customHeight="1" x14ac:dyDescent="0.75"/>
    <row r="1167" customFormat="1" ht="15" customHeight="1" x14ac:dyDescent="0.75"/>
    <row r="1168" customFormat="1" ht="15" customHeight="1" x14ac:dyDescent="0.75"/>
    <row r="1169" customFormat="1" ht="15" customHeight="1" x14ac:dyDescent="0.75"/>
    <row r="1170" customFormat="1" ht="15" customHeight="1" x14ac:dyDescent="0.75"/>
    <row r="1171" customFormat="1" ht="15" customHeight="1" x14ac:dyDescent="0.75"/>
    <row r="1172" customFormat="1" ht="15" customHeight="1" x14ac:dyDescent="0.75"/>
    <row r="1173" customFormat="1" ht="15" customHeight="1" x14ac:dyDescent="0.75"/>
    <row r="1174" customFormat="1" ht="15" customHeight="1" x14ac:dyDescent="0.75"/>
    <row r="1175" customFormat="1" ht="15" customHeight="1" x14ac:dyDescent="0.75"/>
    <row r="1176" customFormat="1" ht="15" customHeight="1" x14ac:dyDescent="0.75"/>
    <row r="1177" customFormat="1" ht="12" customHeight="1" x14ac:dyDescent="0.75"/>
    <row r="1178" customFormat="1" ht="15" customHeight="1" x14ac:dyDescent="0.75"/>
    <row r="1179" customFormat="1" ht="12" customHeight="1" x14ac:dyDescent="0.75"/>
    <row r="1180" customFormat="1" ht="15" customHeight="1" x14ac:dyDescent="0.75"/>
    <row r="1181" customFormat="1" ht="12" customHeight="1" x14ac:dyDescent="0.75"/>
    <row r="1182" customFormat="1" ht="15" customHeight="1" x14ac:dyDescent="0.75"/>
    <row r="1183" customFormat="1" ht="15" customHeight="1" x14ac:dyDescent="0.75"/>
    <row r="1184" customFormat="1" ht="15" customHeight="1" x14ac:dyDescent="0.75"/>
    <row r="1185" spans="2:32" ht="15" customHeight="1" x14ac:dyDescent="0.75"/>
    <row r="1186" spans="2:32" ht="15" customHeight="1" x14ac:dyDescent="0.75"/>
    <row r="1187" spans="2:32" ht="15" customHeight="1" x14ac:dyDescent="0.75"/>
    <row r="1188" spans="2:32" ht="15" customHeight="1" x14ac:dyDescent="0.75"/>
    <row r="1189" spans="2:32" ht="15" customHeight="1" x14ac:dyDescent="0.75"/>
    <row r="1190" spans="2:32" ht="15" customHeight="1" x14ac:dyDescent="0.75"/>
    <row r="1191" spans="2:32" ht="15" customHeight="1" x14ac:dyDescent="0.75"/>
    <row r="1192" spans="2:32" ht="15" customHeight="1" x14ac:dyDescent="0.75"/>
    <row r="1193" spans="2:32" ht="15" customHeight="1" x14ac:dyDescent="0.75"/>
    <row r="1194" spans="2:32" ht="15" customHeight="1" x14ac:dyDescent="0.75">
      <c r="B1194" s="101"/>
      <c r="C1194" s="101"/>
      <c r="D1194" s="101"/>
      <c r="E1194" s="101"/>
      <c r="F1194" s="101"/>
      <c r="G1194" s="101"/>
      <c r="H1194" s="101"/>
      <c r="I1194" s="101"/>
      <c r="J1194" s="101"/>
      <c r="K1194" s="101"/>
      <c r="L1194" s="101"/>
      <c r="M1194" s="101"/>
      <c r="N1194" s="101"/>
      <c r="O1194" s="101"/>
      <c r="P1194" s="101"/>
      <c r="Q1194" s="101"/>
      <c r="R1194" s="101"/>
      <c r="S1194" s="101"/>
      <c r="T1194" s="101"/>
      <c r="U1194" s="101"/>
      <c r="V1194" s="101"/>
      <c r="W1194" s="101"/>
      <c r="X1194" s="101"/>
      <c r="Y1194" s="101"/>
      <c r="Z1194" s="101"/>
      <c r="AA1194" s="101"/>
      <c r="AB1194" s="101"/>
      <c r="AC1194" s="101"/>
      <c r="AD1194" s="101"/>
      <c r="AE1194" s="101"/>
      <c r="AF1194" s="101"/>
    </row>
    <row r="1195" spans="2:32" ht="15" customHeight="1" x14ac:dyDescent="0.75"/>
    <row r="1196" spans="2:32" ht="15" customHeight="1" x14ac:dyDescent="0.75"/>
    <row r="1197" spans="2:32" ht="15" customHeight="1" x14ac:dyDescent="0.75"/>
    <row r="1198" spans="2:32" ht="15" customHeight="1" x14ac:dyDescent="0.75"/>
    <row r="1199" spans="2:32" ht="15" customHeight="1" x14ac:dyDescent="0.75"/>
    <row r="1200" spans="2:32" ht="15" customHeight="1" x14ac:dyDescent="0.75"/>
    <row r="1201" customFormat="1" ht="12" customHeight="1" x14ac:dyDescent="0.75"/>
    <row r="1202" customFormat="1" ht="12" customHeight="1" x14ac:dyDescent="0.75"/>
    <row r="1203" customFormat="1" ht="12" customHeight="1" x14ac:dyDescent="0.75"/>
    <row r="1204" customFormat="1" ht="12" customHeight="1" x14ac:dyDescent="0.75"/>
    <row r="1205" customFormat="1" ht="12" customHeight="1" x14ac:dyDescent="0.75"/>
    <row r="1206" customFormat="1" ht="12" customHeight="1" x14ac:dyDescent="0.75"/>
    <row r="1207" customFormat="1" ht="12" customHeight="1" x14ac:dyDescent="0.75"/>
    <row r="1208" customFormat="1" ht="12" customHeight="1" x14ac:dyDescent="0.75"/>
    <row r="1209" customFormat="1" ht="12" customHeight="1" x14ac:dyDescent="0.75"/>
    <row r="1210" customFormat="1" ht="12" customHeight="1" x14ac:dyDescent="0.75"/>
    <row r="1211" customFormat="1" ht="12" customHeight="1" x14ac:dyDescent="0.75"/>
    <row r="1212" customFormat="1" ht="12" customHeight="1" x14ac:dyDescent="0.75"/>
    <row r="1213" customFormat="1" ht="12" customHeight="1" x14ac:dyDescent="0.75"/>
    <row r="1214" customFormat="1" ht="12" customHeight="1" x14ac:dyDescent="0.75"/>
    <row r="1215" customFormat="1" ht="12" customHeight="1" x14ac:dyDescent="0.75"/>
    <row r="1216" customFormat="1" ht="12" customHeight="1" x14ac:dyDescent="0.75"/>
    <row r="1217" customFormat="1" ht="12" customHeight="1" x14ac:dyDescent="0.75"/>
    <row r="1218" customFormat="1" ht="12" customHeight="1" x14ac:dyDescent="0.75"/>
    <row r="1219" customFormat="1" ht="12" customHeight="1" x14ac:dyDescent="0.75"/>
    <row r="1220" customFormat="1" ht="12" customHeight="1" x14ac:dyDescent="0.75"/>
    <row r="1221" customFormat="1" ht="12" customHeight="1" x14ac:dyDescent="0.75"/>
    <row r="1222" customFormat="1" ht="12" customHeight="1" x14ac:dyDescent="0.75"/>
    <row r="1223" customFormat="1" ht="12" customHeight="1" x14ac:dyDescent="0.75"/>
    <row r="1224" customFormat="1" ht="12" customHeight="1" x14ac:dyDescent="0.75"/>
    <row r="1225" customFormat="1" ht="15" customHeight="1" x14ac:dyDescent="0.75"/>
    <row r="1226" customFormat="1" ht="15" customHeight="1" x14ac:dyDescent="0.75"/>
    <row r="1227" customFormat="1" ht="15" customHeight="1" x14ac:dyDescent="0.75"/>
    <row r="1228" customFormat="1" ht="15" customHeight="1" x14ac:dyDescent="0.75"/>
    <row r="1229" customFormat="1" ht="15" customHeight="1" x14ac:dyDescent="0.75"/>
    <row r="1230" customFormat="1" ht="15" customHeight="1" x14ac:dyDescent="0.75"/>
    <row r="1231" customFormat="1" ht="15" customHeight="1" x14ac:dyDescent="0.75"/>
    <row r="1232" customFormat="1" ht="15" customHeight="1" x14ac:dyDescent="0.75"/>
    <row r="1233" customFormat="1" ht="15" customHeight="1" x14ac:dyDescent="0.75"/>
    <row r="1234" customFormat="1" ht="15" customHeight="1" x14ac:dyDescent="0.75"/>
    <row r="1235" customFormat="1" ht="12" customHeight="1" x14ac:dyDescent="0.75"/>
    <row r="1236" customFormat="1" ht="15" customHeight="1" x14ac:dyDescent="0.75"/>
    <row r="1237" customFormat="1" ht="15" customHeight="1" x14ac:dyDescent="0.75"/>
    <row r="1238" customFormat="1" ht="15" customHeight="1" x14ac:dyDescent="0.75"/>
    <row r="1239" customFormat="1" ht="15" customHeight="1" x14ac:dyDescent="0.75"/>
    <row r="1240" customFormat="1" ht="15" customHeight="1" x14ac:dyDescent="0.75"/>
    <row r="1241" customFormat="1" ht="15" customHeight="1" x14ac:dyDescent="0.75"/>
    <row r="1242" customFormat="1" ht="15" customHeight="1" x14ac:dyDescent="0.75"/>
    <row r="1243" customFormat="1" ht="15" customHeight="1" x14ac:dyDescent="0.75"/>
    <row r="1244" customFormat="1" ht="15" customHeight="1" x14ac:dyDescent="0.75"/>
    <row r="1245" customFormat="1" ht="15" customHeight="1" x14ac:dyDescent="0.75"/>
    <row r="1246" customFormat="1" ht="15" customHeight="1" x14ac:dyDescent="0.75"/>
    <row r="1247" customFormat="1" ht="15" customHeight="1" x14ac:dyDescent="0.75"/>
    <row r="1248" customFormat="1" ht="15" customHeight="1" x14ac:dyDescent="0.75"/>
    <row r="1249" customFormat="1" ht="15" customHeight="1" x14ac:dyDescent="0.75"/>
    <row r="1250" customFormat="1" ht="15" customHeight="1" x14ac:dyDescent="0.75"/>
    <row r="1251" customFormat="1" ht="15" customHeight="1" x14ac:dyDescent="0.75"/>
    <row r="1252" customFormat="1" ht="12" customHeight="1" x14ac:dyDescent="0.75"/>
    <row r="1253" customFormat="1" ht="15" customHeight="1" x14ac:dyDescent="0.75"/>
    <row r="1254" customFormat="1" ht="12" customHeight="1" x14ac:dyDescent="0.75"/>
    <row r="1255" customFormat="1" ht="15" customHeight="1" x14ac:dyDescent="0.75"/>
    <row r="1256" customFormat="1" ht="15" customHeight="1" x14ac:dyDescent="0.75"/>
    <row r="1257" customFormat="1" ht="15" customHeight="1" x14ac:dyDescent="0.75"/>
    <row r="1258" customFormat="1" ht="15" customHeight="1" x14ac:dyDescent="0.75"/>
    <row r="1259" customFormat="1" ht="15" customHeight="1" x14ac:dyDescent="0.75"/>
    <row r="1260" customFormat="1" ht="12" customHeight="1" x14ac:dyDescent="0.75"/>
    <row r="1261" customFormat="1" ht="15" customHeight="1" x14ac:dyDescent="0.75"/>
    <row r="1262" customFormat="1" ht="15" customHeight="1" x14ac:dyDescent="0.75"/>
    <row r="1263" customFormat="1" ht="15" customHeight="1" x14ac:dyDescent="0.75"/>
    <row r="1264" customFormat="1" ht="15" customHeight="1" x14ac:dyDescent="0.75"/>
    <row r="1265" customFormat="1" ht="15" customHeight="1" x14ac:dyDescent="0.75"/>
    <row r="1266" customFormat="1" ht="15" customHeight="1" x14ac:dyDescent="0.75"/>
    <row r="1267" customFormat="1" ht="15" customHeight="1" x14ac:dyDescent="0.75"/>
    <row r="1268" customFormat="1" ht="15" customHeight="1" x14ac:dyDescent="0.75"/>
    <row r="1269" customFormat="1" ht="15" customHeight="1" x14ac:dyDescent="0.75"/>
    <row r="1270" customFormat="1" ht="15" customHeight="1" x14ac:dyDescent="0.75"/>
    <row r="1271" customFormat="1" ht="15" customHeight="1" x14ac:dyDescent="0.75"/>
    <row r="1272" customFormat="1" ht="15" customHeight="1" x14ac:dyDescent="0.75"/>
    <row r="1273" customFormat="1" ht="15" customHeight="1" x14ac:dyDescent="0.75"/>
    <row r="1274" customFormat="1" ht="15" customHeight="1" x14ac:dyDescent="0.75"/>
    <row r="1275" customFormat="1" ht="15" customHeight="1" x14ac:dyDescent="0.75"/>
    <row r="1276" customFormat="1" ht="15" customHeight="1" x14ac:dyDescent="0.75"/>
    <row r="1277" customFormat="1" ht="12" customHeight="1" x14ac:dyDescent="0.75"/>
    <row r="1278" customFormat="1" ht="15" customHeight="1" x14ac:dyDescent="0.75"/>
    <row r="1279" customFormat="1" ht="12" customHeight="1" x14ac:dyDescent="0.75"/>
    <row r="1280" customFormat="1" ht="15" customHeight="1" x14ac:dyDescent="0.75"/>
    <row r="1281" spans="2:32" ht="12" customHeight="1" x14ac:dyDescent="0.75"/>
    <row r="1282" spans="2:32" ht="15" customHeight="1" x14ac:dyDescent="0.75"/>
    <row r="1283" spans="2:32" ht="15" customHeight="1" x14ac:dyDescent="0.75"/>
    <row r="1284" spans="2:32" ht="15" customHeight="1" x14ac:dyDescent="0.75"/>
    <row r="1285" spans="2:32" ht="15" customHeight="1" x14ac:dyDescent="0.75"/>
    <row r="1286" spans="2:32" ht="15" customHeight="1" x14ac:dyDescent="0.75"/>
    <row r="1287" spans="2:32" ht="15" customHeight="1" x14ac:dyDescent="0.75"/>
    <row r="1288" spans="2:32" ht="15" customHeight="1" x14ac:dyDescent="0.75"/>
    <row r="1289" spans="2:32" ht="15" customHeight="1" x14ac:dyDescent="0.75"/>
    <row r="1290" spans="2:32" ht="15" customHeight="1" x14ac:dyDescent="0.75"/>
    <row r="1291" spans="2:32" ht="15" customHeight="1" x14ac:dyDescent="0.75"/>
    <row r="1292" spans="2:32" ht="15" customHeight="1" x14ac:dyDescent="0.75"/>
    <row r="1293" spans="2:32" ht="15" customHeight="1" x14ac:dyDescent="0.75"/>
    <row r="1294" spans="2:32" ht="15" customHeight="1" x14ac:dyDescent="0.75">
      <c r="B1294" s="101"/>
      <c r="C1294" s="101"/>
      <c r="D1294" s="101"/>
      <c r="E1294" s="101"/>
      <c r="F1294" s="101"/>
      <c r="G1294" s="101"/>
      <c r="H1294" s="101"/>
      <c r="I1294" s="101"/>
      <c r="J1294" s="101"/>
      <c r="K1294" s="101"/>
      <c r="L1294" s="101"/>
      <c r="M1294" s="101"/>
      <c r="N1294" s="101"/>
      <c r="O1294" s="101"/>
      <c r="P1294" s="101"/>
      <c r="Q1294" s="101"/>
      <c r="R1294" s="101"/>
      <c r="S1294" s="101"/>
      <c r="T1294" s="101"/>
      <c r="U1294" s="101"/>
      <c r="V1294" s="101"/>
      <c r="W1294" s="101"/>
      <c r="X1294" s="101"/>
      <c r="Y1294" s="101"/>
      <c r="Z1294" s="101"/>
      <c r="AA1294" s="101"/>
      <c r="AB1294" s="101"/>
      <c r="AC1294" s="101"/>
      <c r="AD1294" s="101"/>
      <c r="AE1294" s="101"/>
      <c r="AF1294" s="101"/>
    </row>
    <row r="1295" spans="2:32" ht="15" customHeight="1" x14ac:dyDescent="0.75"/>
    <row r="1296" spans="2:32" ht="15" customHeight="1" x14ac:dyDescent="0.75"/>
    <row r="1297" customFormat="1" ht="15" customHeight="1" x14ac:dyDescent="0.75"/>
    <row r="1298" customFormat="1" ht="15" customHeight="1" x14ac:dyDescent="0.75"/>
    <row r="1299" customFormat="1" ht="15" customHeight="1" x14ac:dyDescent="0.75"/>
    <row r="1300" customFormat="1" ht="15" customHeight="1" x14ac:dyDescent="0.75"/>
    <row r="1301" customFormat="1" ht="12" customHeight="1" x14ac:dyDescent="0.75"/>
    <row r="1302" customFormat="1" ht="12" customHeight="1" x14ac:dyDescent="0.75"/>
    <row r="1303" customFormat="1" ht="12" customHeight="1" x14ac:dyDescent="0.75"/>
    <row r="1304" customFormat="1" ht="12" customHeight="1" x14ac:dyDescent="0.75"/>
    <row r="1305" customFormat="1" ht="12" customHeight="1" x14ac:dyDescent="0.75"/>
    <row r="1306" customFormat="1" ht="12" customHeight="1" x14ac:dyDescent="0.75"/>
    <row r="1307" customFormat="1" ht="12" customHeight="1" x14ac:dyDescent="0.75"/>
    <row r="1308" customFormat="1" ht="12" customHeight="1" x14ac:dyDescent="0.75"/>
    <row r="1309" customFormat="1" ht="12" customHeight="1" x14ac:dyDescent="0.75"/>
    <row r="1310" customFormat="1" ht="12" customHeight="1" x14ac:dyDescent="0.75"/>
    <row r="1311" customFormat="1" ht="12" customHeight="1" x14ac:dyDescent="0.75"/>
    <row r="1312" customFormat="1" ht="12" customHeight="1" x14ac:dyDescent="0.75"/>
    <row r="1313" customFormat="1" ht="12" customHeight="1" x14ac:dyDescent="0.75"/>
    <row r="1314" customFormat="1" ht="12" customHeight="1" x14ac:dyDescent="0.75"/>
    <row r="1315" customFormat="1" ht="12" customHeight="1" x14ac:dyDescent="0.75"/>
    <row r="1316" customFormat="1" ht="12" customHeight="1" x14ac:dyDescent="0.75"/>
    <row r="1317" customFormat="1" ht="12" customHeight="1" x14ac:dyDescent="0.75"/>
    <row r="1318" customFormat="1" ht="12" customHeight="1" x14ac:dyDescent="0.75"/>
    <row r="1319" customFormat="1" ht="12" customHeight="1" x14ac:dyDescent="0.75"/>
    <row r="1320" customFormat="1" ht="12" customHeight="1" x14ac:dyDescent="0.75"/>
    <row r="1321" customFormat="1" ht="12" customHeight="1" x14ac:dyDescent="0.75"/>
    <row r="1322" customFormat="1" ht="12" customHeight="1" x14ac:dyDescent="0.75"/>
    <row r="1323" customFormat="1" ht="12" customHeight="1" x14ac:dyDescent="0.75"/>
    <row r="1324" customFormat="1" ht="12" customHeight="1" x14ac:dyDescent="0.75"/>
    <row r="1325" customFormat="1" ht="15" customHeight="1" x14ac:dyDescent="0.75"/>
    <row r="1326" customFormat="1" ht="15" customHeight="1" x14ac:dyDescent="0.75"/>
    <row r="1327" customFormat="1" ht="15" customHeight="1" x14ac:dyDescent="0.75"/>
    <row r="1328" customFormat="1" ht="15" customHeight="1" x14ac:dyDescent="0.75"/>
    <row r="1329" customFormat="1" ht="15" customHeight="1" x14ac:dyDescent="0.75"/>
    <row r="1330" customFormat="1" ht="15" customHeight="1" x14ac:dyDescent="0.75"/>
    <row r="1331" customFormat="1" ht="12" customHeight="1" x14ac:dyDescent="0.75"/>
    <row r="1332" customFormat="1" ht="15" customHeight="1" x14ac:dyDescent="0.75"/>
    <row r="1333" customFormat="1" ht="15" customHeight="1" x14ac:dyDescent="0.75"/>
    <row r="1334" customFormat="1" ht="15" customHeight="1" x14ac:dyDescent="0.75"/>
    <row r="1335" customFormat="1" ht="12" customHeight="1" x14ac:dyDescent="0.75"/>
    <row r="1336" customFormat="1" ht="15" customHeight="1" x14ac:dyDescent="0.75"/>
    <row r="1337" customFormat="1" ht="15" customHeight="1" x14ac:dyDescent="0.75"/>
    <row r="1338" customFormat="1" ht="15" customHeight="1" x14ac:dyDescent="0.75"/>
    <row r="1339" customFormat="1" ht="15" customHeight="1" x14ac:dyDescent="0.75"/>
    <row r="1340" customFormat="1" ht="15" customHeight="1" x14ac:dyDescent="0.75"/>
    <row r="1341" customFormat="1" ht="15" customHeight="1" x14ac:dyDescent="0.75"/>
    <row r="1342" customFormat="1" ht="15" customHeight="1" x14ac:dyDescent="0.75"/>
    <row r="1343" customFormat="1" ht="15" customHeight="1" x14ac:dyDescent="0.75"/>
    <row r="1344" customFormat="1" ht="15" customHeight="1" x14ac:dyDescent="0.75"/>
    <row r="1345" customFormat="1" ht="15" customHeight="1" x14ac:dyDescent="0.75"/>
    <row r="1346" customFormat="1" ht="15" customHeight="1" x14ac:dyDescent="0.75"/>
    <row r="1347" customFormat="1" ht="15" customHeight="1" x14ac:dyDescent="0.75"/>
    <row r="1348" customFormat="1" ht="15" customHeight="1" x14ac:dyDescent="0.75"/>
    <row r="1349" customFormat="1" ht="15" customHeight="1" x14ac:dyDescent="0.75"/>
    <row r="1350" customFormat="1" ht="15" customHeight="1" x14ac:dyDescent="0.75"/>
    <row r="1351" customFormat="1" ht="15" customHeight="1" x14ac:dyDescent="0.75"/>
    <row r="1352" customFormat="1" ht="15" customHeight="1" x14ac:dyDescent="0.75"/>
    <row r="1353" customFormat="1" ht="15" customHeight="1" x14ac:dyDescent="0.75"/>
    <row r="1354" customFormat="1" ht="12" customHeight="1" x14ac:dyDescent="0.75"/>
    <row r="1355" customFormat="1" ht="15" customHeight="1" x14ac:dyDescent="0.75"/>
    <row r="1356" customFormat="1" ht="15" customHeight="1" x14ac:dyDescent="0.75"/>
    <row r="1357" customFormat="1" ht="15" customHeight="1" x14ac:dyDescent="0.75"/>
    <row r="1358" customFormat="1" ht="15" customHeight="1" x14ac:dyDescent="0.75"/>
    <row r="1359" customFormat="1" ht="15" customHeight="1" x14ac:dyDescent="0.75"/>
    <row r="1360" customFormat="1" ht="15" customHeight="1" x14ac:dyDescent="0.75"/>
    <row r="1361" customFormat="1" ht="15" customHeight="1" x14ac:dyDescent="0.75"/>
    <row r="1362" customFormat="1" ht="15" customHeight="1" x14ac:dyDescent="0.75"/>
    <row r="1363" customFormat="1" ht="15" customHeight="1" x14ac:dyDescent="0.75"/>
    <row r="1364" customFormat="1" ht="15" customHeight="1" x14ac:dyDescent="0.75"/>
    <row r="1365" customFormat="1" ht="15" customHeight="1" x14ac:dyDescent="0.75"/>
    <row r="1366" customFormat="1" ht="15" customHeight="1" x14ac:dyDescent="0.75"/>
    <row r="1367" customFormat="1" ht="15" customHeight="1" x14ac:dyDescent="0.75"/>
    <row r="1368" customFormat="1" ht="15" customHeight="1" x14ac:dyDescent="0.75"/>
    <row r="1369" customFormat="1" ht="15" customHeight="1" x14ac:dyDescent="0.75"/>
    <row r="1370" customFormat="1" ht="15" customHeight="1" x14ac:dyDescent="0.75"/>
    <row r="1371" customFormat="1" ht="15" customHeight="1" x14ac:dyDescent="0.75"/>
    <row r="1372" customFormat="1" ht="15" customHeight="1" x14ac:dyDescent="0.75"/>
    <row r="1373" customFormat="1" ht="15" customHeight="1" x14ac:dyDescent="0.75"/>
    <row r="1374" customFormat="1" ht="15" customHeight="1" x14ac:dyDescent="0.75"/>
    <row r="1375" customFormat="1" ht="15" customHeight="1" x14ac:dyDescent="0.75"/>
    <row r="1376" customFormat="1" ht="15" customHeight="1" x14ac:dyDescent="0.75"/>
    <row r="1377" customFormat="1" ht="15" customHeight="1" x14ac:dyDescent="0.75"/>
    <row r="1378" customFormat="1" ht="15" customHeight="1" x14ac:dyDescent="0.75"/>
    <row r="1379" customFormat="1" ht="15" customHeight="1" x14ac:dyDescent="0.75"/>
    <row r="1380" customFormat="1" ht="15" customHeight="1" x14ac:dyDescent="0.75"/>
    <row r="1381" customFormat="1" ht="15" customHeight="1" x14ac:dyDescent="0.75"/>
    <row r="1382" customFormat="1" ht="15" customHeight="1" x14ac:dyDescent="0.75"/>
    <row r="1383" customFormat="1" ht="15" customHeight="1" x14ac:dyDescent="0.75"/>
    <row r="1384" customFormat="1" ht="15" customHeight="1" x14ac:dyDescent="0.75"/>
    <row r="1385" customFormat="1" ht="15" customHeight="1" x14ac:dyDescent="0.75"/>
    <row r="1386" customFormat="1" ht="15" customHeight="1" x14ac:dyDescent="0.75"/>
    <row r="1387" customFormat="1" ht="15" customHeight="1" x14ac:dyDescent="0.75"/>
    <row r="1388" customFormat="1" ht="15" customHeight="1" x14ac:dyDescent="0.75"/>
    <row r="1389" customFormat="1" ht="15" customHeight="1" x14ac:dyDescent="0.75"/>
    <row r="1390" customFormat="1" ht="15" customHeight="1" x14ac:dyDescent="0.75"/>
    <row r="1391" customFormat="1" ht="15" customHeight="1" x14ac:dyDescent="0.75"/>
    <row r="1392" customFormat="1" ht="15" customHeight="1" x14ac:dyDescent="0.75"/>
    <row r="1393" customFormat="1" ht="15" customHeight="1" x14ac:dyDescent="0.75"/>
    <row r="1394" customFormat="1" ht="12" customHeight="1" x14ac:dyDescent="0.75"/>
    <row r="1395" customFormat="1" ht="15" customHeight="1" x14ac:dyDescent="0.75"/>
    <row r="1396" customFormat="1" ht="15" customHeight="1" x14ac:dyDescent="0.75"/>
    <row r="1397" customFormat="1" ht="15" customHeight="1" x14ac:dyDescent="0.75"/>
    <row r="1398" customFormat="1" ht="15" customHeight="1" x14ac:dyDescent="0.75"/>
    <row r="1399" customFormat="1" ht="15" customHeight="1" x14ac:dyDescent="0.75"/>
    <row r="1400" customFormat="1" ht="15" customHeight="1" x14ac:dyDescent="0.75"/>
    <row r="1401" customFormat="1" ht="15" customHeight="1" x14ac:dyDescent="0.75"/>
    <row r="1402" customFormat="1" ht="15" customHeight="1" x14ac:dyDescent="0.75"/>
    <row r="1403" customFormat="1" ht="15" customHeight="1" x14ac:dyDescent="0.75"/>
    <row r="1404" customFormat="1" ht="15" customHeight="1" x14ac:dyDescent="0.75"/>
    <row r="1405" customFormat="1" ht="15" customHeight="1" x14ac:dyDescent="0.75"/>
    <row r="1406" customFormat="1" ht="15" customHeight="1" x14ac:dyDescent="0.75"/>
    <row r="1407" customFormat="1" ht="15" customHeight="1" x14ac:dyDescent="0.75"/>
    <row r="1408" customFormat="1" ht="15" customHeight="1" x14ac:dyDescent="0.75"/>
    <row r="1409" customFormat="1" ht="15" customHeight="1" x14ac:dyDescent="0.75"/>
    <row r="1410" customFormat="1" ht="15" customHeight="1" x14ac:dyDescent="0.75"/>
    <row r="1411" customFormat="1" ht="15" customHeight="1" x14ac:dyDescent="0.75"/>
    <row r="1412" customFormat="1" ht="15" customHeight="1" x14ac:dyDescent="0.75"/>
    <row r="1413" customFormat="1" ht="15" customHeight="1" x14ac:dyDescent="0.75"/>
    <row r="1414" customFormat="1" ht="15" customHeight="1" x14ac:dyDescent="0.75"/>
    <row r="1415" customFormat="1" ht="12" customHeight="1" x14ac:dyDescent="0.75"/>
    <row r="1416" customFormat="1" ht="15" customHeight="1" x14ac:dyDescent="0.75"/>
    <row r="1417" customFormat="1" ht="15" customHeight="1" x14ac:dyDescent="0.75"/>
    <row r="1418" customFormat="1" ht="15" customHeight="1" x14ac:dyDescent="0.75"/>
    <row r="1419" customFormat="1" ht="15" customHeight="1" x14ac:dyDescent="0.75"/>
    <row r="1420" customFormat="1" ht="15" customHeight="1" x14ac:dyDescent="0.75"/>
    <row r="1421" customFormat="1" ht="15" customHeight="1" x14ac:dyDescent="0.75"/>
    <row r="1422" customFormat="1" ht="15" customHeight="1" x14ac:dyDescent="0.75"/>
    <row r="1423" customFormat="1" ht="15" customHeight="1" x14ac:dyDescent="0.75"/>
    <row r="1424" customFormat="1" ht="15" customHeight="1" x14ac:dyDescent="0.75"/>
    <row r="1425" customFormat="1" ht="15" customHeight="1" x14ac:dyDescent="0.75"/>
    <row r="1426" customFormat="1" ht="15" customHeight="1" x14ac:dyDescent="0.75"/>
    <row r="1427" customFormat="1" ht="15" customHeight="1" x14ac:dyDescent="0.75"/>
    <row r="1428" customFormat="1" ht="15" customHeight="1" x14ac:dyDescent="0.75"/>
    <row r="1429" customFormat="1" ht="15" customHeight="1" x14ac:dyDescent="0.75"/>
    <row r="1430" customFormat="1" ht="15" customHeight="1" x14ac:dyDescent="0.75"/>
    <row r="1431" customFormat="1" ht="15" customHeight="1" x14ac:dyDescent="0.75"/>
    <row r="1432" customFormat="1" ht="15" customHeight="1" x14ac:dyDescent="0.75"/>
    <row r="1433" customFormat="1" ht="15" customHeight="1" x14ac:dyDescent="0.75"/>
    <row r="1434" customFormat="1" ht="15" customHeight="1" x14ac:dyDescent="0.75"/>
    <row r="1435" customFormat="1" ht="15" customHeight="1" x14ac:dyDescent="0.75"/>
    <row r="1436" customFormat="1" ht="15" customHeight="1" x14ac:dyDescent="0.75"/>
    <row r="1437" customFormat="1" ht="15" customHeight="1" x14ac:dyDescent="0.75"/>
    <row r="1438" customFormat="1" ht="15" customHeight="1" x14ac:dyDescent="0.75"/>
    <row r="1439" customFormat="1" ht="15" customHeight="1" x14ac:dyDescent="0.75"/>
    <row r="1440" customFormat="1" ht="15" customHeight="1" x14ac:dyDescent="0.75"/>
    <row r="1441" customFormat="1" ht="15" customHeight="1" x14ac:dyDescent="0.75"/>
    <row r="1442" customFormat="1" ht="15" customHeight="1" x14ac:dyDescent="0.75"/>
    <row r="1443" customFormat="1" ht="15" customHeight="1" x14ac:dyDescent="0.75"/>
    <row r="1444" customFormat="1" ht="15" customHeight="1" x14ac:dyDescent="0.75"/>
    <row r="1445" customFormat="1" ht="15" customHeight="1" x14ac:dyDescent="0.75"/>
    <row r="1446" customFormat="1" ht="15" customHeight="1" x14ac:dyDescent="0.75"/>
    <row r="1447" customFormat="1" ht="15" customHeight="1" x14ac:dyDescent="0.75"/>
    <row r="1448" customFormat="1" ht="15" customHeight="1" x14ac:dyDescent="0.75"/>
    <row r="1449" customFormat="1" ht="15" customHeight="1" x14ac:dyDescent="0.75"/>
    <row r="1450" customFormat="1" ht="15" customHeight="1" x14ac:dyDescent="0.75"/>
    <row r="1451" customFormat="1" ht="15" customHeight="1" x14ac:dyDescent="0.75"/>
    <row r="1452" customFormat="1" ht="15" customHeight="1" x14ac:dyDescent="0.75"/>
    <row r="1453" customFormat="1" ht="15" customHeight="1" x14ac:dyDescent="0.75"/>
    <row r="1454" customFormat="1" ht="15" customHeight="1" x14ac:dyDescent="0.75"/>
    <row r="1455" customFormat="1" ht="15" customHeight="1" x14ac:dyDescent="0.75"/>
    <row r="1456" customFormat="1" ht="15" customHeight="1" x14ac:dyDescent="0.75"/>
    <row r="1457" customFormat="1" ht="15" customHeight="1" x14ac:dyDescent="0.75"/>
    <row r="1458" customFormat="1" ht="15" customHeight="1" x14ac:dyDescent="0.75"/>
    <row r="1459" customFormat="1" ht="15" customHeight="1" x14ac:dyDescent="0.75"/>
    <row r="1460" customFormat="1" ht="15" customHeight="1" x14ac:dyDescent="0.75"/>
    <row r="1461" customFormat="1" ht="15" customHeight="1" x14ac:dyDescent="0.75"/>
    <row r="1462" customFormat="1" ht="15" customHeight="1" x14ac:dyDescent="0.75"/>
    <row r="1463" customFormat="1" ht="15" customHeight="1" x14ac:dyDescent="0.75"/>
    <row r="1464" customFormat="1" ht="15" customHeight="1" x14ac:dyDescent="0.75"/>
    <row r="1465" customFormat="1" ht="15" customHeight="1" x14ac:dyDescent="0.75"/>
    <row r="1466" customFormat="1" ht="15" customHeight="1" x14ac:dyDescent="0.75"/>
    <row r="1467" customFormat="1" ht="15" customHeight="1" x14ac:dyDescent="0.75"/>
    <row r="1468" customFormat="1" ht="15" customHeight="1" x14ac:dyDescent="0.75"/>
    <row r="1469" customFormat="1" ht="15" customHeight="1" x14ac:dyDescent="0.75"/>
    <row r="1470" customFormat="1" ht="15" customHeight="1" x14ac:dyDescent="0.75"/>
    <row r="1471" customFormat="1" ht="15" customHeight="1" x14ac:dyDescent="0.75"/>
    <row r="1472" customFormat="1" ht="15" customHeight="1" x14ac:dyDescent="0.75"/>
    <row r="1473" customFormat="1" ht="15" customHeight="1" x14ac:dyDescent="0.75"/>
    <row r="1474" customFormat="1" ht="15" customHeight="1" x14ac:dyDescent="0.75"/>
    <row r="1475" customFormat="1" ht="15" customHeight="1" x14ac:dyDescent="0.75"/>
    <row r="1476" customFormat="1" ht="15" customHeight="1" x14ac:dyDescent="0.75"/>
    <row r="1477" customFormat="1" ht="15" customHeight="1" x14ac:dyDescent="0.75"/>
    <row r="1478" customFormat="1" ht="15" customHeight="1" x14ac:dyDescent="0.75"/>
    <row r="1479" customFormat="1" ht="15" customHeight="1" x14ac:dyDescent="0.75"/>
    <row r="1480" customFormat="1" ht="15" customHeight="1" x14ac:dyDescent="0.75"/>
    <row r="1481" customFormat="1" ht="15" customHeight="1" x14ac:dyDescent="0.75"/>
    <row r="1482" customFormat="1" ht="15" customHeight="1" x14ac:dyDescent="0.75"/>
    <row r="1483" customFormat="1" ht="15" customHeight="1" x14ac:dyDescent="0.75"/>
    <row r="1484" customFormat="1" ht="15" customHeight="1" x14ac:dyDescent="0.75"/>
    <row r="1485" customFormat="1" ht="12" customHeight="1" x14ac:dyDescent="0.75"/>
    <row r="1486" customFormat="1" ht="15" customHeight="1" x14ac:dyDescent="0.75"/>
    <row r="1487" customFormat="1" ht="15" customHeight="1" x14ac:dyDescent="0.75"/>
    <row r="1488" customFormat="1" ht="15" customHeight="1" x14ac:dyDescent="0.75"/>
    <row r="1489" customFormat="1" ht="15" customHeight="1" x14ac:dyDescent="0.75"/>
    <row r="1490" customFormat="1" ht="15" customHeight="1" x14ac:dyDescent="0.75"/>
    <row r="1491" customFormat="1" ht="15" customHeight="1" x14ac:dyDescent="0.75"/>
    <row r="1492" customFormat="1" ht="15" customHeight="1" x14ac:dyDescent="0.75"/>
    <row r="1493" customFormat="1" ht="15" customHeight="1" x14ac:dyDescent="0.75"/>
    <row r="1494" customFormat="1" ht="15" customHeight="1" x14ac:dyDescent="0.75"/>
    <row r="1495" customFormat="1" ht="15" customHeight="1" x14ac:dyDescent="0.75"/>
    <row r="1496" customFormat="1" ht="15" customHeight="1" x14ac:dyDescent="0.75"/>
    <row r="1497" customFormat="1" ht="15" customHeight="1" x14ac:dyDescent="0.75"/>
    <row r="1498" customFormat="1" ht="15" customHeight="1" x14ac:dyDescent="0.75"/>
    <row r="1499" customFormat="1" ht="15" customHeight="1" x14ac:dyDescent="0.75"/>
    <row r="1500" customFormat="1" ht="15" customHeight="1" x14ac:dyDescent="0.75"/>
    <row r="1501" customFormat="1" ht="15" customHeight="1" x14ac:dyDescent="0.75"/>
    <row r="1502" customFormat="1" ht="15" customHeight="1" x14ac:dyDescent="0.75"/>
    <row r="1503" customFormat="1" ht="15" customHeight="1" x14ac:dyDescent="0.75"/>
    <row r="1504" customFormat="1" ht="15" customHeight="1" x14ac:dyDescent="0.75"/>
    <row r="1505" customFormat="1" ht="15" customHeight="1" x14ac:dyDescent="0.75"/>
    <row r="1506" customFormat="1" ht="15" customHeight="1" x14ac:dyDescent="0.75"/>
    <row r="1507" customFormat="1" ht="15" customHeight="1" x14ac:dyDescent="0.75"/>
    <row r="1508" customFormat="1" ht="15" customHeight="1" x14ac:dyDescent="0.75"/>
    <row r="1509" customFormat="1" ht="15" customHeight="1" x14ac:dyDescent="0.75"/>
    <row r="1510" customFormat="1" ht="15" customHeight="1" x14ac:dyDescent="0.75"/>
    <row r="1511" customFormat="1" ht="15" customHeight="1" x14ac:dyDescent="0.75"/>
    <row r="1512" customFormat="1" ht="15" customHeight="1" x14ac:dyDescent="0.75"/>
    <row r="1513" customFormat="1" ht="15" customHeight="1" x14ac:dyDescent="0.75"/>
    <row r="1514" customFormat="1" ht="15" customHeight="1" x14ac:dyDescent="0.75"/>
    <row r="1515" customFormat="1" ht="15" customHeight="1" x14ac:dyDescent="0.75"/>
    <row r="1516" customFormat="1" ht="15" customHeight="1" x14ac:dyDescent="0.75"/>
    <row r="1517" customFormat="1" ht="15" customHeight="1" x14ac:dyDescent="0.75"/>
    <row r="1518" customFormat="1" ht="15" customHeight="1" x14ac:dyDescent="0.75"/>
    <row r="1519" customFormat="1" ht="15" customHeight="1" x14ac:dyDescent="0.75"/>
    <row r="1520" customFormat="1" ht="15" customHeight="1" x14ac:dyDescent="0.75"/>
    <row r="1521" customFormat="1" ht="15" customHeight="1" x14ac:dyDescent="0.75"/>
    <row r="1522" customFormat="1" ht="15" customHeight="1" x14ac:dyDescent="0.75"/>
    <row r="1523" customFormat="1" ht="15" customHeight="1" x14ac:dyDescent="0.75"/>
    <row r="1524" customFormat="1" ht="15" customHeight="1" x14ac:dyDescent="0.75"/>
    <row r="1525" customFormat="1" ht="15" customHeight="1" x14ac:dyDescent="0.75"/>
    <row r="1526" customFormat="1" ht="15" customHeight="1" x14ac:dyDescent="0.75"/>
    <row r="1527" customFormat="1" ht="15" customHeight="1" x14ac:dyDescent="0.75"/>
    <row r="1528" customFormat="1" ht="15" customHeight="1" x14ac:dyDescent="0.75"/>
    <row r="1529" customFormat="1" ht="15" customHeight="1" x14ac:dyDescent="0.75"/>
    <row r="1530" customFormat="1" ht="15" customHeight="1" x14ac:dyDescent="0.75"/>
    <row r="1531" customFormat="1" ht="15" customHeight="1" x14ac:dyDescent="0.75"/>
    <row r="1532" customFormat="1" ht="15" customHeight="1" x14ac:dyDescent="0.75"/>
    <row r="1533" customFormat="1" ht="15" customHeight="1" x14ac:dyDescent="0.75"/>
    <row r="1534" customFormat="1" ht="15" customHeight="1" x14ac:dyDescent="0.75"/>
    <row r="1535" customFormat="1" ht="15" customHeight="1" x14ac:dyDescent="0.75"/>
    <row r="1536" customFormat="1" ht="15" customHeight="1" x14ac:dyDescent="0.75"/>
    <row r="1537" customFormat="1" ht="15" customHeight="1" x14ac:dyDescent="0.75"/>
    <row r="1538" customFormat="1" ht="15" customHeight="1" x14ac:dyDescent="0.75"/>
    <row r="1539" customFormat="1" ht="15" customHeight="1" x14ac:dyDescent="0.75"/>
    <row r="1540" customFormat="1" ht="15" customHeight="1" x14ac:dyDescent="0.75"/>
    <row r="1541" customFormat="1" ht="15" customHeight="1" x14ac:dyDescent="0.75"/>
    <row r="1542" customFormat="1" ht="15" customHeight="1" x14ac:dyDescent="0.75"/>
    <row r="1543" customFormat="1" ht="15" customHeight="1" x14ac:dyDescent="0.75"/>
    <row r="1544" customFormat="1" ht="15" customHeight="1" x14ac:dyDescent="0.75"/>
    <row r="1545" customFormat="1" ht="15" customHeight="1" x14ac:dyDescent="0.75"/>
    <row r="1546" customFormat="1" ht="15" customHeight="1" x14ac:dyDescent="0.75"/>
    <row r="1547" customFormat="1" ht="15" customHeight="1" x14ac:dyDescent="0.75"/>
    <row r="1548" customFormat="1" ht="15" customHeight="1" x14ac:dyDescent="0.75"/>
    <row r="1549" customFormat="1" ht="15" customHeight="1" x14ac:dyDescent="0.75"/>
    <row r="1550" customFormat="1" ht="15" customHeight="1" x14ac:dyDescent="0.75"/>
    <row r="1551" customFormat="1" ht="15" customHeight="1" x14ac:dyDescent="0.75"/>
    <row r="1552" customFormat="1" ht="15" customHeight="1" x14ac:dyDescent="0.75"/>
    <row r="1553" customFormat="1" ht="15" customHeight="1" x14ac:dyDescent="0.75"/>
    <row r="1554" customFormat="1" ht="15" customHeight="1" x14ac:dyDescent="0.75"/>
    <row r="1555" customFormat="1" ht="12" customHeight="1" x14ac:dyDescent="0.75"/>
    <row r="1556" customFormat="1" ht="15" customHeight="1" x14ac:dyDescent="0.75"/>
    <row r="1557" customFormat="1" ht="15" customHeight="1" x14ac:dyDescent="0.75"/>
    <row r="1558" customFormat="1" ht="15" customHeight="1" x14ac:dyDescent="0.75"/>
    <row r="1559" customFormat="1" ht="15" customHeight="1" x14ac:dyDescent="0.75"/>
    <row r="1560" customFormat="1" ht="15" customHeight="1" x14ac:dyDescent="0.75"/>
    <row r="1561" customFormat="1" ht="15" customHeight="1" x14ac:dyDescent="0.75"/>
    <row r="1562" customFormat="1" ht="15" customHeight="1" x14ac:dyDescent="0.75"/>
    <row r="1563" customFormat="1" ht="15" customHeight="1" x14ac:dyDescent="0.75"/>
    <row r="1564" customFormat="1" ht="15" customHeight="1" x14ac:dyDescent="0.75"/>
    <row r="1565" customFormat="1" ht="15" customHeight="1" x14ac:dyDescent="0.75"/>
    <row r="1566" customFormat="1" ht="15" customHeight="1" x14ac:dyDescent="0.75"/>
    <row r="1567" customFormat="1" ht="12" customHeight="1" x14ac:dyDescent="0.75"/>
    <row r="1568" customFormat="1" ht="15" customHeight="1" x14ac:dyDescent="0.75"/>
    <row r="1569" customFormat="1" ht="15" customHeight="1" x14ac:dyDescent="0.75"/>
    <row r="1570" customFormat="1" ht="15" customHeight="1" x14ac:dyDescent="0.75"/>
    <row r="1571" customFormat="1" ht="15" customHeight="1" x14ac:dyDescent="0.75"/>
    <row r="1572" customFormat="1" ht="15" customHeight="1" x14ac:dyDescent="0.75"/>
    <row r="1573" customFormat="1" ht="15" customHeight="1" x14ac:dyDescent="0.75"/>
    <row r="1574" customFormat="1" ht="15" customHeight="1" x14ac:dyDescent="0.75"/>
    <row r="1575" customFormat="1" ht="15" customHeight="1" x14ac:dyDescent="0.75"/>
    <row r="1576" customFormat="1" ht="15" customHeight="1" x14ac:dyDescent="0.75"/>
    <row r="1577" customFormat="1" ht="15" customHeight="1" x14ac:dyDescent="0.75"/>
    <row r="1578" customFormat="1" ht="15" customHeight="1" x14ac:dyDescent="0.75"/>
    <row r="1579" customFormat="1" ht="15" customHeight="1" x14ac:dyDescent="0.75"/>
    <row r="1580" customFormat="1" ht="15" customHeight="1" x14ac:dyDescent="0.75"/>
    <row r="1581" customFormat="1" ht="15" customHeight="1" x14ac:dyDescent="0.75"/>
    <row r="1582" customFormat="1" ht="15" customHeight="1" x14ac:dyDescent="0.75"/>
    <row r="1583" customFormat="1" ht="15" customHeight="1" x14ac:dyDescent="0.75"/>
    <row r="1584" customFormat="1" ht="15" customHeight="1" x14ac:dyDescent="0.75"/>
    <row r="1585" spans="2:32" ht="15" customHeight="1" x14ac:dyDescent="0.75"/>
    <row r="1586" spans="2:32" ht="15" customHeight="1" x14ac:dyDescent="0.75"/>
    <row r="1587" spans="2:32" ht="15" customHeight="1" x14ac:dyDescent="0.75"/>
    <row r="1588" spans="2:32" ht="15" customHeight="1" x14ac:dyDescent="0.75"/>
    <row r="1589" spans="2:32" ht="15" customHeight="1" x14ac:dyDescent="0.75"/>
    <row r="1590" spans="2:32" ht="15" customHeight="1" x14ac:dyDescent="0.75">
      <c r="B1590" s="101"/>
      <c r="C1590" s="101"/>
      <c r="D1590" s="101"/>
      <c r="E1590" s="101"/>
      <c r="F1590" s="101"/>
      <c r="G1590" s="101"/>
      <c r="H1590" s="101"/>
      <c r="I1590" s="101"/>
      <c r="J1590" s="101"/>
      <c r="K1590" s="101"/>
      <c r="L1590" s="101"/>
      <c r="M1590" s="101"/>
      <c r="N1590" s="101"/>
      <c r="O1590" s="101"/>
      <c r="P1590" s="101"/>
      <c r="Q1590" s="101"/>
      <c r="R1590" s="101"/>
      <c r="S1590" s="101"/>
      <c r="T1590" s="101"/>
      <c r="U1590" s="101"/>
      <c r="V1590" s="101"/>
      <c r="W1590" s="101"/>
      <c r="X1590" s="101"/>
      <c r="Y1590" s="101"/>
      <c r="Z1590" s="101"/>
      <c r="AA1590" s="101"/>
      <c r="AB1590" s="101"/>
      <c r="AC1590" s="101"/>
      <c r="AD1590" s="101"/>
      <c r="AE1590" s="101"/>
      <c r="AF1590" s="101"/>
    </row>
    <row r="1591" spans="2:32" ht="15" customHeight="1" x14ac:dyDescent="0.75"/>
    <row r="1592" spans="2:32" ht="15" customHeight="1" x14ac:dyDescent="0.75"/>
    <row r="1593" spans="2:32" ht="15" customHeight="1" x14ac:dyDescent="0.75"/>
    <row r="1594" spans="2:32" ht="15" customHeight="1" x14ac:dyDescent="0.75"/>
    <row r="1595" spans="2:32" ht="15" customHeight="1" x14ac:dyDescent="0.75"/>
    <row r="1596" spans="2:32" ht="15" customHeight="1" x14ac:dyDescent="0.75"/>
    <row r="1597" spans="2:32" ht="15" customHeight="1" x14ac:dyDescent="0.75"/>
    <row r="1598" spans="2:32" ht="15" customHeight="1" x14ac:dyDescent="0.75"/>
    <row r="1599" spans="2:32" ht="12" customHeight="1" x14ac:dyDescent="0.75"/>
    <row r="1600" spans="2:32" ht="12" customHeight="1" x14ac:dyDescent="0.75"/>
    <row r="1601" customFormat="1" ht="12" customHeight="1" x14ac:dyDescent="0.75"/>
    <row r="1602" customFormat="1" ht="12" customHeight="1" x14ac:dyDescent="0.75"/>
    <row r="1603" customFormat="1" ht="12" customHeight="1" x14ac:dyDescent="0.75"/>
    <row r="1604" customFormat="1" ht="12" customHeight="1" x14ac:dyDescent="0.75"/>
    <row r="1605" customFormat="1" ht="12" customHeight="1" x14ac:dyDescent="0.75"/>
    <row r="1606" customFormat="1" ht="12" customHeight="1" x14ac:dyDescent="0.75"/>
    <row r="1607" customFormat="1" ht="12" customHeight="1" x14ac:dyDescent="0.75"/>
    <row r="1608" customFormat="1" ht="12" customHeight="1" x14ac:dyDescent="0.75"/>
    <row r="1609" customFormat="1" ht="12" customHeight="1" x14ac:dyDescent="0.75"/>
    <row r="1610" customFormat="1" ht="12" customHeight="1" x14ac:dyDescent="0.75"/>
    <row r="1611" customFormat="1" ht="12" customHeight="1" x14ac:dyDescent="0.75"/>
    <row r="1612" customFormat="1" ht="12" customHeight="1" x14ac:dyDescent="0.75"/>
    <row r="1613" customFormat="1" ht="12" customHeight="1" x14ac:dyDescent="0.75"/>
    <row r="1614" customFormat="1" ht="12" customHeight="1" x14ac:dyDescent="0.75"/>
    <row r="1615" customFormat="1" ht="12" customHeight="1" x14ac:dyDescent="0.75"/>
    <row r="1616" customFormat="1" ht="12" customHeight="1" x14ac:dyDescent="0.75"/>
    <row r="1617" customFormat="1" ht="12" customHeight="1" x14ac:dyDescent="0.75"/>
    <row r="1618" customFormat="1" ht="12" customHeight="1" x14ac:dyDescent="0.75"/>
    <row r="1619" customFormat="1" ht="12" customHeight="1" x14ac:dyDescent="0.75"/>
    <row r="1620" customFormat="1" ht="12" customHeight="1" x14ac:dyDescent="0.75"/>
    <row r="1621" customFormat="1" ht="12" customHeight="1" x14ac:dyDescent="0.75"/>
    <row r="1622" customFormat="1" ht="12" customHeight="1" x14ac:dyDescent="0.75"/>
    <row r="1623" customFormat="1" ht="12" customHeight="1" x14ac:dyDescent="0.75"/>
    <row r="1624" customFormat="1" ht="12" customHeight="1" x14ac:dyDescent="0.75"/>
    <row r="1625" customFormat="1" ht="15" customHeight="1" x14ac:dyDescent="0.75"/>
    <row r="1626" customFormat="1" ht="15" customHeight="1" x14ac:dyDescent="0.75"/>
    <row r="1627" customFormat="1" ht="15" customHeight="1" x14ac:dyDescent="0.75"/>
    <row r="1628" customFormat="1" ht="15" customHeight="1" x14ac:dyDescent="0.75"/>
    <row r="1629" customFormat="1" ht="15" customHeight="1" x14ac:dyDescent="0.75"/>
    <row r="1630" customFormat="1" ht="15" customHeight="1" x14ac:dyDescent="0.75"/>
    <row r="1631" customFormat="1" ht="15" customHeight="1" x14ac:dyDescent="0.75"/>
    <row r="1632" customFormat="1" ht="15" customHeight="1" x14ac:dyDescent="0.75"/>
    <row r="1633" customFormat="1" ht="15" customHeight="1" x14ac:dyDescent="0.75"/>
    <row r="1634" customFormat="1" ht="15" customHeight="1" x14ac:dyDescent="0.75"/>
    <row r="1635" customFormat="1" ht="15" customHeight="1" x14ac:dyDescent="0.75"/>
    <row r="1636" customFormat="1" ht="15" customHeight="1" x14ac:dyDescent="0.75"/>
    <row r="1637" customFormat="1" ht="15" customHeight="1" x14ac:dyDescent="0.75"/>
    <row r="1638" customFormat="1" ht="15" customHeight="1" x14ac:dyDescent="0.75"/>
    <row r="1639" customFormat="1" ht="15" customHeight="1" x14ac:dyDescent="0.75"/>
    <row r="1640" customFormat="1" ht="15" customHeight="1" x14ac:dyDescent="0.75"/>
    <row r="1641" customFormat="1" ht="15" customHeight="1" x14ac:dyDescent="0.75"/>
    <row r="1642" customFormat="1" ht="15" customHeight="1" x14ac:dyDescent="0.75"/>
    <row r="1643" customFormat="1" ht="15" customHeight="1" x14ac:dyDescent="0.75"/>
    <row r="1644" customFormat="1" ht="15" customHeight="1" x14ac:dyDescent="0.75"/>
    <row r="1645" customFormat="1" ht="15" customHeight="1" x14ac:dyDescent="0.75"/>
    <row r="1646" customFormat="1" ht="15" customHeight="1" x14ac:dyDescent="0.75"/>
    <row r="1647" customFormat="1" ht="15" customHeight="1" x14ac:dyDescent="0.75"/>
    <row r="1648" customFormat="1" ht="15" customHeight="1" x14ac:dyDescent="0.75"/>
    <row r="1649" customFormat="1" ht="15" customHeight="1" x14ac:dyDescent="0.75"/>
    <row r="1650" customFormat="1" ht="15" customHeight="1" x14ac:dyDescent="0.75"/>
    <row r="1651" customFormat="1" ht="15" customHeight="1" x14ac:dyDescent="0.75"/>
    <row r="1652" customFormat="1" ht="15" customHeight="1" x14ac:dyDescent="0.75"/>
    <row r="1653" customFormat="1" ht="15" customHeight="1" x14ac:dyDescent="0.75"/>
    <row r="1654" customFormat="1" ht="15" customHeight="1" x14ac:dyDescent="0.75"/>
    <row r="1655" customFormat="1" ht="15" customHeight="1" x14ac:dyDescent="0.75"/>
    <row r="1656" customFormat="1" ht="15" customHeight="1" x14ac:dyDescent="0.75"/>
    <row r="1657" customFormat="1" ht="15" customHeight="1" x14ac:dyDescent="0.75"/>
    <row r="1658" customFormat="1" ht="15" customHeight="1" x14ac:dyDescent="0.75"/>
    <row r="1659" customFormat="1" ht="15" customHeight="1" x14ac:dyDescent="0.75"/>
    <row r="1660" customFormat="1" ht="15" customHeight="1" x14ac:dyDescent="0.75"/>
    <row r="1661" customFormat="1" ht="15" customHeight="1" x14ac:dyDescent="0.75"/>
    <row r="1662" customFormat="1" ht="15" customHeight="1" x14ac:dyDescent="0.75"/>
    <row r="1663" customFormat="1" ht="15" customHeight="1" x14ac:dyDescent="0.75"/>
    <row r="1664" customFormat="1" ht="15" customHeight="1" x14ac:dyDescent="0.75"/>
    <row r="1665" customFormat="1" ht="15" customHeight="1" x14ac:dyDescent="0.75"/>
    <row r="1666" customFormat="1" ht="15" customHeight="1" x14ac:dyDescent="0.75"/>
    <row r="1667" customFormat="1" ht="15" customHeight="1" x14ac:dyDescent="0.75"/>
    <row r="1668" customFormat="1" ht="15" customHeight="1" x14ac:dyDescent="0.75"/>
    <row r="1669" customFormat="1" ht="15" customHeight="1" x14ac:dyDescent="0.75"/>
    <row r="1670" customFormat="1" ht="15" customHeight="1" x14ac:dyDescent="0.75"/>
    <row r="1671" customFormat="1" ht="15" customHeight="1" x14ac:dyDescent="0.75"/>
    <row r="1672" customFormat="1" ht="15" customHeight="1" x14ac:dyDescent="0.75"/>
    <row r="1673" customFormat="1" ht="15" customHeight="1" x14ac:dyDescent="0.75"/>
    <row r="1674" customFormat="1" ht="15" customHeight="1" x14ac:dyDescent="0.75"/>
    <row r="1675" customFormat="1" ht="15" customHeight="1" x14ac:dyDescent="0.75"/>
    <row r="1676" customFormat="1" ht="15" customHeight="1" x14ac:dyDescent="0.75"/>
    <row r="1677" customFormat="1" ht="15" customHeight="1" x14ac:dyDescent="0.75"/>
    <row r="1678" customFormat="1" ht="15" customHeight="1" x14ac:dyDescent="0.75"/>
    <row r="1679" customFormat="1" ht="15" customHeight="1" x14ac:dyDescent="0.75"/>
    <row r="1680" customFormat="1" ht="15" customHeight="1" x14ac:dyDescent="0.75"/>
    <row r="1681" customFormat="1" ht="15" customHeight="1" x14ac:dyDescent="0.75"/>
    <row r="1682" customFormat="1" ht="15" customHeight="1" x14ac:dyDescent="0.75"/>
    <row r="1683" customFormat="1" ht="15" customHeight="1" x14ac:dyDescent="0.75"/>
    <row r="1684" customFormat="1" ht="12" customHeight="1" x14ac:dyDescent="0.75"/>
    <row r="1685" customFormat="1" ht="12" customHeight="1" x14ac:dyDescent="0.75"/>
    <row r="1686" customFormat="1" ht="15" customHeight="1" x14ac:dyDescent="0.75"/>
    <row r="1687" customFormat="1" ht="15" customHeight="1" x14ac:dyDescent="0.75"/>
    <row r="1688" customFormat="1" ht="15" customHeight="1" x14ac:dyDescent="0.75"/>
    <row r="1689" customFormat="1" ht="15" customHeight="1" x14ac:dyDescent="0.75"/>
    <row r="1690" customFormat="1" ht="15" customHeight="1" x14ac:dyDescent="0.75"/>
    <row r="1691" customFormat="1" ht="15" customHeight="1" x14ac:dyDescent="0.75"/>
    <row r="1692" customFormat="1" ht="15" customHeight="1" x14ac:dyDescent="0.75"/>
    <row r="1693" customFormat="1" ht="15" customHeight="1" x14ac:dyDescent="0.75"/>
    <row r="1694" customFormat="1" ht="15" customHeight="1" x14ac:dyDescent="0.75"/>
    <row r="1695" customFormat="1" ht="15" customHeight="1" x14ac:dyDescent="0.75"/>
    <row r="1696" customFormat="1" ht="15" customHeight="1" x14ac:dyDescent="0.75"/>
    <row r="1697" customFormat="1" ht="15" customHeight="1" x14ac:dyDescent="0.75"/>
    <row r="1698" customFormat="1" ht="15" customHeight="1" x14ac:dyDescent="0.75"/>
    <row r="1699" customFormat="1" ht="15" customHeight="1" x14ac:dyDescent="0.75"/>
    <row r="1700" customFormat="1" ht="15" customHeight="1" x14ac:dyDescent="0.75"/>
    <row r="1701" customFormat="1" ht="15" customHeight="1" x14ac:dyDescent="0.75"/>
    <row r="1702" customFormat="1" ht="15" customHeight="1" x14ac:dyDescent="0.75"/>
    <row r="1703" customFormat="1" ht="15" customHeight="1" x14ac:dyDescent="0.75"/>
    <row r="1704" customFormat="1" ht="15" customHeight="1" x14ac:dyDescent="0.75"/>
    <row r="1705" customFormat="1" ht="15" customHeight="1" x14ac:dyDescent="0.75"/>
    <row r="1706" customFormat="1" ht="15" customHeight="1" x14ac:dyDescent="0.75"/>
    <row r="1707" customFormat="1" ht="15" customHeight="1" x14ac:dyDescent="0.75"/>
    <row r="1708" customFormat="1" ht="15" customHeight="1" x14ac:dyDescent="0.75"/>
    <row r="1709" customFormat="1" ht="15" customHeight="1" x14ac:dyDescent="0.75"/>
    <row r="1710" customFormat="1" ht="15" customHeight="1" x14ac:dyDescent="0.75"/>
    <row r="1711" customFormat="1" ht="15" customHeight="1" x14ac:dyDescent="0.75"/>
    <row r="1712" customFormat="1" ht="15" customHeight="1" x14ac:dyDescent="0.75"/>
    <row r="1713" customFormat="1" ht="15" customHeight="1" x14ac:dyDescent="0.75"/>
    <row r="1714" customFormat="1" ht="15" customHeight="1" x14ac:dyDescent="0.75"/>
    <row r="1715" customFormat="1" ht="15" customHeight="1" x14ac:dyDescent="0.75"/>
    <row r="1716" customFormat="1" ht="15" customHeight="1" x14ac:dyDescent="0.75"/>
    <row r="1717" customFormat="1" ht="15" customHeight="1" x14ac:dyDescent="0.75"/>
    <row r="1718" customFormat="1" ht="15" customHeight="1" x14ac:dyDescent="0.75"/>
    <row r="1719" customFormat="1" ht="15" customHeight="1" x14ac:dyDescent="0.75"/>
    <row r="1720" customFormat="1" ht="15" customHeight="1" x14ac:dyDescent="0.75"/>
    <row r="1721" customFormat="1" ht="15" customHeight="1" x14ac:dyDescent="0.75"/>
    <row r="1722" customFormat="1" ht="15" customHeight="1" x14ac:dyDescent="0.75"/>
    <row r="1723" customFormat="1" ht="15" customHeight="1" x14ac:dyDescent="0.75"/>
    <row r="1724" customFormat="1" ht="15" customHeight="1" x14ac:dyDescent="0.75"/>
    <row r="1725" customFormat="1" ht="15" customHeight="1" x14ac:dyDescent="0.75"/>
    <row r="1726" customFormat="1" ht="15" customHeight="1" x14ac:dyDescent="0.75"/>
    <row r="1727" customFormat="1" ht="15" customHeight="1" x14ac:dyDescent="0.75"/>
    <row r="1728" customFormat="1" ht="15" customHeight="1" x14ac:dyDescent="0.75"/>
    <row r="1729" customFormat="1" ht="15" customHeight="1" x14ac:dyDescent="0.75"/>
    <row r="1730" customFormat="1" ht="15" customHeight="1" x14ac:dyDescent="0.75"/>
    <row r="1731" customFormat="1" ht="15" customHeight="1" x14ac:dyDescent="0.75"/>
    <row r="1732" customFormat="1" ht="15" customHeight="1" x14ac:dyDescent="0.75"/>
    <row r="1733" customFormat="1" ht="15" customHeight="1" x14ac:dyDescent="0.75"/>
    <row r="1734" customFormat="1" ht="15" customHeight="1" x14ac:dyDescent="0.75"/>
    <row r="1735" customFormat="1" ht="15" customHeight="1" x14ac:dyDescent="0.75"/>
    <row r="1736" customFormat="1" ht="15" customHeight="1" x14ac:dyDescent="0.75"/>
    <row r="1737" customFormat="1" ht="15" customHeight="1" x14ac:dyDescent="0.75"/>
    <row r="1738" customFormat="1" ht="15" customHeight="1" x14ac:dyDescent="0.75"/>
    <row r="1739" customFormat="1" ht="15" customHeight="1" x14ac:dyDescent="0.75"/>
    <row r="1740" customFormat="1" ht="12" customHeight="1" x14ac:dyDescent="0.75"/>
    <row r="1741" customFormat="1" ht="12" customHeight="1" x14ac:dyDescent="0.75"/>
    <row r="1742" customFormat="1" ht="15" customHeight="1" x14ac:dyDescent="0.75"/>
    <row r="1743" customFormat="1" ht="15" customHeight="1" x14ac:dyDescent="0.75"/>
    <row r="1744" customFormat="1" ht="15" customHeight="1" x14ac:dyDescent="0.75"/>
    <row r="1745" customFormat="1" ht="15" customHeight="1" x14ac:dyDescent="0.75"/>
    <row r="1746" customFormat="1" ht="15" customHeight="1" x14ac:dyDescent="0.75"/>
    <row r="1747" customFormat="1" ht="15" customHeight="1" x14ac:dyDescent="0.75"/>
    <row r="1748" customFormat="1" ht="15" customHeight="1" x14ac:dyDescent="0.75"/>
    <row r="1749" customFormat="1" ht="15" customHeight="1" x14ac:dyDescent="0.75"/>
    <row r="1750" customFormat="1" ht="15" customHeight="1" x14ac:dyDescent="0.75"/>
    <row r="1751" customFormat="1" ht="15" customHeight="1" x14ac:dyDescent="0.75"/>
    <row r="1752" customFormat="1" ht="15" customHeight="1" x14ac:dyDescent="0.75"/>
    <row r="1753" customFormat="1" ht="15" customHeight="1" x14ac:dyDescent="0.75"/>
    <row r="1754" customFormat="1" ht="15" customHeight="1" x14ac:dyDescent="0.75"/>
    <row r="1755" customFormat="1" ht="15" customHeight="1" x14ac:dyDescent="0.75"/>
    <row r="1756" customFormat="1" ht="15" customHeight="1" x14ac:dyDescent="0.75"/>
    <row r="1757" customFormat="1" ht="15" customHeight="1" x14ac:dyDescent="0.75"/>
    <row r="1758" customFormat="1" ht="15" customHeight="1" x14ac:dyDescent="0.75"/>
    <row r="1759" customFormat="1" ht="15" customHeight="1" x14ac:dyDescent="0.75"/>
    <row r="1760" customFormat="1" ht="15" customHeight="1" x14ac:dyDescent="0.75"/>
    <row r="1761" customFormat="1" ht="15" customHeight="1" 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    <row r="1765" customFormat="1" ht="15" customHeight="1" x14ac:dyDescent="0.75"/>
    <row r="1766" customFormat="1" ht="15" customHeight="1" x14ac:dyDescent="0.75"/>
    <row r="1767" customFormat="1" ht="15" customHeight="1" x14ac:dyDescent="0.75"/>
    <row r="1768" customFormat="1" ht="15" customHeight="1" x14ac:dyDescent="0.75"/>
    <row r="1769" customFormat="1" ht="15" customHeight="1" x14ac:dyDescent="0.75"/>
    <row r="1770" customFormat="1" ht="15" customHeight="1" x14ac:dyDescent="0.75"/>
    <row r="1771" customFormat="1" ht="15" customHeight="1" x14ac:dyDescent="0.75"/>
    <row r="1772" customFormat="1" ht="15" customHeight="1" x14ac:dyDescent="0.75"/>
    <row r="1773" customFormat="1" ht="15" customHeight="1" x14ac:dyDescent="0.75"/>
    <row r="1774" customFormat="1" ht="15" customHeight="1" x14ac:dyDescent="0.75"/>
    <row r="1775" customFormat="1" ht="15" customHeight="1" x14ac:dyDescent="0.75"/>
    <row r="1776" customFormat="1" ht="15" customHeight="1" x14ac:dyDescent="0.75"/>
    <row r="1777" customFormat="1" ht="15" customHeight="1" x14ac:dyDescent="0.75"/>
    <row r="1778" customFormat="1" ht="15" customHeight="1" x14ac:dyDescent="0.75"/>
    <row r="1779" customFormat="1" ht="15" customHeight="1" x14ac:dyDescent="0.75"/>
    <row r="1780" customFormat="1" ht="15" customHeight="1" x14ac:dyDescent="0.75"/>
    <row r="1781" customFormat="1" ht="15" customHeight="1" x14ac:dyDescent="0.75"/>
    <row r="1782" customFormat="1" ht="15" customHeight="1" x14ac:dyDescent="0.75"/>
    <row r="1783" customFormat="1" ht="15" customHeight="1" x14ac:dyDescent="0.75"/>
    <row r="1784" customFormat="1" ht="15" customHeight="1" x14ac:dyDescent="0.75"/>
    <row r="1785" customFormat="1" ht="15" customHeight="1" x14ac:dyDescent="0.75"/>
    <row r="1786" customFormat="1" ht="15" customHeight="1" x14ac:dyDescent="0.75"/>
    <row r="1787" customFormat="1" ht="15" customHeight="1" x14ac:dyDescent="0.75"/>
    <row r="1788" customFormat="1" ht="15" customHeight="1" x14ac:dyDescent="0.75"/>
    <row r="1789" customFormat="1" ht="15" customHeight="1" x14ac:dyDescent="0.75"/>
    <row r="1790" customFormat="1" ht="15" customHeight="1" x14ac:dyDescent="0.75"/>
    <row r="1791" customFormat="1" ht="15" customHeight="1" x14ac:dyDescent="0.75"/>
    <row r="1792" customFormat="1" ht="15" customHeight="1" x14ac:dyDescent="0.75"/>
    <row r="1793" customFormat="1" ht="15" customHeight="1" x14ac:dyDescent="0.75"/>
    <row r="1794" customFormat="1" ht="15" customHeight="1" x14ac:dyDescent="0.75"/>
    <row r="1795" customFormat="1" ht="15" customHeight="1" x14ac:dyDescent="0.75"/>
    <row r="1796" customFormat="1" ht="12" customHeight="1" x14ac:dyDescent="0.75"/>
    <row r="1797" customFormat="1" ht="12" customHeight="1" x14ac:dyDescent="0.75"/>
    <row r="1798" customFormat="1" ht="15" customHeight="1" x14ac:dyDescent="0.75"/>
    <row r="1799" customFormat="1" ht="15" customHeight="1" x14ac:dyDescent="0.75"/>
    <row r="1800" customFormat="1" ht="15" customHeight="1" x14ac:dyDescent="0.75"/>
    <row r="1801" customFormat="1" ht="15" customHeight="1" x14ac:dyDescent="0.75"/>
    <row r="1802" customFormat="1" ht="15" customHeight="1" x14ac:dyDescent="0.75"/>
    <row r="1803" customFormat="1" ht="15" customHeight="1" x14ac:dyDescent="0.75"/>
    <row r="1804" customFormat="1" ht="15" customHeight="1" x14ac:dyDescent="0.75"/>
    <row r="1805" customFormat="1" ht="15" customHeight="1" x14ac:dyDescent="0.75"/>
    <row r="1806" customFormat="1" ht="15" customHeight="1" x14ac:dyDescent="0.75"/>
    <row r="1807" customFormat="1" ht="15" customHeight="1" x14ac:dyDescent="0.75"/>
    <row r="1808" customFormat="1" ht="15" customHeight="1" x14ac:dyDescent="0.75"/>
    <row r="1809" spans="2:32" ht="15" customHeight="1" x14ac:dyDescent="0.75"/>
    <row r="1810" spans="2:32" ht="15" customHeight="1" x14ac:dyDescent="0.75"/>
    <row r="1811" spans="2:32" ht="15" customHeight="1" x14ac:dyDescent="0.75"/>
    <row r="1812" spans="2:32" ht="15" customHeight="1" x14ac:dyDescent="0.75"/>
    <row r="1813" spans="2:32" ht="15" customHeight="1" x14ac:dyDescent="0.75">
      <c r="B1813" s="101"/>
      <c r="C1813" s="101"/>
      <c r="D1813" s="101"/>
      <c r="E1813" s="101"/>
      <c r="F1813" s="101"/>
      <c r="G1813" s="101"/>
      <c r="H1813" s="101"/>
      <c r="I1813" s="101"/>
      <c r="J1813" s="101"/>
      <c r="K1813" s="101"/>
      <c r="L1813" s="101"/>
      <c r="M1813" s="101"/>
      <c r="N1813" s="101"/>
      <c r="O1813" s="101"/>
      <c r="P1813" s="101"/>
      <c r="Q1813" s="101"/>
      <c r="R1813" s="101"/>
      <c r="S1813" s="101"/>
      <c r="T1813" s="101"/>
      <c r="U1813" s="101"/>
      <c r="V1813" s="101"/>
      <c r="W1813" s="101"/>
      <c r="X1813" s="101"/>
      <c r="Y1813" s="101"/>
      <c r="Z1813" s="101"/>
      <c r="AA1813" s="101"/>
      <c r="AB1813" s="101"/>
      <c r="AC1813" s="101"/>
      <c r="AD1813" s="101"/>
      <c r="AE1813" s="101"/>
      <c r="AF1813" s="101"/>
    </row>
    <row r="1814" spans="2:32" ht="12" customHeight="1" x14ac:dyDescent="0.75"/>
    <row r="1815" spans="2:32" ht="12" customHeight="1" x14ac:dyDescent="0.75"/>
    <row r="1816" spans="2:32" ht="12" customHeight="1" x14ac:dyDescent="0.75"/>
    <row r="1817" spans="2:32" ht="12" customHeight="1" x14ac:dyDescent="0.75"/>
    <row r="1818" spans="2:32" ht="12" customHeight="1" x14ac:dyDescent="0.75"/>
    <row r="1819" spans="2:32" ht="12" customHeight="1" x14ac:dyDescent="0.75"/>
    <row r="1820" spans="2:32" ht="12" customHeight="1" x14ac:dyDescent="0.75"/>
    <row r="1821" spans="2:32" ht="12" customHeight="1" x14ac:dyDescent="0.75"/>
    <row r="1822" spans="2:32" ht="12" customHeight="1" x14ac:dyDescent="0.75"/>
    <row r="1823" spans="2:32" ht="12" customHeight="1" x14ac:dyDescent="0.75"/>
    <row r="1824" spans="2:32" ht="12" customHeight="1" x14ac:dyDescent="0.75"/>
    <row r="1825" customFormat="1" ht="15" customHeight="1" x14ac:dyDescent="0.75"/>
    <row r="1826" customFormat="1" ht="15" customHeight="1" x14ac:dyDescent="0.75"/>
    <row r="1827" customFormat="1" ht="15" customHeight="1" x14ac:dyDescent="0.75"/>
    <row r="1828" customFormat="1" ht="15" customHeight="1" x14ac:dyDescent="0.75"/>
    <row r="1829" customFormat="1" ht="15" customHeight="1" x14ac:dyDescent="0.75"/>
    <row r="1830" customFormat="1" ht="15" customHeight="1" x14ac:dyDescent="0.75"/>
    <row r="1831" customFormat="1" ht="12" customHeight="1" x14ac:dyDescent="0.75"/>
    <row r="1832" customFormat="1" ht="15" customHeight="1" x14ac:dyDescent="0.75"/>
    <row r="1833" customFormat="1" ht="15" customHeight="1" x14ac:dyDescent="0.75"/>
    <row r="1834" customFormat="1" ht="15" customHeight="1" x14ac:dyDescent="0.75"/>
    <row r="1835" customFormat="1" ht="15" customHeight="1" x14ac:dyDescent="0.75"/>
    <row r="1836" customFormat="1" ht="15" customHeight="1" x14ac:dyDescent="0.75"/>
    <row r="1837" customFormat="1" ht="15" customHeight="1" x14ac:dyDescent="0.75"/>
    <row r="1838" customFormat="1" ht="15" customHeight="1" x14ac:dyDescent="0.75"/>
    <row r="1839" customFormat="1" ht="15" customHeight="1" x14ac:dyDescent="0.75"/>
    <row r="1840" customFormat="1" ht="15" customHeight="1" x14ac:dyDescent="0.75"/>
    <row r="1841" customFormat="1" ht="15" customHeight="1" x14ac:dyDescent="0.75"/>
    <row r="1842" customFormat="1" ht="15" customHeight="1" x14ac:dyDescent="0.75"/>
    <row r="1843" customFormat="1" ht="15" customHeight="1" x14ac:dyDescent="0.75"/>
    <row r="1844" customFormat="1" ht="15" customHeight="1" x14ac:dyDescent="0.75"/>
    <row r="1845" customFormat="1" ht="15" customHeight="1" x14ac:dyDescent="0.75"/>
    <row r="1846" customFormat="1" ht="15" customHeight="1" x14ac:dyDescent="0.75"/>
    <row r="1847" customFormat="1" ht="15" customHeight="1" x14ac:dyDescent="0.75"/>
    <row r="1848" customFormat="1" ht="15" customHeight="1" x14ac:dyDescent="0.75"/>
    <row r="1849" customFormat="1" ht="15" customHeight="1" x14ac:dyDescent="0.75"/>
    <row r="1850" customFormat="1" ht="15" customHeight="1" x14ac:dyDescent="0.75"/>
    <row r="1851" customFormat="1" ht="15" customHeight="1" x14ac:dyDescent="0.75"/>
    <row r="1852" customFormat="1" ht="15" customHeight="1" x14ac:dyDescent="0.75"/>
    <row r="1853" customFormat="1" ht="15" customHeight="1" x14ac:dyDescent="0.75"/>
    <row r="1854" customFormat="1" ht="15" customHeight="1" x14ac:dyDescent="0.75"/>
    <row r="1855" customFormat="1" ht="15" customHeight="1" x14ac:dyDescent="0.75"/>
    <row r="1856" customFormat="1" ht="15" customHeight="1" x14ac:dyDescent="0.75"/>
    <row r="1857" customFormat="1" ht="15" customHeight="1" x14ac:dyDescent="0.75"/>
    <row r="1858" customFormat="1" ht="15" customHeight="1" x14ac:dyDescent="0.75"/>
    <row r="1859" customFormat="1" ht="15" customHeight="1" x14ac:dyDescent="0.75"/>
    <row r="1860" customFormat="1" ht="15" customHeight="1" x14ac:dyDescent="0.75"/>
    <row r="1861" customFormat="1" ht="15" customHeight="1" x14ac:dyDescent="0.75"/>
    <row r="1862" customFormat="1" ht="15" customHeight="1" x14ac:dyDescent="0.75"/>
    <row r="1863" customFormat="1" ht="15" customHeight="1" x14ac:dyDescent="0.75"/>
    <row r="1864" customFormat="1" ht="15" customHeight="1" x14ac:dyDescent="0.75"/>
    <row r="1865" customFormat="1" ht="15" customHeight="1" x14ac:dyDescent="0.75"/>
    <row r="1866" customFormat="1" ht="15" customHeight="1" x14ac:dyDescent="0.75"/>
    <row r="1867" customFormat="1" ht="12" customHeight="1" x14ac:dyDescent="0.75"/>
    <row r="1868" customFormat="1" ht="15" customHeight="1" x14ac:dyDescent="0.75"/>
    <row r="1869" customFormat="1" ht="15" customHeight="1" x14ac:dyDescent="0.75"/>
    <row r="1870" customFormat="1" ht="15" customHeight="1" x14ac:dyDescent="0.75"/>
    <row r="1871" customFormat="1" ht="15" customHeight="1" x14ac:dyDescent="0.75"/>
    <row r="1872" customFormat="1" ht="15" customHeight="1" x14ac:dyDescent="0.75"/>
    <row r="1873" customFormat="1" ht="15" customHeight="1" x14ac:dyDescent="0.75"/>
    <row r="1874" customFormat="1" ht="15" customHeight="1" x14ac:dyDescent="0.75"/>
    <row r="1875" customFormat="1" ht="15" customHeight="1" x14ac:dyDescent="0.75"/>
    <row r="1876" customFormat="1" ht="15" customHeight="1" x14ac:dyDescent="0.75"/>
    <row r="1877" customFormat="1" ht="15" customHeight="1" x14ac:dyDescent="0.75"/>
    <row r="1878" customFormat="1" ht="15" customHeight="1" x14ac:dyDescent="0.75"/>
    <row r="1879" customFormat="1" ht="15" customHeight="1" x14ac:dyDescent="0.75"/>
    <row r="1880" customFormat="1" ht="15" customHeight="1" x14ac:dyDescent="0.75"/>
    <row r="1881" customFormat="1" ht="15" customHeight="1" x14ac:dyDescent="0.75"/>
    <row r="1882" customFormat="1" ht="15" customHeight="1" x14ac:dyDescent="0.75"/>
    <row r="1883" customFormat="1" ht="15" customHeight="1" x14ac:dyDescent="0.75"/>
    <row r="1884" customFormat="1" ht="15" customHeight="1" x14ac:dyDescent="0.75"/>
    <row r="1885" customFormat="1" ht="15" customHeight="1" x14ac:dyDescent="0.75"/>
    <row r="1886" customFormat="1" ht="15" customHeight="1" x14ac:dyDescent="0.75"/>
    <row r="1887" customFormat="1" ht="15" customHeight="1" x14ac:dyDescent="0.75"/>
    <row r="1888" customFormat="1" ht="15" customHeight="1" x14ac:dyDescent="0.75"/>
    <row r="1889" customFormat="1" ht="15" customHeight="1" x14ac:dyDescent="0.75"/>
    <row r="1890" customFormat="1" ht="15" customHeight="1" x14ac:dyDescent="0.75"/>
    <row r="1891" customFormat="1" ht="15" customHeight="1" x14ac:dyDescent="0.75"/>
    <row r="1892" customFormat="1" ht="15" customHeight="1" x14ac:dyDescent="0.75"/>
    <row r="1893" customFormat="1" ht="15" customHeight="1" x14ac:dyDescent="0.75"/>
    <row r="1894" customFormat="1" ht="15" customHeight="1" x14ac:dyDescent="0.75"/>
    <row r="1895" customFormat="1" ht="15" customHeight="1" x14ac:dyDescent="0.75"/>
    <row r="1896" customFormat="1" ht="15" customHeight="1" x14ac:dyDescent="0.75"/>
    <row r="1897" customFormat="1" ht="15" customHeight="1" x14ac:dyDescent="0.75"/>
    <row r="1898" customFormat="1" ht="15" customHeight="1" x14ac:dyDescent="0.75"/>
    <row r="1899" customFormat="1" ht="15" customHeight="1" x14ac:dyDescent="0.75"/>
    <row r="1900" customFormat="1" ht="15" customHeight="1" x14ac:dyDescent="0.75"/>
    <row r="1901" customFormat="1" ht="15" customHeight="1" x14ac:dyDescent="0.75"/>
    <row r="1902" customFormat="1" ht="15" customHeight="1" x14ac:dyDescent="0.75"/>
    <row r="1903" customFormat="1" ht="15" customHeight="1" x14ac:dyDescent="0.75"/>
    <row r="1904" customFormat="1" ht="15" customHeight="1" x14ac:dyDescent="0.75"/>
    <row r="1905" customFormat="1" ht="15" customHeight="1" x14ac:dyDescent="0.75"/>
    <row r="1906" customFormat="1" ht="15" customHeight="1" x14ac:dyDescent="0.75"/>
    <row r="1907" customFormat="1" ht="15" customHeight="1" x14ac:dyDescent="0.75"/>
    <row r="1908" customFormat="1" ht="15" customHeight="1" x14ac:dyDescent="0.75"/>
    <row r="1909" customFormat="1" ht="15" customHeight="1" x14ac:dyDescent="0.75"/>
    <row r="1910" customFormat="1" ht="15" customHeight="1" x14ac:dyDescent="0.75"/>
    <row r="1911" customFormat="1" ht="15" customHeight="1" x14ac:dyDescent="0.75"/>
    <row r="1912" customFormat="1" ht="15" customHeight="1" x14ac:dyDescent="0.75"/>
    <row r="1913" customFormat="1" ht="12" customHeight="1" x14ac:dyDescent="0.75"/>
    <row r="1914" customFormat="1" ht="15" customHeight="1" x14ac:dyDescent="0.75"/>
    <row r="1915" customFormat="1" ht="15" customHeight="1" x14ac:dyDescent="0.75"/>
    <row r="1916" customFormat="1" ht="15" customHeight="1" x14ac:dyDescent="0.75"/>
    <row r="1917" customFormat="1" ht="15" customHeight="1" x14ac:dyDescent="0.75"/>
    <row r="1918" customFormat="1" ht="15" customHeight="1" x14ac:dyDescent="0.75"/>
    <row r="1919" customFormat="1" ht="15" customHeight="1" x14ac:dyDescent="0.75"/>
    <row r="1920" customFormat="1" ht="15" customHeight="1" x14ac:dyDescent="0.75"/>
    <row r="1921" customFormat="1" ht="15" customHeight="1" x14ac:dyDescent="0.75"/>
    <row r="1922" customFormat="1" ht="15" customHeight="1" x14ac:dyDescent="0.75"/>
    <row r="1923" customFormat="1" ht="15" customHeight="1" x14ac:dyDescent="0.75"/>
    <row r="1924" customFormat="1" ht="15" customHeight="1" x14ac:dyDescent="0.75"/>
    <row r="1925" customFormat="1" ht="15" customHeight="1" x14ac:dyDescent="0.75"/>
    <row r="1926" customFormat="1" ht="15" customHeight="1" x14ac:dyDescent="0.75"/>
    <row r="1927" customFormat="1" ht="15" customHeight="1" x14ac:dyDescent="0.75"/>
    <row r="1928" customFormat="1" ht="15" customHeight="1" x14ac:dyDescent="0.75"/>
    <row r="1929" customFormat="1" ht="15" customHeight="1" x14ac:dyDescent="0.75"/>
    <row r="1930" customFormat="1" ht="15" customHeight="1" x14ac:dyDescent="0.75"/>
    <row r="1931" customFormat="1" ht="15" customHeight="1" x14ac:dyDescent="0.75"/>
    <row r="1932" customFormat="1" ht="15" customHeight="1" x14ac:dyDescent="0.75"/>
    <row r="1933" customFormat="1" ht="15" customHeight="1" x14ac:dyDescent="0.75"/>
    <row r="1934" customFormat="1" ht="15" customHeight="1" x14ac:dyDescent="0.75"/>
    <row r="1935" customFormat="1" ht="15" customHeight="1" x14ac:dyDescent="0.75"/>
    <row r="1936" customFormat="1" ht="15" customHeight="1" x14ac:dyDescent="0.75"/>
    <row r="1937" customFormat="1" ht="15" customHeight="1" x14ac:dyDescent="0.75"/>
    <row r="1938" customFormat="1" ht="15" customHeight="1" x14ac:dyDescent="0.75"/>
    <row r="1939" customFormat="1" ht="15" customHeight="1" x14ac:dyDescent="0.75"/>
    <row r="1940" customFormat="1" ht="15" customHeight="1" x14ac:dyDescent="0.75"/>
    <row r="1941" customFormat="1" ht="15" customHeight="1" x14ac:dyDescent="0.75"/>
    <row r="1942" customFormat="1" ht="15" customHeight="1" x14ac:dyDescent="0.75"/>
    <row r="1943" customFormat="1" ht="15" customHeight="1" x14ac:dyDescent="0.75"/>
    <row r="1944" customFormat="1" ht="15" customHeight="1" x14ac:dyDescent="0.75"/>
    <row r="1945" customFormat="1" ht="15" customHeight="1" x14ac:dyDescent="0.75"/>
    <row r="1946" customFormat="1" ht="15" customHeight="1" x14ac:dyDescent="0.75"/>
    <row r="1947" customFormat="1" ht="15" customHeight="1" x14ac:dyDescent="0.75"/>
    <row r="1948" customFormat="1" ht="15" customHeight="1" x14ac:dyDescent="0.75"/>
    <row r="1949" customFormat="1" ht="12" customHeight="1" x14ac:dyDescent="0.75"/>
    <row r="1950" customFormat="1" ht="15" customHeight="1" x14ac:dyDescent="0.75"/>
    <row r="1951" customFormat="1" ht="15" customHeight="1" x14ac:dyDescent="0.75"/>
    <row r="1952" customFormat="1" ht="15" customHeight="1" x14ac:dyDescent="0.75"/>
    <row r="1953" customFormat="1" ht="15" customHeight="1" x14ac:dyDescent="0.75"/>
    <row r="1954" customFormat="1" ht="15" customHeight="1" x14ac:dyDescent="0.75"/>
    <row r="1955" customFormat="1" ht="15" customHeight="1" x14ac:dyDescent="0.75"/>
    <row r="1956" customFormat="1" ht="15" customHeight="1" x14ac:dyDescent="0.75"/>
    <row r="1957" customFormat="1" ht="15" customHeight="1" x14ac:dyDescent="0.75"/>
    <row r="1958" customFormat="1" ht="15" customHeight="1" x14ac:dyDescent="0.75"/>
    <row r="1959" customFormat="1" ht="15" customHeight="1" x14ac:dyDescent="0.75"/>
    <row r="1960" customFormat="1" ht="15" customHeight="1" x14ac:dyDescent="0.75"/>
    <row r="1961" customFormat="1" ht="15" customHeight="1" x14ac:dyDescent="0.75"/>
    <row r="1962" customFormat="1" ht="15" customHeight="1" x14ac:dyDescent="0.75"/>
    <row r="1963" customFormat="1" ht="15" customHeight="1" x14ac:dyDescent="0.75"/>
    <row r="1964" customFormat="1" ht="15" customHeight="1" x14ac:dyDescent="0.75"/>
    <row r="1965" customFormat="1" ht="15" customHeight="1" x14ac:dyDescent="0.75"/>
    <row r="1966" customFormat="1" ht="15" customHeight="1" x14ac:dyDescent="0.75"/>
    <row r="1967" customFormat="1" ht="15" customHeight="1" x14ac:dyDescent="0.75"/>
    <row r="1968" customFormat="1" ht="15" customHeight="1" x14ac:dyDescent="0.75"/>
    <row r="1969" customFormat="1" ht="15" customHeight="1" x14ac:dyDescent="0.75"/>
    <row r="1970" customFormat="1" ht="15" customHeight="1" x14ac:dyDescent="0.75"/>
    <row r="1971" customFormat="1" ht="15" customHeight="1" x14ac:dyDescent="0.75"/>
    <row r="1972" customFormat="1" ht="15" customHeight="1" x14ac:dyDescent="0.75"/>
    <row r="1973" customFormat="1" ht="15" customHeight="1" x14ac:dyDescent="0.75"/>
    <row r="1974" customFormat="1" ht="15" customHeight="1" x14ac:dyDescent="0.75"/>
    <row r="1975" customFormat="1" ht="15" customHeight="1" x14ac:dyDescent="0.75"/>
    <row r="1976" customFormat="1" ht="15" customHeight="1" x14ac:dyDescent="0.75"/>
    <row r="1977" customFormat="1" ht="15" customHeight="1" x14ac:dyDescent="0.75"/>
    <row r="1978" customFormat="1" ht="15" customHeight="1" x14ac:dyDescent="0.75"/>
    <row r="1979" customFormat="1" ht="15" customHeight="1" x14ac:dyDescent="0.75"/>
    <row r="1980" customFormat="1" ht="15" customHeight="1" x14ac:dyDescent="0.75"/>
    <row r="1981" customFormat="1" ht="15" customHeight="1" x14ac:dyDescent="0.75"/>
    <row r="1982" customFormat="1" ht="15" customHeight="1" x14ac:dyDescent="0.75"/>
    <row r="1983" customFormat="1" ht="15" customHeight="1" x14ac:dyDescent="0.75"/>
    <row r="1984" customFormat="1" ht="15" customHeight="1" x14ac:dyDescent="0.75"/>
    <row r="1985" customFormat="1" ht="12" customHeight="1" x14ac:dyDescent="0.75"/>
    <row r="1986" customFormat="1" ht="15" customHeight="1" x14ac:dyDescent="0.75"/>
    <row r="1987" customFormat="1" ht="12" customHeight="1" x14ac:dyDescent="0.75"/>
    <row r="1988" customFormat="1" ht="15" customHeight="1" x14ac:dyDescent="0.75"/>
    <row r="1989" customFormat="1" ht="15" customHeight="1" x14ac:dyDescent="0.75"/>
    <row r="1990" customFormat="1" ht="15" customHeight="1" x14ac:dyDescent="0.75"/>
    <row r="1991" customFormat="1" ht="15" customHeight="1" x14ac:dyDescent="0.75"/>
    <row r="1992" customFormat="1" ht="15" customHeight="1" x14ac:dyDescent="0.75"/>
    <row r="1993" customFormat="1" ht="15" customHeight="1" x14ac:dyDescent="0.75"/>
    <row r="1994" customFormat="1" ht="15" customHeight="1" x14ac:dyDescent="0.75"/>
    <row r="1995" customFormat="1" ht="15" customHeight="1" x14ac:dyDescent="0.75"/>
    <row r="1996" customFormat="1" ht="15" customHeight="1" x14ac:dyDescent="0.75"/>
    <row r="1997" customFormat="1" ht="15" customHeight="1" x14ac:dyDescent="0.75"/>
    <row r="1998" customFormat="1" ht="15" customHeight="1" x14ac:dyDescent="0.75"/>
    <row r="1999" customFormat="1" ht="15" customHeight="1" x14ac:dyDescent="0.75"/>
    <row r="2000" customFormat="1" ht="15" customHeight="1" x14ac:dyDescent="0.75"/>
    <row r="2001" customFormat="1" ht="15" customHeight="1" x14ac:dyDescent="0.75"/>
    <row r="2002" customFormat="1" ht="15" customHeight="1" x14ac:dyDescent="0.75"/>
    <row r="2003" customFormat="1" ht="15" customHeight="1" x14ac:dyDescent="0.75"/>
    <row r="2004" customFormat="1" ht="15" customHeight="1" x14ac:dyDescent="0.75"/>
    <row r="2005" customFormat="1" ht="15" customHeight="1" x14ac:dyDescent="0.75"/>
    <row r="2006" customFormat="1" ht="15" customHeight="1" x14ac:dyDescent="0.75"/>
    <row r="2007" customFormat="1" ht="15" customHeight="1" x14ac:dyDescent="0.75"/>
    <row r="2008" customFormat="1" ht="15" customHeight="1" x14ac:dyDescent="0.75"/>
    <row r="2009" customFormat="1" ht="15" customHeight="1" x14ac:dyDescent="0.75"/>
    <row r="2010" customFormat="1" ht="15" customHeight="1" x14ac:dyDescent="0.75"/>
    <row r="2011" customFormat="1" ht="15" customHeight="1" x14ac:dyDescent="0.75"/>
    <row r="2012" customFormat="1" ht="15" customHeight="1" x14ac:dyDescent="0.75"/>
    <row r="2013" customFormat="1" ht="15" customHeight="1" x14ac:dyDescent="0.75"/>
    <row r="2014" customFormat="1" ht="15" customHeight="1" x14ac:dyDescent="0.75"/>
    <row r="2015" customFormat="1" ht="15" customHeight="1" x14ac:dyDescent="0.75"/>
    <row r="2016" customFormat="1" ht="15" customHeight="1" x14ac:dyDescent="0.75"/>
    <row r="2017" customFormat="1" ht="15" customHeight="1" x14ac:dyDescent="0.75"/>
    <row r="2018" customFormat="1" ht="15" customHeight="1" x14ac:dyDescent="0.75"/>
    <row r="2019" customFormat="1" ht="15" customHeight="1" x14ac:dyDescent="0.75"/>
    <row r="2020" customFormat="1" ht="15" customHeight="1" x14ac:dyDescent="0.75"/>
    <row r="2021" customFormat="1" ht="15" customHeight="1" x14ac:dyDescent="0.75"/>
    <row r="2022" customFormat="1" ht="15" customHeight="1" x14ac:dyDescent="0.75"/>
    <row r="2023" customFormat="1" ht="12" customHeight="1" x14ac:dyDescent="0.75"/>
    <row r="2024" customFormat="1" ht="15" customHeight="1" x14ac:dyDescent="0.75"/>
    <row r="2025" customFormat="1" ht="15" customHeight="1" x14ac:dyDescent="0.75"/>
    <row r="2026" customFormat="1" ht="15" customHeight="1" x14ac:dyDescent="0.75"/>
    <row r="2027" customFormat="1" ht="15" customHeight="1" x14ac:dyDescent="0.75"/>
    <row r="2028" customFormat="1" ht="15" customHeight="1" x14ac:dyDescent="0.75"/>
    <row r="2029" customFormat="1" ht="15" customHeight="1" x14ac:dyDescent="0.75"/>
    <row r="2030" customFormat="1" ht="15" customHeight="1" x14ac:dyDescent="0.75"/>
    <row r="2031" customFormat="1" ht="15" customHeight="1" x14ac:dyDescent="0.75"/>
    <row r="2032" customFormat="1" ht="15" customHeight="1" x14ac:dyDescent="0.75"/>
    <row r="2033" customFormat="1" ht="15" customHeight="1" x14ac:dyDescent="0.75"/>
    <row r="2034" customFormat="1" ht="15" customHeight="1" x14ac:dyDescent="0.75"/>
    <row r="2035" customFormat="1" ht="15" customHeight="1" x14ac:dyDescent="0.75"/>
    <row r="2036" customFormat="1" ht="15" customHeight="1" x14ac:dyDescent="0.75"/>
    <row r="2037" customFormat="1" ht="15" customHeight="1" x14ac:dyDescent="0.75"/>
    <row r="2038" customFormat="1" ht="15" customHeight="1" x14ac:dyDescent="0.75"/>
    <row r="2039" customFormat="1" ht="15" customHeight="1" x14ac:dyDescent="0.75"/>
    <row r="2040" customFormat="1" ht="15" customHeight="1" x14ac:dyDescent="0.75"/>
    <row r="2041" customFormat="1" ht="15" customHeight="1" x14ac:dyDescent="0.75"/>
    <row r="2042" customFormat="1" ht="15" customHeight="1" x14ac:dyDescent="0.75"/>
    <row r="2043" customFormat="1" ht="15" customHeight="1" x14ac:dyDescent="0.75"/>
    <row r="2044" customFormat="1" ht="15" customHeight="1" x14ac:dyDescent="0.75"/>
    <row r="2045" customFormat="1" ht="15" customHeight="1" x14ac:dyDescent="0.75"/>
    <row r="2046" customFormat="1" ht="15" customHeight="1" x14ac:dyDescent="0.75"/>
    <row r="2047" customFormat="1" ht="15" customHeight="1" x14ac:dyDescent="0.75"/>
    <row r="2048" customFormat="1" ht="15" customHeight="1" x14ac:dyDescent="0.75"/>
    <row r="2049" customFormat="1" ht="15" customHeight="1" x14ac:dyDescent="0.75"/>
    <row r="2050" customFormat="1" ht="15" customHeight="1" x14ac:dyDescent="0.75"/>
    <row r="2051" customFormat="1" ht="15" customHeight="1" x14ac:dyDescent="0.75"/>
    <row r="2052" customFormat="1" ht="15" customHeight="1" x14ac:dyDescent="0.75"/>
    <row r="2053" customFormat="1" ht="15" customHeight="1" x14ac:dyDescent="0.75"/>
    <row r="2054" customFormat="1" ht="15" customHeight="1" x14ac:dyDescent="0.75"/>
    <row r="2055" customFormat="1" ht="15" customHeight="1" x14ac:dyDescent="0.75"/>
    <row r="2056" customFormat="1" ht="15" customHeight="1" x14ac:dyDescent="0.75"/>
    <row r="2057" customFormat="1" ht="15" customHeight="1" x14ac:dyDescent="0.75"/>
    <row r="2058" customFormat="1" ht="15" customHeight="1" x14ac:dyDescent="0.75"/>
    <row r="2059" customFormat="1" ht="12" customHeight="1" x14ac:dyDescent="0.75"/>
    <row r="2060" customFormat="1" ht="12" customHeight="1" x14ac:dyDescent="0.75"/>
    <row r="2061" customFormat="1" ht="12" customHeight="1" x14ac:dyDescent="0.75"/>
    <row r="2062" customFormat="1" ht="15" customHeight="1" x14ac:dyDescent="0.75"/>
    <row r="2063" customFormat="1" ht="15" customHeight="1" x14ac:dyDescent="0.75"/>
    <row r="2064" customFormat="1" ht="15" customHeight="1" x14ac:dyDescent="0.75"/>
    <row r="2065" customFormat="1" ht="15" customHeight="1" x14ac:dyDescent="0.75"/>
    <row r="2066" customFormat="1" ht="15" customHeight="1" x14ac:dyDescent="0.75"/>
    <row r="2067" customFormat="1" ht="15" customHeight="1" x14ac:dyDescent="0.75"/>
    <row r="2068" customFormat="1" ht="15" customHeight="1" x14ac:dyDescent="0.75"/>
    <row r="2069" customFormat="1" ht="15" customHeight="1" x14ac:dyDescent="0.75"/>
    <row r="2070" customFormat="1" ht="12" customHeight="1" x14ac:dyDescent="0.75"/>
    <row r="2071" customFormat="1" ht="15" customHeight="1" x14ac:dyDescent="0.75"/>
    <row r="2072" customFormat="1" ht="15" customHeight="1" x14ac:dyDescent="0.75"/>
    <row r="2073" customFormat="1" ht="15" customHeight="1" x14ac:dyDescent="0.75"/>
    <row r="2074" customFormat="1" ht="15" customHeight="1" x14ac:dyDescent="0.75"/>
    <row r="2075" customFormat="1" ht="15" customHeight="1" x14ac:dyDescent="0.75"/>
    <row r="2076" customFormat="1" ht="15" customHeight="1" x14ac:dyDescent="0.75"/>
    <row r="2077" customFormat="1" ht="15" customHeight="1" x14ac:dyDescent="0.75"/>
    <row r="2078" customFormat="1" ht="15" customHeight="1" x14ac:dyDescent="0.75"/>
    <row r="2079" customFormat="1" ht="12" customHeight="1" x14ac:dyDescent="0.75"/>
    <row r="2080" customFormat="1" ht="15" customHeight="1" x14ac:dyDescent="0.75"/>
    <row r="2081" spans="2:32" ht="15" customHeight="1" x14ac:dyDescent="0.75"/>
    <row r="2082" spans="2:32" ht="15" customHeight="1" x14ac:dyDescent="0.75"/>
    <row r="2083" spans="2:32" ht="15" customHeight="1" x14ac:dyDescent="0.75"/>
    <row r="2084" spans="2:32" ht="15" customHeight="1" x14ac:dyDescent="0.75"/>
    <row r="2085" spans="2:32" ht="15" customHeight="1" x14ac:dyDescent="0.75"/>
    <row r="2086" spans="2:32" ht="15" customHeight="1" x14ac:dyDescent="0.75"/>
    <row r="2087" spans="2:32" ht="15" customHeight="1" x14ac:dyDescent="0.75"/>
    <row r="2088" spans="2:32" ht="15" customHeight="1" x14ac:dyDescent="0.75"/>
    <row r="2089" spans="2:32" ht="15" customHeight="1" x14ac:dyDescent="0.75"/>
    <row r="2090" spans="2:32" ht="15" customHeight="1" x14ac:dyDescent="0.75">
      <c r="B2090" s="101"/>
      <c r="C2090" s="101"/>
      <c r="D2090" s="101"/>
      <c r="E2090" s="101"/>
      <c r="F2090" s="101"/>
      <c r="G2090" s="101"/>
      <c r="H2090" s="101"/>
      <c r="I2090" s="101"/>
      <c r="J2090" s="101"/>
      <c r="K2090" s="101"/>
      <c r="L2090" s="101"/>
      <c r="M2090" s="101"/>
      <c r="N2090" s="101"/>
      <c r="O2090" s="101"/>
      <c r="P2090" s="101"/>
      <c r="Q2090" s="101"/>
      <c r="R2090" s="101"/>
      <c r="S2090" s="101"/>
      <c r="T2090" s="101"/>
      <c r="U2090" s="101"/>
      <c r="V2090" s="101"/>
      <c r="W2090" s="101"/>
      <c r="X2090" s="101"/>
      <c r="Y2090" s="101"/>
      <c r="Z2090" s="101"/>
      <c r="AA2090" s="101"/>
      <c r="AB2090" s="101"/>
      <c r="AC2090" s="101"/>
      <c r="AD2090" s="101"/>
      <c r="AE2090" s="101"/>
      <c r="AF2090" s="101"/>
    </row>
    <row r="2091" spans="2:32" ht="15" customHeight="1" x14ac:dyDescent="0.75"/>
    <row r="2092" spans="2:32" ht="15" customHeight="1" x14ac:dyDescent="0.75"/>
    <row r="2093" spans="2:32" ht="15" customHeight="1" x14ac:dyDescent="0.75"/>
    <row r="2094" spans="2:32" ht="15" customHeight="1" x14ac:dyDescent="0.75"/>
    <row r="2095" spans="2:32" ht="15" customHeight="1" x14ac:dyDescent="0.75"/>
    <row r="2096" spans="2:32" ht="15" customHeight="1" x14ac:dyDescent="0.75"/>
    <row r="2097" customFormat="1" ht="15" customHeight="1" x14ac:dyDescent="0.75"/>
    <row r="2098" customFormat="1" ht="12" customHeight="1" x14ac:dyDescent="0.75"/>
    <row r="2099" customFormat="1" ht="12" customHeight="1" x14ac:dyDescent="0.75"/>
    <row r="2100" customFormat="1" ht="12" customHeight="1" x14ac:dyDescent="0.75"/>
    <row r="2101" customFormat="1" ht="12" customHeight="1" x14ac:dyDescent="0.75"/>
    <row r="2102" customFormat="1" ht="12" customHeight="1" x14ac:dyDescent="0.75"/>
    <row r="2103" customFormat="1" ht="12" customHeight="1" x14ac:dyDescent="0.75"/>
    <row r="2104" customFormat="1" ht="12" customHeight="1" x14ac:dyDescent="0.75"/>
    <row r="2105" customFormat="1" ht="12" customHeight="1" x14ac:dyDescent="0.75"/>
    <row r="2106" customFormat="1" ht="12" customHeight="1" x14ac:dyDescent="0.75"/>
    <row r="2107" customFormat="1" ht="12" customHeight="1" x14ac:dyDescent="0.75"/>
    <row r="2108" customFormat="1" ht="12" customHeight="1" x14ac:dyDescent="0.75"/>
    <row r="2109" customFormat="1" ht="12" customHeight="1" x14ac:dyDescent="0.75"/>
    <row r="2110" customFormat="1" ht="12" customHeight="1" x14ac:dyDescent="0.75"/>
    <row r="2111" customFormat="1" ht="12" customHeight="1" x14ac:dyDescent="0.75"/>
    <row r="2112" customFormat="1" ht="12" customHeight="1" x14ac:dyDescent="0.75"/>
    <row r="2113" customFormat="1" ht="12" customHeight="1" x14ac:dyDescent="0.75"/>
    <row r="2114" customFormat="1" ht="12" customHeight="1" x14ac:dyDescent="0.75"/>
    <row r="2115" customFormat="1" ht="12" customHeight="1" x14ac:dyDescent="0.75"/>
    <row r="2116" customFormat="1" ht="12" customHeight="1" x14ac:dyDescent="0.75"/>
    <row r="2117" customFormat="1" ht="12" customHeight="1" x14ac:dyDescent="0.75"/>
    <row r="2118" customFormat="1" ht="12" customHeight="1" x14ac:dyDescent="0.75"/>
    <row r="2119" customFormat="1" ht="12" customHeight="1" x14ac:dyDescent="0.75"/>
    <row r="2120" customFormat="1" ht="12" customHeight="1" x14ac:dyDescent="0.75"/>
    <row r="2121" customFormat="1" ht="12" customHeight="1" x14ac:dyDescent="0.75"/>
    <row r="2122" customFormat="1" ht="12" customHeight="1" x14ac:dyDescent="0.75"/>
    <row r="2123" customFormat="1" ht="12" customHeight="1" x14ac:dyDescent="0.75"/>
    <row r="2124" customFormat="1" ht="12" customHeight="1" x14ac:dyDescent="0.75"/>
    <row r="2125" customFormat="1" ht="12" customHeight="1" x14ac:dyDescent="0.75"/>
    <row r="2126" customFormat="1" ht="12" customHeight="1" x14ac:dyDescent="0.75"/>
    <row r="2127" customFormat="1" ht="12" customHeight="1" x14ac:dyDescent="0.75"/>
    <row r="2128" customFormat="1" ht="12" customHeight="1" x14ac:dyDescent="0.75"/>
    <row r="2129" customFormat="1" ht="12" customHeight="1" x14ac:dyDescent="0.75"/>
    <row r="2130" customFormat="1" ht="12" customHeight="1" x14ac:dyDescent="0.75"/>
    <row r="2131" customFormat="1" ht="12" customHeight="1" x14ac:dyDescent="0.75"/>
    <row r="2132" customFormat="1" ht="12" customHeight="1" x14ac:dyDescent="0.75"/>
    <row r="2133" customFormat="1" ht="12" customHeight="1" x14ac:dyDescent="0.75"/>
    <row r="2134" customFormat="1" ht="12" customHeight="1" x14ac:dyDescent="0.75"/>
    <row r="2135" customFormat="1" ht="12" customHeight="1" x14ac:dyDescent="0.75"/>
    <row r="2136" customFormat="1" ht="12" customHeight="1" x14ac:dyDescent="0.75"/>
    <row r="2137" customFormat="1" ht="12" customHeight="1" x14ac:dyDescent="0.75"/>
    <row r="2138" customFormat="1" ht="12" customHeight="1" x14ac:dyDescent="0.75"/>
    <row r="2139" customFormat="1" ht="12" customHeight="1" x14ac:dyDescent="0.75"/>
    <row r="2140" customFormat="1" ht="12" customHeight="1" x14ac:dyDescent="0.75"/>
    <row r="2141" customFormat="1" ht="12" customHeight="1" x14ac:dyDescent="0.75"/>
    <row r="2142" customFormat="1" ht="12" customHeight="1" x14ac:dyDescent="0.75"/>
    <row r="2143" customFormat="1" ht="12" customHeight="1" x14ac:dyDescent="0.75"/>
    <row r="2144" customFormat="1" ht="12" customHeight="1" x14ac:dyDescent="0.75"/>
    <row r="2145" customFormat="1" ht="12" customHeight="1" x14ac:dyDescent="0.75"/>
    <row r="2146" customFormat="1" ht="12" customHeight="1" x14ac:dyDescent="0.75"/>
    <row r="2147" customFormat="1" ht="12" customHeight="1" x14ac:dyDescent="0.75"/>
    <row r="2148" customFormat="1" ht="12" customHeight="1" x14ac:dyDescent="0.75"/>
    <row r="2149" customFormat="1" ht="12" customHeight="1" x14ac:dyDescent="0.75"/>
    <row r="2150" customFormat="1" ht="15" customHeight="1" x14ac:dyDescent="0.75"/>
    <row r="2151" customFormat="1" ht="15" customHeight="1" x14ac:dyDescent="0.75"/>
    <row r="2152" customFormat="1" ht="15" customHeight="1" x14ac:dyDescent="0.75"/>
    <row r="2153" customFormat="1" ht="15" customHeight="1" x14ac:dyDescent="0.75"/>
    <row r="2154" customFormat="1" ht="15" customHeight="1" x14ac:dyDescent="0.75"/>
    <row r="2155" customFormat="1" ht="15" customHeight="1" x14ac:dyDescent="0.75"/>
    <row r="2156" customFormat="1" ht="15" customHeight="1" x14ac:dyDescent="0.75"/>
    <row r="2157" customFormat="1" ht="15" customHeight="1" x14ac:dyDescent="0.75"/>
    <row r="2158" customFormat="1" ht="15" customHeight="1" x14ac:dyDescent="0.75"/>
    <row r="2159" customFormat="1" ht="15" customHeight="1" x14ac:dyDescent="0.75"/>
    <row r="2160" customFormat="1" ht="15" customHeight="1" x14ac:dyDescent="0.75"/>
    <row r="2161" customFormat="1" ht="15" customHeight="1" x14ac:dyDescent="0.75"/>
    <row r="2162" customFormat="1" ht="15" customHeight="1" x14ac:dyDescent="0.75"/>
    <row r="2163" customFormat="1" ht="15" customHeight="1" x14ac:dyDescent="0.75"/>
    <row r="2164" customFormat="1" ht="15" customHeight="1" x14ac:dyDescent="0.75"/>
    <row r="2165" customFormat="1" ht="15" customHeight="1" x14ac:dyDescent="0.75"/>
    <row r="2166" customFormat="1" ht="15" customHeight="1" x14ac:dyDescent="0.75"/>
    <row r="2167" customFormat="1" ht="15" customHeight="1" x14ac:dyDescent="0.75"/>
    <row r="2168" customFormat="1" ht="15" customHeight="1" x14ac:dyDescent="0.75"/>
    <row r="2169" customFormat="1" ht="15" customHeight="1" x14ac:dyDescent="0.75"/>
    <row r="2170" customFormat="1" ht="15" customHeight="1" x14ac:dyDescent="0.75"/>
    <row r="2171" customFormat="1" ht="15" customHeight="1" x14ac:dyDescent="0.75"/>
    <row r="2172" customFormat="1" ht="15" customHeight="1" x14ac:dyDescent="0.75"/>
    <row r="2173" customFormat="1" ht="15" customHeight="1" x14ac:dyDescent="0.75"/>
    <row r="2174" customFormat="1" ht="15" customHeight="1" x14ac:dyDescent="0.75"/>
    <row r="2175" customFormat="1" ht="15" customHeight="1" x14ac:dyDescent="0.75"/>
    <row r="2176" customFormat="1" ht="15" customHeight="1" x14ac:dyDescent="0.75"/>
    <row r="2177" customFormat="1" ht="15" customHeight="1" x14ac:dyDescent="0.75"/>
    <row r="2178" customFormat="1" ht="15" customHeight="1" x14ac:dyDescent="0.75"/>
    <row r="2179" customFormat="1" ht="15" customHeight="1" x14ac:dyDescent="0.75"/>
    <row r="2180" customFormat="1" ht="15" customHeight="1" x14ac:dyDescent="0.75"/>
    <row r="2181" customFormat="1" ht="15" customHeight="1" x14ac:dyDescent="0.75"/>
    <row r="2182" customFormat="1" ht="15" customHeight="1" x14ac:dyDescent="0.75"/>
    <row r="2183" customFormat="1" ht="15" customHeight="1" x14ac:dyDescent="0.75"/>
    <row r="2184" customFormat="1" ht="15" customHeight="1" x14ac:dyDescent="0.75"/>
    <row r="2185" customFormat="1" ht="15" customHeight="1" x14ac:dyDescent="0.75"/>
    <row r="2186" customFormat="1" ht="15" customHeight="1" x14ac:dyDescent="0.75"/>
    <row r="2187" customFormat="1" ht="15" customHeight="1" x14ac:dyDescent="0.75"/>
    <row r="2188" customFormat="1" ht="15" customHeight="1" x14ac:dyDescent="0.75"/>
    <row r="2189" customFormat="1" ht="15" customHeight="1" x14ac:dyDescent="0.75"/>
    <row r="2190" customFormat="1" ht="15" customHeight="1" x14ac:dyDescent="0.75"/>
    <row r="2191" customFormat="1" ht="15" customHeight="1" x14ac:dyDescent="0.75"/>
    <row r="2192" customFormat="1" ht="15" customHeight="1" x14ac:dyDescent="0.75"/>
    <row r="2193" customFormat="1" ht="15" customHeight="1" x14ac:dyDescent="0.75"/>
    <row r="2194" customFormat="1" ht="15" customHeight="1" x14ac:dyDescent="0.75"/>
    <row r="2195" customFormat="1" ht="15" customHeight="1" x14ac:dyDescent="0.75"/>
    <row r="2196" customFormat="1" ht="15" customHeight="1" x14ac:dyDescent="0.75"/>
    <row r="2197" customFormat="1" ht="15" customHeight="1" x14ac:dyDescent="0.75"/>
    <row r="2198" customFormat="1" ht="15" customHeight="1" x14ac:dyDescent="0.75"/>
    <row r="2199" customFormat="1" ht="15" customHeight="1" x14ac:dyDescent="0.75"/>
    <row r="2200" customFormat="1" ht="15" customHeight="1" x14ac:dyDescent="0.75"/>
    <row r="2201" customFormat="1" ht="15" customHeight="1" x14ac:dyDescent="0.75"/>
    <row r="2202" customFormat="1" ht="15" customHeight="1" x14ac:dyDescent="0.75"/>
    <row r="2203" customFormat="1" ht="15" customHeight="1" x14ac:dyDescent="0.75"/>
    <row r="2204" customFormat="1" ht="15" customHeight="1" x14ac:dyDescent="0.75"/>
    <row r="2205" customFormat="1" ht="15" customHeight="1" x14ac:dyDescent="0.75"/>
    <row r="2206" customFormat="1" ht="15" customHeight="1" x14ac:dyDescent="0.75"/>
    <row r="2207" customFormat="1" ht="15" customHeight="1" x14ac:dyDescent="0.75"/>
    <row r="2208" customFormat="1" ht="15" customHeight="1" x14ac:dyDescent="0.75"/>
    <row r="2209" customFormat="1" ht="15" customHeight="1" x14ac:dyDescent="0.75"/>
    <row r="2210" customFormat="1" ht="15" customHeight="1" x14ac:dyDescent="0.75"/>
    <row r="2211" customFormat="1" ht="15" customHeight="1" x14ac:dyDescent="0.75"/>
    <row r="2212" customFormat="1" ht="15" customHeight="1" x14ac:dyDescent="0.75"/>
    <row r="2213" customFormat="1" ht="15" customHeight="1" x14ac:dyDescent="0.75"/>
    <row r="2214" customFormat="1" ht="15" customHeight="1" x14ac:dyDescent="0.75"/>
    <row r="2215" customFormat="1" ht="15" customHeight="1" x14ac:dyDescent="0.75"/>
    <row r="2216" customFormat="1" ht="15" customHeight="1" x14ac:dyDescent="0.75"/>
    <row r="2217" customFormat="1" ht="15" customHeight="1" x14ac:dyDescent="0.75"/>
    <row r="2218" customFormat="1" ht="15" customHeight="1" x14ac:dyDescent="0.75"/>
    <row r="2219" customFormat="1" ht="15" customHeight="1" x14ac:dyDescent="0.75"/>
    <row r="2220" customFormat="1" ht="15" customHeight="1" x14ac:dyDescent="0.75"/>
    <row r="2221" customFormat="1" ht="15" customHeight="1" x14ac:dyDescent="0.75"/>
    <row r="2222" customFormat="1" ht="15" customHeight="1" x14ac:dyDescent="0.75"/>
    <row r="2223" customFormat="1" ht="15" customHeight="1" x14ac:dyDescent="0.75"/>
    <row r="2224" customFormat="1" ht="15" customHeight="1" x14ac:dyDescent="0.75"/>
    <row r="2225" customFormat="1" ht="15" customHeight="1" x14ac:dyDescent="0.75"/>
    <row r="2226" customFormat="1" ht="15" customHeight="1" x14ac:dyDescent="0.75"/>
    <row r="2227" customFormat="1" ht="15" customHeight="1" x14ac:dyDescent="0.75"/>
    <row r="2228" customFormat="1" ht="15" customHeight="1" x14ac:dyDescent="0.75"/>
    <row r="2229" customFormat="1" ht="15" customHeight="1" x14ac:dyDescent="0.75"/>
    <row r="2230" customFormat="1" ht="15" customHeight="1" x14ac:dyDescent="0.75"/>
    <row r="2231" customFormat="1" ht="15" customHeight="1" x14ac:dyDescent="0.75"/>
    <row r="2232" customFormat="1" ht="15" customHeight="1" x14ac:dyDescent="0.75"/>
    <row r="2233" customFormat="1" ht="15" customHeight="1" x14ac:dyDescent="0.75"/>
    <row r="2234" customFormat="1" ht="15" customHeight="1" x14ac:dyDescent="0.75"/>
    <row r="2235" customFormat="1" ht="15" customHeight="1" x14ac:dyDescent="0.75"/>
    <row r="2236" customFormat="1" ht="15" customHeight="1" x14ac:dyDescent="0.75"/>
    <row r="2237" customFormat="1" ht="15" customHeight="1" x14ac:dyDescent="0.75"/>
    <row r="2238" customFormat="1" ht="15" customHeight="1" x14ac:dyDescent="0.75"/>
    <row r="2239" customFormat="1" ht="15" customHeight="1" x14ac:dyDescent="0.75"/>
    <row r="2240" customFormat="1" ht="15" customHeight="1" x14ac:dyDescent="0.75"/>
    <row r="2241" customFormat="1" ht="15" customHeight="1" x14ac:dyDescent="0.75"/>
    <row r="2242" customFormat="1" ht="15" customHeight="1" x14ac:dyDescent="0.75"/>
    <row r="2243" customFormat="1" ht="15" customHeight="1" x14ac:dyDescent="0.75"/>
    <row r="2244" customFormat="1" ht="12" customHeight="1" x14ac:dyDescent="0.75"/>
    <row r="2245" customFormat="1" ht="15" customHeight="1" x14ac:dyDescent="0.75"/>
    <row r="2246" customFormat="1" ht="15" customHeight="1" x14ac:dyDescent="0.75"/>
    <row r="2247" customFormat="1" ht="15" customHeight="1" x14ac:dyDescent="0.75"/>
    <row r="2248" customFormat="1" ht="15" customHeight="1" x14ac:dyDescent="0.75"/>
    <row r="2249" customFormat="1" ht="15" customHeight="1" x14ac:dyDescent="0.75"/>
    <row r="2250" customFormat="1" ht="15" customHeight="1" x14ac:dyDescent="0.75"/>
    <row r="2251" customFormat="1" ht="15" customHeight="1" x14ac:dyDescent="0.75"/>
    <row r="2252" customFormat="1" ht="15" customHeight="1" x14ac:dyDescent="0.75"/>
    <row r="2253" customFormat="1" ht="15" customHeight="1" x14ac:dyDescent="0.75"/>
    <row r="2254" customFormat="1" ht="15" customHeight="1" x14ac:dyDescent="0.75"/>
    <row r="2255" customFormat="1" ht="15" customHeight="1" x14ac:dyDescent="0.75"/>
    <row r="2256" customFormat="1" ht="15" customHeight="1" x14ac:dyDescent="0.75"/>
    <row r="2257" customFormat="1" ht="15" customHeight="1" x14ac:dyDescent="0.75"/>
    <row r="2258" customFormat="1" ht="15" customHeight="1" x14ac:dyDescent="0.75"/>
    <row r="2259" customFormat="1" ht="15" customHeight="1" x14ac:dyDescent="0.75"/>
    <row r="2260" customFormat="1" ht="15" customHeight="1" x14ac:dyDescent="0.75"/>
    <row r="2261" customFormat="1" ht="15" customHeight="1" x14ac:dyDescent="0.75"/>
    <row r="2262" customFormat="1" ht="15" customHeight="1" x14ac:dyDescent="0.75"/>
    <row r="2263" customFormat="1" ht="15" customHeight="1" x14ac:dyDescent="0.75"/>
    <row r="2264" customFormat="1" ht="15" customHeight="1" x14ac:dyDescent="0.75"/>
    <row r="2265" customFormat="1" ht="15" customHeight="1" x14ac:dyDescent="0.75"/>
    <row r="2266" customFormat="1" ht="15" customHeight="1" x14ac:dyDescent="0.75"/>
    <row r="2267" customFormat="1" ht="15" customHeight="1" x14ac:dyDescent="0.75"/>
    <row r="2268" customFormat="1" ht="15" customHeight="1" x14ac:dyDescent="0.75"/>
    <row r="2269" customFormat="1" ht="15" customHeight="1" x14ac:dyDescent="0.75"/>
    <row r="2270" customFormat="1" ht="15" customHeight="1" x14ac:dyDescent="0.75"/>
    <row r="2271" customFormat="1" ht="15" customHeight="1" x14ac:dyDescent="0.75"/>
    <row r="2272" customFormat="1" ht="15" customHeight="1" x14ac:dyDescent="0.75"/>
    <row r="2273" customFormat="1" ht="15" customHeight="1" x14ac:dyDescent="0.75"/>
    <row r="2274" customFormat="1" ht="15" customHeight="1" x14ac:dyDescent="0.75"/>
    <row r="2275" customFormat="1" ht="15" customHeight="1" x14ac:dyDescent="0.75"/>
    <row r="2276" customFormat="1" ht="15" customHeight="1" x14ac:dyDescent="0.75"/>
    <row r="2277" customFormat="1" ht="15" customHeight="1" x14ac:dyDescent="0.75"/>
    <row r="2278" customFormat="1" ht="15" customHeight="1" x14ac:dyDescent="0.75"/>
    <row r="2279" customFormat="1" ht="15" customHeight="1" x14ac:dyDescent="0.75"/>
    <row r="2280" customFormat="1" ht="15" customHeight="1" x14ac:dyDescent="0.75"/>
    <row r="2281" customFormat="1" ht="15" customHeight="1" x14ac:dyDescent="0.75"/>
    <row r="2282" customFormat="1" ht="15" customHeight="1" x14ac:dyDescent="0.75"/>
    <row r="2283" customFormat="1" ht="15" customHeight="1" x14ac:dyDescent="0.75"/>
    <row r="2284" customFormat="1" ht="15" customHeight="1" x14ac:dyDescent="0.75"/>
    <row r="2285" customFormat="1" ht="15" customHeight="1" x14ac:dyDescent="0.75"/>
    <row r="2286" customFormat="1" ht="15" customHeight="1" x14ac:dyDescent="0.75"/>
    <row r="2287" customFormat="1" ht="15" customHeight="1" x14ac:dyDescent="0.75"/>
    <row r="2288" customFormat="1" ht="15" customHeight="1" x14ac:dyDescent="0.75"/>
    <row r="2289" customFormat="1" ht="15" customHeight="1" x14ac:dyDescent="0.75"/>
    <row r="2290" customFormat="1" ht="15" customHeight="1" x14ac:dyDescent="0.75"/>
    <row r="2291" customFormat="1" ht="15" customHeight="1" x14ac:dyDescent="0.75"/>
    <row r="2292" customFormat="1" ht="15" customHeight="1" x14ac:dyDescent="0.75"/>
    <row r="2293" customFormat="1" ht="15" customHeight="1" x14ac:dyDescent="0.75"/>
    <row r="2294" customFormat="1" ht="15" customHeight="1" x14ac:dyDescent="0.75"/>
    <row r="2295" customFormat="1" ht="15" customHeight="1" x14ac:dyDescent="0.75"/>
    <row r="2296" customFormat="1" ht="15" customHeight="1" x14ac:dyDescent="0.75"/>
    <row r="2297" customFormat="1" ht="15" customHeight="1" x14ac:dyDescent="0.75"/>
    <row r="2298" customFormat="1" ht="15" customHeight="1" x14ac:dyDescent="0.75"/>
    <row r="2299" customFormat="1" ht="15" customHeight="1" x14ac:dyDescent="0.75"/>
    <row r="2300" customFormat="1" ht="15" customHeight="1" x14ac:dyDescent="0.75"/>
    <row r="2301" customFormat="1" ht="15" customHeight="1" x14ac:dyDescent="0.75"/>
    <row r="2302" customFormat="1" ht="15" customHeight="1" x14ac:dyDescent="0.75"/>
    <row r="2303" customFormat="1" ht="15" customHeight="1" x14ac:dyDescent="0.75"/>
    <row r="2304" customFormat="1" ht="15" customHeight="1" x14ac:dyDescent="0.75"/>
    <row r="2305" customFormat="1" ht="15" customHeight="1" x14ac:dyDescent="0.75"/>
    <row r="2306" customFormat="1" ht="15" customHeight="1" x14ac:dyDescent="0.75"/>
    <row r="2307" customFormat="1" ht="15" customHeight="1" x14ac:dyDescent="0.75"/>
    <row r="2308" customFormat="1" ht="15" customHeight="1" x14ac:dyDescent="0.75"/>
    <row r="2309" customFormat="1" ht="15" customHeight="1" x14ac:dyDescent="0.75"/>
    <row r="2310" customFormat="1" ht="15" customHeight="1" x14ac:dyDescent="0.75"/>
    <row r="2311" customFormat="1" ht="15" customHeight="1" x14ac:dyDescent="0.75"/>
    <row r="2312" customFormat="1" ht="15" customHeight="1" x14ac:dyDescent="0.75"/>
    <row r="2313" customFormat="1" ht="15" customHeight="1" x14ac:dyDescent="0.75"/>
    <row r="2314" customFormat="1" ht="15" customHeight="1" x14ac:dyDescent="0.75"/>
    <row r="2315" customFormat="1" ht="15" customHeight="1" x14ac:dyDescent="0.75"/>
    <row r="2316" customFormat="1" ht="15" customHeight="1" x14ac:dyDescent="0.75"/>
    <row r="2317" customFormat="1" ht="15" customHeight="1" x14ac:dyDescent="0.75"/>
    <row r="2318" customFormat="1" ht="15" customHeight="1" x14ac:dyDescent="0.75"/>
    <row r="2319" customFormat="1" ht="15" customHeight="1" x14ac:dyDescent="0.75"/>
    <row r="2320" customFormat="1" ht="15" customHeight="1" x14ac:dyDescent="0.75"/>
    <row r="2321" customFormat="1" ht="15" customHeight="1" x14ac:dyDescent="0.75"/>
    <row r="2322" customFormat="1" ht="15" customHeight="1" x14ac:dyDescent="0.75"/>
    <row r="2323" customFormat="1" ht="15" customHeight="1" x14ac:dyDescent="0.75"/>
    <row r="2324" customFormat="1" ht="15" customHeight="1" x14ac:dyDescent="0.75"/>
    <row r="2325" customFormat="1" ht="15" customHeight="1" x14ac:dyDescent="0.75"/>
    <row r="2326" customFormat="1" ht="15" customHeight="1" x14ac:dyDescent="0.75"/>
    <row r="2327" customFormat="1" ht="15" customHeight="1" x14ac:dyDescent="0.75"/>
    <row r="2328" customFormat="1" ht="15" customHeight="1" x14ac:dyDescent="0.75"/>
    <row r="2329" customFormat="1" ht="15" customHeight="1" x14ac:dyDescent="0.75"/>
    <row r="2330" customFormat="1" ht="15" customHeight="1" x14ac:dyDescent="0.75"/>
    <row r="2331" customFormat="1" ht="15" customHeight="1" x14ac:dyDescent="0.75"/>
    <row r="2332" customFormat="1" ht="15" customHeight="1" x14ac:dyDescent="0.75"/>
    <row r="2333" customFormat="1" ht="15" customHeight="1" x14ac:dyDescent="0.75"/>
    <row r="2334" customFormat="1" ht="12" customHeight="1" x14ac:dyDescent="0.75"/>
    <row r="2335" customFormat="1" ht="15" customHeight="1" x14ac:dyDescent="0.75"/>
    <row r="2336" customFormat="1" ht="15" customHeight="1" x14ac:dyDescent="0.75"/>
    <row r="2337" customFormat="1" ht="15" customHeight="1" x14ac:dyDescent="0.75"/>
    <row r="2338" customFormat="1" ht="15" customHeight="1" x14ac:dyDescent="0.75"/>
    <row r="2339" customFormat="1" ht="15" customHeight="1" x14ac:dyDescent="0.75"/>
    <row r="2340" customFormat="1" ht="15" customHeight="1" x14ac:dyDescent="0.75"/>
    <row r="2341" customFormat="1" ht="15" customHeight="1" x14ac:dyDescent="0.75"/>
    <row r="2342" customFormat="1" ht="15" customHeight="1" x14ac:dyDescent="0.75"/>
    <row r="2343" customFormat="1" ht="15" customHeight="1" x14ac:dyDescent="0.75"/>
    <row r="2344" customFormat="1" ht="15" customHeight="1" x14ac:dyDescent="0.75"/>
    <row r="2345" customFormat="1" ht="15" customHeight="1" x14ac:dyDescent="0.75"/>
    <row r="2346" customFormat="1" ht="15" customHeight="1" x14ac:dyDescent="0.75"/>
    <row r="2347" customFormat="1" ht="15" customHeight="1" x14ac:dyDescent="0.75"/>
    <row r="2348" customFormat="1" ht="15" customHeight="1" x14ac:dyDescent="0.75"/>
    <row r="2349" customFormat="1" ht="15" customHeight="1" x14ac:dyDescent="0.75"/>
    <row r="2350" customFormat="1" ht="15" customHeight="1" x14ac:dyDescent="0.75"/>
    <row r="2351" customFormat="1" ht="15" customHeight="1" x14ac:dyDescent="0.75"/>
    <row r="2352" customFormat="1" ht="15" customHeight="1" x14ac:dyDescent="0.75"/>
    <row r="2353" customFormat="1" ht="15" customHeight="1" x14ac:dyDescent="0.75"/>
    <row r="2354" customFormat="1" ht="15" customHeight="1" x14ac:dyDescent="0.75"/>
    <row r="2355" customFormat="1" ht="15" customHeight="1" x14ac:dyDescent="0.75"/>
    <row r="2356" customFormat="1" ht="15" customHeight="1" x14ac:dyDescent="0.75"/>
    <row r="2357" customFormat="1" ht="15" customHeight="1" x14ac:dyDescent="0.75"/>
    <row r="2358" customFormat="1" ht="15" customHeight="1" x14ac:dyDescent="0.75"/>
    <row r="2359" customFormat="1" ht="15" customHeight="1" x14ac:dyDescent="0.75"/>
    <row r="2360" customFormat="1" ht="15" customHeight="1" x14ac:dyDescent="0.75"/>
    <row r="2361" customFormat="1" ht="15" customHeight="1" x14ac:dyDescent="0.75"/>
    <row r="2362" customFormat="1" ht="15" customHeight="1" x14ac:dyDescent="0.75"/>
    <row r="2363" customFormat="1" ht="15" customHeight="1" x14ac:dyDescent="0.75"/>
    <row r="2364" customFormat="1" ht="15" customHeight="1" x14ac:dyDescent="0.75"/>
    <row r="2365" customFormat="1" ht="15" customHeight="1" x14ac:dyDescent="0.75"/>
    <row r="2366" customFormat="1" ht="15" customHeight="1" x14ac:dyDescent="0.75"/>
    <row r="2367" customFormat="1" ht="15" customHeight="1" x14ac:dyDescent="0.75"/>
    <row r="2368" customFormat="1" ht="15" customHeight="1" x14ac:dyDescent="0.75"/>
    <row r="2369" customFormat="1" ht="15" customHeight="1" x14ac:dyDescent="0.75"/>
    <row r="2370" customFormat="1" ht="15" customHeight="1" x14ac:dyDescent="0.75"/>
    <row r="2371" customFormat="1" ht="15" customHeight="1" x14ac:dyDescent="0.75"/>
    <row r="2372" customFormat="1" ht="15" customHeight="1" x14ac:dyDescent="0.75"/>
    <row r="2373" customFormat="1" ht="15" customHeight="1" x14ac:dyDescent="0.75"/>
    <row r="2374" customFormat="1" ht="15" customHeight="1" x14ac:dyDescent="0.75"/>
    <row r="2375" customFormat="1" ht="15" customHeight="1" x14ac:dyDescent="0.75"/>
    <row r="2376" customFormat="1" ht="15" customHeight="1" x14ac:dyDescent="0.75"/>
    <row r="2377" customFormat="1" ht="15" customHeight="1" x14ac:dyDescent="0.75"/>
    <row r="2378" customFormat="1" ht="15" customHeight="1" x14ac:dyDescent="0.75"/>
    <row r="2379" customFormat="1" ht="15" customHeight="1" x14ac:dyDescent="0.75"/>
    <row r="2380" customFormat="1" ht="15" customHeight="1" x14ac:dyDescent="0.75"/>
    <row r="2381" customFormat="1" ht="15" customHeight="1" x14ac:dyDescent="0.75"/>
    <row r="2382" customFormat="1" ht="15" customHeight="1" x14ac:dyDescent="0.75"/>
    <row r="2383" customFormat="1" ht="15" customHeight="1" x14ac:dyDescent="0.75"/>
    <row r="2384" customFormat="1" ht="15" customHeight="1" x14ac:dyDescent="0.75"/>
    <row r="2385" customFormat="1" ht="15" customHeight="1" x14ac:dyDescent="0.75"/>
    <row r="2386" customFormat="1" ht="15" customHeight="1" x14ac:dyDescent="0.75"/>
    <row r="2387" customFormat="1" ht="15" customHeight="1" x14ac:dyDescent="0.75"/>
    <row r="2388" customFormat="1" ht="15" customHeight="1" x14ac:dyDescent="0.75"/>
    <row r="2389" customFormat="1" ht="15" customHeight="1" x14ac:dyDescent="0.75"/>
    <row r="2390" customFormat="1" ht="15" customHeight="1" x14ac:dyDescent="0.75"/>
    <row r="2391" customFormat="1" ht="15" customHeight="1" x14ac:dyDescent="0.75"/>
    <row r="2392" customFormat="1" ht="15" customHeight="1" x14ac:dyDescent="0.75"/>
    <row r="2393" customFormat="1" ht="15" customHeight="1" x14ac:dyDescent="0.75"/>
    <row r="2394" customFormat="1" ht="15" customHeight="1" x14ac:dyDescent="0.75"/>
    <row r="2395" customFormat="1" ht="15" customHeight="1" x14ac:dyDescent="0.75"/>
    <row r="2396" customFormat="1" ht="15" customHeight="1" x14ac:dyDescent="0.75"/>
    <row r="2397" customFormat="1" ht="15" customHeight="1" x14ac:dyDescent="0.75"/>
    <row r="2398" customFormat="1" ht="15" customHeight="1" x14ac:dyDescent="0.75"/>
    <row r="2399" customFormat="1" ht="15" customHeight="1" x14ac:dyDescent="0.75"/>
    <row r="2400" customFormat="1" ht="15" customHeight="1" x14ac:dyDescent="0.75"/>
    <row r="2401" customFormat="1" ht="15" customHeight="1" x14ac:dyDescent="0.75"/>
    <row r="2402" customFormat="1" ht="15" customHeight="1" x14ac:dyDescent="0.75"/>
    <row r="2403" customFormat="1" ht="15" customHeight="1" x14ac:dyDescent="0.75"/>
    <row r="2404" customFormat="1" ht="15" customHeight="1" x14ac:dyDescent="0.75"/>
    <row r="2405" customFormat="1" ht="15" customHeight="1" x14ac:dyDescent="0.75"/>
    <row r="2406" customFormat="1" ht="15" customHeight="1" x14ac:dyDescent="0.75"/>
    <row r="2407" customFormat="1" ht="15" customHeight="1" x14ac:dyDescent="0.75"/>
    <row r="2408" customFormat="1" ht="15" customHeight="1" x14ac:dyDescent="0.75"/>
    <row r="2409" customFormat="1" ht="15" customHeight="1" x14ac:dyDescent="0.75"/>
    <row r="2410" customFormat="1" ht="15" customHeight="1" x14ac:dyDescent="0.75"/>
    <row r="2411" customFormat="1" ht="15" customHeight="1" x14ac:dyDescent="0.75"/>
    <row r="2412" customFormat="1" ht="15" customHeight="1" x14ac:dyDescent="0.75"/>
    <row r="2413" customFormat="1" ht="15" customHeight="1" x14ac:dyDescent="0.75"/>
    <row r="2414" customFormat="1" ht="15" customHeight="1" x14ac:dyDescent="0.75"/>
    <row r="2415" customFormat="1" ht="15" customHeight="1" x14ac:dyDescent="0.75"/>
    <row r="2416" customFormat="1" ht="15" customHeight="1" x14ac:dyDescent="0.75"/>
    <row r="2417" spans="2:32" ht="15" customHeight="1" x14ac:dyDescent="0.75"/>
    <row r="2418" spans="2:32" ht="15" customHeight="1" x14ac:dyDescent="0.75"/>
    <row r="2419" spans="2:32" ht="15" customHeight="1" x14ac:dyDescent="0.75"/>
    <row r="2420" spans="2:32" ht="15" customHeight="1" x14ac:dyDescent="0.75"/>
    <row r="2421" spans="2:32" ht="15" customHeight="1" x14ac:dyDescent="0.75"/>
    <row r="2422" spans="2:32" ht="15" customHeight="1" x14ac:dyDescent="0.75"/>
    <row r="2423" spans="2:32" ht="15" customHeight="1" x14ac:dyDescent="0.75"/>
    <row r="2424" spans="2:32" ht="15" customHeight="1" x14ac:dyDescent="0.75"/>
    <row r="2425" spans="2:32" ht="15" customHeight="1" x14ac:dyDescent="0.75">
      <c r="B2425" s="101"/>
      <c r="C2425" s="101"/>
      <c r="D2425" s="101"/>
      <c r="E2425" s="101"/>
      <c r="F2425" s="101"/>
      <c r="G2425" s="101"/>
      <c r="H2425" s="101"/>
      <c r="I2425" s="101"/>
      <c r="J2425" s="101"/>
      <c r="K2425" s="101"/>
      <c r="L2425" s="101"/>
      <c r="M2425" s="101"/>
      <c r="N2425" s="101"/>
      <c r="O2425" s="101"/>
      <c r="P2425" s="101"/>
      <c r="Q2425" s="101"/>
      <c r="R2425" s="101"/>
      <c r="S2425" s="101"/>
      <c r="T2425" s="101"/>
      <c r="U2425" s="101"/>
      <c r="V2425" s="101"/>
      <c r="W2425" s="101"/>
      <c r="X2425" s="101"/>
      <c r="Y2425" s="101"/>
      <c r="Z2425" s="101"/>
      <c r="AA2425" s="101"/>
      <c r="AB2425" s="101"/>
      <c r="AC2425" s="101"/>
      <c r="AD2425" s="101"/>
      <c r="AE2425" s="101"/>
      <c r="AF2425" s="101"/>
    </row>
    <row r="2426" spans="2:32" ht="15" customHeight="1" x14ac:dyDescent="0.75"/>
    <row r="2427" spans="2:32" ht="15" customHeight="1" x14ac:dyDescent="0.75"/>
    <row r="2428" spans="2:32" ht="15" customHeight="1" x14ac:dyDescent="0.75"/>
    <row r="2429" spans="2:32" ht="15" customHeight="1" x14ac:dyDescent="0.75"/>
    <row r="2430" spans="2:32" ht="15" customHeight="1" x14ac:dyDescent="0.75"/>
    <row r="2431" spans="2:32" ht="15" customHeight="1" x14ac:dyDescent="0.75"/>
    <row r="2432" spans="2:32" ht="15" customHeight="1" x14ac:dyDescent="0.75"/>
    <row r="2433" customFormat="1" ht="15" customHeight="1" x14ac:dyDescent="0.75"/>
    <row r="2434" customFormat="1" ht="15" customHeight="1" x14ac:dyDescent="0.75"/>
    <row r="2435" customFormat="1" ht="15" customHeight="1" x14ac:dyDescent="0.75"/>
    <row r="2436" customFormat="1" ht="15" customHeight="1" x14ac:dyDescent="0.75"/>
    <row r="2437" customFormat="1" ht="12" customHeight="1" x14ac:dyDescent="0.75"/>
    <row r="2438" customFormat="1" ht="12" customHeight="1" x14ac:dyDescent="0.75"/>
    <row r="2439" customFormat="1" ht="12" customHeight="1" x14ac:dyDescent="0.75"/>
    <row r="2440" customFormat="1" ht="12" customHeight="1" x14ac:dyDescent="0.75"/>
    <row r="2441" customFormat="1" ht="12" customHeight="1" x14ac:dyDescent="0.75"/>
    <row r="2442" customFormat="1" ht="12" customHeight="1" x14ac:dyDescent="0.75"/>
    <row r="2443" customFormat="1" ht="12" customHeight="1" x14ac:dyDescent="0.75"/>
    <row r="2444" customFormat="1" ht="12" customHeight="1" x14ac:dyDescent="0.75"/>
    <row r="2445" customFormat="1" ht="12" customHeight="1" x14ac:dyDescent="0.75"/>
    <row r="2446" customFormat="1" ht="12" customHeight="1" x14ac:dyDescent="0.75"/>
    <row r="2447" customFormat="1" ht="12" customHeight="1" x14ac:dyDescent="0.75"/>
    <row r="2448" customFormat="1" ht="12" customHeight="1" x14ac:dyDescent="0.75"/>
    <row r="2449" customFormat="1" ht="12" customHeight="1" x14ac:dyDescent="0.75"/>
    <row r="2450" customFormat="1" ht="15" customHeight="1" x14ac:dyDescent="0.75"/>
    <row r="2451" customFormat="1" ht="15" customHeight="1" x14ac:dyDescent="0.75"/>
    <row r="2452" customFormat="1" ht="15" customHeight="1" x14ac:dyDescent="0.75"/>
    <row r="2453" customFormat="1" ht="15" customHeight="1" x14ac:dyDescent="0.75"/>
    <row r="2454" customFormat="1" ht="15" customHeight="1" x14ac:dyDescent="0.75"/>
    <row r="2455" customFormat="1" ht="15" customHeight="1" x14ac:dyDescent="0.75"/>
    <row r="2456" customFormat="1" ht="15" customHeight="1" x14ac:dyDescent="0.75"/>
    <row r="2457" customFormat="1" ht="15" customHeight="1" x14ac:dyDescent="0.75"/>
    <row r="2458" customFormat="1" ht="15" customHeight="1" x14ac:dyDescent="0.75"/>
    <row r="2459" customFormat="1" ht="15" customHeight="1" x14ac:dyDescent="0.75"/>
    <row r="2460" customFormat="1" ht="15" customHeight="1" x14ac:dyDescent="0.75"/>
    <row r="2461" customFormat="1" ht="15" customHeight="1" x14ac:dyDescent="0.75"/>
    <row r="2462" customFormat="1" ht="15" customHeight="1" x14ac:dyDescent="0.75"/>
    <row r="2463" customFormat="1" ht="15" customHeight="1" x14ac:dyDescent="0.75"/>
    <row r="2464" customFormat="1" ht="15" customHeight="1" x14ac:dyDescent="0.75"/>
    <row r="2465" customFormat="1" ht="15" customHeight="1" x14ac:dyDescent="0.75"/>
    <row r="2466" customFormat="1" ht="15" customHeight="1" x14ac:dyDescent="0.75"/>
    <row r="2467" customFormat="1" ht="15" customHeight="1" x14ac:dyDescent="0.75"/>
    <row r="2468" customFormat="1" ht="15" customHeight="1" x14ac:dyDescent="0.75"/>
    <row r="2469" customFormat="1" ht="15" customHeight="1" x14ac:dyDescent="0.75"/>
    <row r="2470" customFormat="1" ht="15" customHeight="1" x14ac:dyDescent="0.75"/>
    <row r="2471" customFormat="1" ht="15" customHeight="1" x14ac:dyDescent="0.75"/>
    <row r="2472" customFormat="1" ht="12" customHeight="1" x14ac:dyDescent="0.75"/>
    <row r="2473" customFormat="1" ht="15" customHeight="1" x14ac:dyDescent="0.75"/>
    <row r="2474" customFormat="1" ht="15" customHeight="1" x14ac:dyDescent="0.75"/>
    <row r="2475" customFormat="1" ht="15" customHeight="1" x14ac:dyDescent="0.75"/>
    <row r="2476" customFormat="1" ht="15" customHeight="1" x14ac:dyDescent="0.75"/>
    <row r="2477" customFormat="1" ht="15" customHeight="1" x14ac:dyDescent="0.75"/>
    <row r="2478" customFormat="1" ht="15" customHeight="1" x14ac:dyDescent="0.75"/>
    <row r="2479" customFormat="1" ht="15" customHeight="1" x14ac:dyDescent="0.75"/>
    <row r="2480" customFormat="1" ht="15" customHeight="1" x14ac:dyDescent="0.75"/>
    <row r="2481" customFormat="1" ht="15" customHeight="1" x14ac:dyDescent="0.75"/>
    <row r="2482" customFormat="1" ht="15" customHeight="1" x14ac:dyDescent="0.75"/>
    <row r="2483" customFormat="1" ht="15" customHeight="1" x14ac:dyDescent="0.75"/>
    <row r="2484" customFormat="1" ht="15" customHeight="1" x14ac:dyDescent="0.75"/>
    <row r="2485" customFormat="1" ht="15" customHeight="1" x14ac:dyDescent="0.75"/>
    <row r="2486" customFormat="1" ht="15" customHeight="1" x14ac:dyDescent="0.75"/>
    <row r="2487" customFormat="1" ht="15" customHeight="1" x14ac:dyDescent="0.75"/>
    <row r="2488" customFormat="1" ht="15" customHeight="1" x14ac:dyDescent="0.75"/>
    <row r="2489" customFormat="1" ht="15" customHeight="1" x14ac:dyDescent="0.75"/>
    <row r="2490" customFormat="1" ht="12" customHeight="1" x14ac:dyDescent="0.75"/>
    <row r="2491" customFormat="1" ht="15" customHeight="1" x14ac:dyDescent="0.75"/>
    <row r="2492" customFormat="1" ht="15" customHeight="1" x14ac:dyDescent="0.75"/>
    <row r="2493" customFormat="1" ht="15" customHeight="1" x14ac:dyDescent="0.75"/>
    <row r="2494" customFormat="1" ht="15" customHeight="1" x14ac:dyDescent="0.75"/>
    <row r="2495" customFormat="1" ht="15" customHeight="1" x14ac:dyDescent="0.75"/>
    <row r="2496" customFormat="1" ht="15" customHeight="1" x14ac:dyDescent="0.75"/>
    <row r="2497" customFormat="1" ht="15" customHeight="1" x14ac:dyDescent="0.75"/>
    <row r="2498" customFormat="1" ht="15" customHeight="1" x14ac:dyDescent="0.75"/>
    <row r="2499" customFormat="1" ht="15" customHeight="1" x14ac:dyDescent="0.75"/>
    <row r="2500" customFormat="1" ht="15" customHeight="1" x14ac:dyDescent="0.75"/>
    <row r="2501" customFormat="1" ht="15" customHeight="1" x14ac:dyDescent="0.75"/>
    <row r="2502" customFormat="1" ht="15" customHeight="1" x14ac:dyDescent="0.75"/>
    <row r="2503" customFormat="1" ht="15" customHeight="1" x14ac:dyDescent="0.75"/>
    <row r="2504" customFormat="1" ht="15" customHeight="1" x14ac:dyDescent="0.75"/>
    <row r="2505" customFormat="1" ht="15" customHeight="1" x14ac:dyDescent="0.75"/>
    <row r="2506" customFormat="1" ht="15" customHeight="1" x14ac:dyDescent="0.75"/>
    <row r="2507" customFormat="1" ht="15" customHeight="1" x14ac:dyDescent="0.75"/>
    <row r="2508" customFormat="1" ht="12" customHeight="1" x14ac:dyDescent="0.75"/>
    <row r="2509" customFormat="1" ht="15" customHeight="1" x14ac:dyDescent="0.75"/>
    <row r="2510" customFormat="1" ht="15" customHeight="1" x14ac:dyDescent="0.75"/>
    <row r="2511" customFormat="1" ht="15" customHeight="1" x14ac:dyDescent="0.75"/>
    <row r="2512" customFormat="1" ht="15" customHeight="1" x14ac:dyDescent="0.75"/>
    <row r="2513" customFormat="1" ht="15" customHeight="1" x14ac:dyDescent="0.75"/>
    <row r="2514" customFormat="1" ht="15" customHeight="1" x14ac:dyDescent="0.75"/>
    <row r="2515" customFormat="1" ht="15" customHeight="1" x14ac:dyDescent="0.75"/>
    <row r="2516" customFormat="1" ht="15" customHeight="1" x14ac:dyDescent="0.75"/>
    <row r="2517" customFormat="1" ht="15" customHeight="1" x14ac:dyDescent="0.75"/>
    <row r="2518" customFormat="1" ht="15" customHeight="1" x14ac:dyDescent="0.75"/>
    <row r="2519" customFormat="1" ht="15" customHeight="1" x14ac:dyDescent="0.75"/>
    <row r="2520" customFormat="1" ht="15" customHeight="1" x14ac:dyDescent="0.75"/>
    <row r="2521" customFormat="1" ht="15" customHeight="1" x14ac:dyDescent="0.75"/>
    <row r="2522" customFormat="1" ht="15" customHeight="1" x14ac:dyDescent="0.75"/>
    <row r="2523" customFormat="1" ht="15" customHeight="1" x14ac:dyDescent="0.75"/>
    <row r="2524" customFormat="1" ht="15" customHeight="1" x14ac:dyDescent="0.75"/>
    <row r="2525" customFormat="1" ht="15" customHeight="1" x14ac:dyDescent="0.75"/>
    <row r="2526" customFormat="1" ht="12" customHeight="1" x14ac:dyDescent="0.75"/>
    <row r="2527" customFormat="1" ht="15" customHeight="1" x14ac:dyDescent="0.75"/>
    <row r="2528" customFormat="1" ht="15" customHeight="1" x14ac:dyDescent="0.75"/>
    <row r="2529" customFormat="1" ht="15" customHeight="1" x14ac:dyDescent="0.75"/>
    <row r="2530" customFormat="1" ht="15" customHeight="1" x14ac:dyDescent="0.75"/>
    <row r="2531" customFormat="1" ht="15" customHeight="1" x14ac:dyDescent="0.75"/>
    <row r="2532" customFormat="1" ht="15" customHeight="1" x14ac:dyDescent="0.75"/>
    <row r="2533" customFormat="1" ht="15" customHeight="1" x14ac:dyDescent="0.75"/>
    <row r="2534" customFormat="1" ht="15" customHeight="1" x14ac:dyDescent="0.75"/>
    <row r="2535" customFormat="1" ht="15" customHeight="1" x14ac:dyDescent="0.75"/>
    <row r="2536" customFormat="1" ht="15" customHeight="1" x14ac:dyDescent="0.75"/>
    <row r="2537" customFormat="1" ht="15" customHeight="1" x14ac:dyDescent="0.75"/>
    <row r="2538" customFormat="1" ht="15" customHeight="1" x14ac:dyDescent="0.75"/>
    <row r="2539" customFormat="1" ht="15" customHeight="1" x14ac:dyDescent="0.75"/>
    <row r="2540" customFormat="1" ht="15" customHeight="1" x14ac:dyDescent="0.75"/>
    <row r="2541" customFormat="1" ht="15" customHeight="1" x14ac:dyDescent="0.75"/>
    <row r="2542" customFormat="1" ht="15" customHeight="1" x14ac:dyDescent="0.75"/>
    <row r="2543" customFormat="1" ht="15" customHeight="1" x14ac:dyDescent="0.75"/>
    <row r="2544" customFormat="1" ht="12" customHeight="1" x14ac:dyDescent="0.75"/>
    <row r="2545" customFormat="1" ht="15" customHeight="1" x14ac:dyDescent="0.75"/>
    <row r="2546" customFormat="1" ht="15" customHeight="1" x14ac:dyDescent="0.75"/>
    <row r="2547" customFormat="1" ht="15" customHeight="1" x14ac:dyDescent="0.75"/>
    <row r="2548" customFormat="1" ht="15" customHeight="1" x14ac:dyDescent="0.75"/>
    <row r="2549" customFormat="1" ht="15" customHeight="1" x14ac:dyDescent="0.75"/>
    <row r="2550" customFormat="1" ht="15" customHeight="1" x14ac:dyDescent="0.75"/>
    <row r="2551" customFormat="1" ht="15" customHeight="1" x14ac:dyDescent="0.75"/>
    <row r="2552" customFormat="1" ht="15" customHeight="1" x14ac:dyDescent="0.75"/>
    <row r="2553" customFormat="1" ht="15" customHeight="1" x14ac:dyDescent="0.75"/>
    <row r="2554" customFormat="1" ht="15" customHeight="1" x14ac:dyDescent="0.75"/>
    <row r="2555" customFormat="1" ht="15" customHeight="1" x14ac:dyDescent="0.75"/>
    <row r="2556" customFormat="1" ht="15" customHeight="1" x14ac:dyDescent="0.75"/>
    <row r="2557" customFormat="1" ht="15" customHeight="1" x14ac:dyDescent="0.75"/>
    <row r="2558" customFormat="1" ht="15" customHeight="1" x14ac:dyDescent="0.75"/>
    <row r="2559" customFormat="1" ht="15" customHeight="1" x14ac:dyDescent="0.75"/>
    <row r="2560" customFormat="1" ht="15" customHeight="1" x14ac:dyDescent="0.75"/>
    <row r="2561" customFormat="1" ht="15" customHeight="1" x14ac:dyDescent="0.75"/>
    <row r="2562" customFormat="1" ht="12" customHeight="1" x14ac:dyDescent="0.75"/>
    <row r="2563" customFormat="1" ht="12" customHeight="1" x14ac:dyDescent="0.75"/>
    <row r="2564" customFormat="1" ht="15" customHeight="1" x14ac:dyDescent="0.75"/>
    <row r="2565" customFormat="1" ht="15" customHeight="1" x14ac:dyDescent="0.75"/>
    <row r="2566" customFormat="1" ht="15" customHeight="1" x14ac:dyDescent="0.75"/>
    <row r="2567" customFormat="1" ht="15" customHeight="1" x14ac:dyDescent="0.75"/>
    <row r="2568" customFormat="1" ht="15" customHeight="1" x14ac:dyDescent="0.75"/>
    <row r="2569" customFormat="1" ht="15" customHeight="1" x14ac:dyDescent="0.75"/>
    <row r="2570" customFormat="1" ht="15" customHeight="1" x14ac:dyDescent="0.75"/>
    <row r="2571" customFormat="1" ht="15" customHeight="1" x14ac:dyDescent="0.75"/>
    <row r="2572" customFormat="1" ht="15" customHeight="1" x14ac:dyDescent="0.75"/>
    <row r="2573" customFormat="1" ht="15" customHeight="1" x14ac:dyDescent="0.75"/>
    <row r="2574" customFormat="1" ht="15" customHeight="1" x14ac:dyDescent="0.75"/>
    <row r="2575" customFormat="1" ht="15" customHeight="1" x14ac:dyDescent="0.75"/>
    <row r="2576" customFormat="1" ht="15" customHeight="1" x14ac:dyDescent="0.75"/>
    <row r="2577" customFormat="1" ht="15" customHeight="1" x14ac:dyDescent="0.75"/>
    <row r="2578" customFormat="1" ht="15" customHeight="1" x14ac:dyDescent="0.75"/>
    <row r="2579" customFormat="1" ht="15" customHeight="1" x14ac:dyDescent="0.75"/>
    <row r="2580" customFormat="1" ht="15" customHeight="1" x14ac:dyDescent="0.75"/>
    <row r="2581" customFormat="1" ht="12" customHeight="1" x14ac:dyDescent="0.75"/>
    <row r="2582" customFormat="1" ht="15" customHeight="1" x14ac:dyDescent="0.75"/>
    <row r="2583" customFormat="1" ht="15" customHeight="1" x14ac:dyDescent="0.75"/>
    <row r="2584" customFormat="1" ht="15" customHeight="1" x14ac:dyDescent="0.75"/>
    <row r="2585" customFormat="1" ht="15" customHeight="1" x14ac:dyDescent="0.75"/>
    <row r="2586" customFormat="1" ht="15" customHeight="1" x14ac:dyDescent="0.75"/>
    <row r="2587" customFormat="1" ht="15" customHeight="1" x14ac:dyDescent="0.75"/>
    <row r="2588" customFormat="1" ht="15" customHeight="1" x14ac:dyDescent="0.75"/>
    <row r="2589" customFormat="1" ht="15" customHeight="1" x14ac:dyDescent="0.75"/>
    <row r="2590" customFormat="1" ht="15" customHeight="1" x14ac:dyDescent="0.75"/>
    <row r="2591" customFormat="1" ht="15" customHeight="1" x14ac:dyDescent="0.75"/>
    <row r="2592" customFormat="1" ht="15" customHeight="1" x14ac:dyDescent="0.75"/>
    <row r="2593" customFormat="1" ht="15" customHeight="1" x14ac:dyDescent="0.75"/>
    <row r="2594" customFormat="1" ht="15" customHeight="1" x14ac:dyDescent="0.75"/>
    <row r="2595" customFormat="1" ht="15" customHeight="1" x14ac:dyDescent="0.75"/>
    <row r="2596" customFormat="1" ht="15" customHeight="1" x14ac:dyDescent="0.75"/>
    <row r="2597" customFormat="1" ht="15" customHeight="1" x14ac:dyDescent="0.75"/>
    <row r="2598" customFormat="1" ht="15" customHeight="1" x14ac:dyDescent="0.75"/>
    <row r="2599" customFormat="1" ht="12" customHeight="1" x14ac:dyDescent="0.75"/>
    <row r="2600" customFormat="1" ht="15" customHeight="1" x14ac:dyDescent="0.75"/>
    <row r="2601" customFormat="1" ht="15" customHeight="1" x14ac:dyDescent="0.75"/>
    <row r="2602" customFormat="1" ht="15" customHeight="1" x14ac:dyDescent="0.75"/>
    <row r="2603" customFormat="1" ht="15" customHeight="1" x14ac:dyDescent="0.75"/>
    <row r="2604" customFormat="1" ht="15" customHeight="1" x14ac:dyDescent="0.75"/>
    <row r="2605" customFormat="1" ht="15" customHeight="1" x14ac:dyDescent="0.75"/>
    <row r="2606" customFormat="1" ht="15" customHeight="1" x14ac:dyDescent="0.75"/>
    <row r="2607" customFormat="1" ht="15" customHeight="1" x14ac:dyDescent="0.75"/>
    <row r="2608" customFormat="1" ht="15" customHeight="1" x14ac:dyDescent="0.75"/>
    <row r="2609" customFormat="1" ht="15" customHeight="1" x14ac:dyDescent="0.75"/>
    <row r="2610" customFormat="1" ht="15" customHeight="1" x14ac:dyDescent="0.75"/>
    <row r="2611" customFormat="1" ht="15" customHeight="1" x14ac:dyDescent="0.75"/>
    <row r="2612" customFormat="1" ht="15" customHeight="1" x14ac:dyDescent="0.75"/>
    <row r="2613" customFormat="1" ht="15" customHeight="1" x14ac:dyDescent="0.75"/>
    <row r="2614" customFormat="1" ht="15" customHeight="1" x14ac:dyDescent="0.75"/>
    <row r="2615" customFormat="1" ht="15" customHeight="1" x14ac:dyDescent="0.75"/>
    <row r="2616" customFormat="1" ht="15" customHeight="1" x14ac:dyDescent="0.75"/>
    <row r="2617" customFormat="1" ht="12" customHeight="1" x14ac:dyDescent="0.75"/>
    <row r="2618" customFormat="1" ht="12" customHeight="1" x14ac:dyDescent="0.75"/>
    <row r="2619" customFormat="1" ht="15" customHeight="1" x14ac:dyDescent="0.75"/>
    <row r="2620" customFormat="1" ht="15" customHeight="1" x14ac:dyDescent="0.75"/>
    <row r="2621" customFormat="1" ht="15" customHeight="1" x14ac:dyDescent="0.75"/>
    <row r="2622" customFormat="1" ht="15" customHeight="1" x14ac:dyDescent="0.75"/>
    <row r="2623" customFormat="1" ht="15" customHeight="1" x14ac:dyDescent="0.75"/>
    <row r="2624" customFormat="1" ht="15" customHeight="1" x14ac:dyDescent="0.75"/>
    <row r="2625" customFormat="1" ht="15" customHeight="1" x14ac:dyDescent="0.75"/>
    <row r="2626" customFormat="1" ht="15" customHeight="1" x14ac:dyDescent="0.75"/>
    <row r="2627" customFormat="1" ht="15" customHeight="1" x14ac:dyDescent="0.75"/>
    <row r="2628" customFormat="1" ht="15" customHeight="1" x14ac:dyDescent="0.75"/>
    <row r="2629" customFormat="1" ht="15" customHeight="1" x14ac:dyDescent="0.75"/>
    <row r="2630" customFormat="1" ht="15" customHeight="1" x14ac:dyDescent="0.75"/>
    <row r="2631" customFormat="1" ht="15" customHeight="1" x14ac:dyDescent="0.75"/>
    <row r="2632" customFormat="1" ht="15" customHeight="1" x14ac:dyDescent="0.75"/>
    <row r="2633" customFormat="1" ht="15" customHeight="1" x14ac:dyDescent="0.75"/>
    <row r="2634" customFormat="1" ht="15" customHeight="1" x14ac:dyDescent="0.75"/>
    <row r="2635" customFormat="1" ht="15" customHeight="1" x14ac:dyDescent="0.75"/>
    <row r="2636" customFormat="1" ht="12" customHeight="1" x14ac:dyDescent="0.75"/>
    <row r="2637" customFormat="1" ht="15" customHeight="1" x14ac:dyDescent="0.75"/>
    <row r="2638" customFormat="1" ht="15" customHeight="1" x14ac:dyDescent="0.75"/>
    <row r="2639" customFormat="1" ht="15" customHeight="1" x14ac:dyDescent="0.75"/>
    <row r="2640" customFormat="1" ht="15" customHeight="1" x14ac:dyDescent="0.75"/>
    <row r="2641" customFormat="1" ht="15" customHeight="1" x14ac:dyDescent="0.75"/>
    <row r="2642" customFormat="1" ht="15" customHeight="1" x14ac:dyDescent="0.75"/>
    <row r="2643" customFormat="1" ht="15" customHeight="1" x14ac:dyDescent="0.75"/>
    <row r="2644" customFormat="1" ht="15" customHeight="1" x14ac:dyDescent="0.75"/>
    <row r="2645" customFormat="1" ht="15" customHeight="1" x14ac:dyDescent="0.75"/>
    <row r="2646" customFormat="1" ht="15" customHeight="1" x14ac:dyDescent="0.75"/>
    <row r="2647" customFormat="1" ht="15" customHeight="1" x14ac:dyDescent="0.75"/>
    <row r="2648" customFormat="1" ht="15" customHeight="1" x14ac:dyDescent="0.75"/>
    <row r="2649" customFormat="1" ht="15" customHeight="1" x14ac:dyDescent="0.75"/>
    <row r="2650" customFormat="1" ht="15" customHeight="1" x14ac:dyDescent="0.75"/>
    <row r="2651" customFormat="1" ht="15" customHeight="1" x14ac:dyDescent="0.75"/>
    <row r="2652" customFormat="1" ht="15" customHeight="1" x14ac:dyDescent="0.75"/>
    <row r="2653" customFormat="1" ht="15" customHeight="1" x14ac:dyDescent="0.75"/>
    <row r="2654" customFormat="1" ht="12" customHeight="1" x14ac:dyDescent="0.75"/>
    <row r="2655" customFormat="1" ht="15" customHeight="1" x14ac:dyDescent="0.75"/>
    <row r="2656" customFormat="1" ht="15" customHeight="1" x14ac:dyDescent="0.75"/>
    <row r="2657" customFormat="1" ht="15" customHeight="1" x14ac:dyDescent="0.75"/>
    <row r="2658" customFormat="1" ht="15" customHeight="1" x14ac:dyDescent="0.75"/>
    <row r="2659" customFormat="1" ht="15" customHeight="1" x14ac:dyDescent="0.75"/>
    <row r="2660" customFormat="1" ht="15" customHeight="1" x14ac:dyDescent="0.75"/>
    <row r="2661" customFormat="1" ht="15" customHeight="1" x14ac:dyDescent="0.75"/>
    <row r="2662" customFormat="1" ht="15" customHeight="1" x14ac:dyDescent="0.75"/>
    <row r="2663" customFormat="1" ht="15" customHeight="1" x14ac:dyDescent="0.75"/>
    <row r="2664" customFormat="1" ht="15" customHeight="1" x14ac:dyDescent="0.75"/>
    <row r="2665" customFormat="1" ht="15" customHeight="1" x14ac:dyDescent="0.75"/>
    <row r="2666" customFormat="1" ht="15" customHeight="1" x14ac:dyDescent="0.75"/>
    <row r="2667" customFormat="1" ht="15" customHeight="1" x14ac:dyDescent="0.75"/>
    <row r="2668" customFormat="1" ht="15" customHeight="1" x14ac:dyDescent="0.75"/>
    <row r="2669" customFormat="1" ht="15" customHeight="1" x14ac:dyDescent="0.75"/>
    <row r="2670" customFormat="1" ht="15" customHeight="1" x14ac:dyDescent="0.75"/>
    <row r="2671" customFormat="1" ht="15" customHeight="1" x14ac:dyDescent="0.75"/>
    <row r="2672" customFormat="1" ht="12" customHeight="1" x14ac:dyDescent="0.75"/>
    <row r="2673" customFormat="1" ht="15" customHeight="1" x14ac:dyDescent="0.75"/>
    <row r="2674" customFormat="1" ht="15" customHeight="1" x14ac:dyDescent="0.75"/>
    <row r="2675" customFormat="1" ht="15" customHeight="1" x14ac:dyDescent="0.75"/>
    <row r="2676" customFormat="1" ht="15" customHeight="1" x14ac:dyDescent="0.75"/>
    <row r="2677" customFormat="1" ht="15" customHeight="1" x14ac:dyDescent="0.75"/>
    <row r="2678" customFormat="1" ht="15" customHeight="1" x14ac:dyDescent="0.75"/>
    <row r="2679" customFormat="1" ht="15" customHeight="1" x14ac:dyDescent="0.75"/>
    <row r="2680" customFormat="1" ht="15" customHeight="1" x14ac:dyDescent="0.75"/>
    <row r="2681" customFormat="1" ht="15" customHeight="1" x14ac:dyDescent="0.75"/>
    <row r="2682" customFormat="1" ht="15" customHeight="1" x14ac:dyDescent="0.75"/>
    <row r="2683" customFormat="1" ht="15" customHeight="1" x14ac:dyDescent="0.75"/>
    <row r="2684" customFormat="1" ht="15" customHeight="1" x14ac:dyDescent="0.75"/>
    <row r="2685" customFormat="1" ht="15" customHeight="1" x14ac:dyDescent="0.75"/>
    <row r="2686" customFormat="1" ht="15" customHeight="1" x14ac:dyDescent="0.75"/>
    <row r="2687" customFormat="1" ht="15" customHeight="1" x14ac:dyDescent="0.75"/>
    <row r="2688" customFormat="1" ht="15" customHeight="1" x14ac:dyDescent="0.75"/>
    <row r="2689" customFormat="1" ht="15" customHeight="1" x14ac:dyDescent="0.75"/>
    <row r="2690" customFormat="1" ht="12" customHeight="1" x14ac:dyDescent="0.75"/>
    <row r="2691" customFormat="1" ht="15" customHeight="1" x14ac:dyDescent="0.75"/>
    <row r="2692" customFormat="1" ht="15" customHeight="1" x14ac:dyDescent="0.75"/>
    <row r="2693" customFormat="1" ht="15" customHeight="1" x14ac:dyDescent="0.75"/>
    <row r="2694" customFormat="1" ht="15" customHeight="1" x14ac:dyDescent="0.75"/>
    <row r="2695" customFormat="1" ht="15" customHeight="1" x14ac:dyDescent="0.75"/>
    <row r="2696" customFormat="1" ht="15" customHeight="1" x14ac:dyDescent="0.75"/>
    <row r="2697" customFormat="1" ht="15" customHeight="1" x14ac:dyDescent="0.75"/>
    <row r="2698" customFormat="1" ht="15" customHeight="1" x14ac:dyDescent="0.75"/>
    <row r="2699" customFormat="1" ht="15" customHeight="1" x14ac:dyDescent="0.75"/>
    <row r="2700" customFormat="1" ht="15" customHeight="1" x14ac:dyDescent="0.75"/>
    <row r="2701" customFormat="1" ht="15" customHeight="1" x14ac:dyDescent="0.75"/>
    <row r="2702" customFormat="1" ht="15" customHeight="1" x14ac:dyDescent="0.75"/>
    <row r="2703" customFormat="1" ht="15" customHeight="1" x14ac:dyDescent="0.75"/>
    <row r="2704" customFormat="1" ht="15" customHeight="1" x14ac:dyDescent="0.75"/>
    <row r="2705" customFormat="1" ht="15" customHeight="1" x14ac:dyDescent="0.75"/>
    <row r="2706" customFormat="1" ht="15" customHeight="1" x14ac:dyDescent="0.75"/>
    <row r="2707" customFormat="1" ht="15" customHeight="1" x14ac:dyDescent="0.75"/>
    <row r="2708" customFormat="1" ht="12" customHeight="1" x14ac:dyDescent="0.75"/>
    <row r="2709" customFormat="1" ht="15" customHeight="1" x14ac:dyDescent="0.75"/>
    <row r="2710" customFormat="1" ht="15" customHeight="1" x14ac:dyDescent="0.75"/>
    <row r="2711" customFormat="1" ht="15" customHeight="1" x14ac:dyDescent="0.75"/>
    <row r="2712" customFormat="1" ht="15" customHeight="1" x14ac:dyDescent="0.75"/>
    <row r="2713" customFormat="1" ht="15" customHeight="1" x14ac:dyDescent="0.75"/>
    <row r="2714" customFormat="1" ht="15" customHeight="1" x14ac:dyDescent="0.75"/>
    <row r="2715" customFormat="1" ht="15" customHeight="1" x14ac:dyDescent="0.75"/>
    <row r="2716" customFormat="1" ht="15" customHeight="1" x14ac:dyDescent="0.75"/>
    <row r="2717" customFormat="1" ht="15" customHeight="1" x14ac:dyDescent="0.75"/>
    <row r="2718" customFormat="1" ht="15" customHeight="1" x14ac:dyDescent="0.75"/>
    <row r="2719" customFormat="1" ht="15" customHeight="1" x14ac:dyDescent="0.75"/>
    <row r="2720" customFormat="1" ht="15" customHeight="1" x14ac:dyDescent="0.75"/>
    <row r="2721" customFormat="1" ht="15" customHeight="1" x14ac:dyDescent="0.75"/>
    <row r="2722" customFormat="1" ht="15" customHeight="1" x14ac:dyDescent="0.75"/>
    <row r="2723" customFormat="1" ht="15" customHeight="1" x14ac:dyDescent="0.75"/>
    <row r="2724" customFormat="1" ht="15" customHeight="1" x14ac:dyDescent="0.75"/>
    <row r="2725" customFormat="1" ht="15" customHeight="1" x14ac:dyDescent="0.75"/>
    <row r="2726" customFormat="1" ht="12" customHeight="1" x14ac:dyDescent="0.75"/>
    <row r="2727" customFormat="1" ht="15" customHeight="1" x14ac:dyDescent="0.75"/>
    <row r="2728" customFormat="1" ht="15" customHeight="1" x14ac:dyDescent="0.75"/>
    <row r="2729" customFormat="1" ht="15" customHeight="1" x14ac:dyDescent="0.75"/>
    <row r="2730" customFormat="1" ht="15" customHeight="1" x14ac:dyDescent="0.75"/>
    <row r="2731" customFormat="1" ht="15" customHeight="1" x14ac:dyDescent="0.75"/>
    <row r="2732" customFormat="1" ht="15" customHeight="1" x14ac:dyDescent="0.75"/>
    <row r="2733" customFormat="1" ht="15" customHeight="1" x14ac:dyDescent="0.75"/>
    <row r="2734" customFormat="1" ht="15" customHeight="1" x14ac:dyDescent="0.75"/>
    <row r="2735" customFormat="1" ht="15" customHeight="1" x14ac:dyDescent="0.75"/>
    <row r="2736" customFormat="1" ht="15" customHeight="1" x14ac:dyDescent="0.75"/>
    <row r="2737" spans="2:32" ht="15" customHeight="1" x14ac:dyDescent="0.75"/>
    <row r="2738" spans="2:32" ht="15" customHeight="1" x14ac:dyDescent="0.75"/>
    <row r="2739" spans="2:32" ht="15" customHeight="1" x14ac:dyDescent="0.75"/>
    <row r="2740" spans="2:32" ht="15" customHeight="1" x14ac:dyDescent="0.75"/>
    <row r="2741" spans="2:32" ht="15" customHeight="1" x14ac:dyDescent="0.75"/>
    <row r="2742" spans="2:32" ht="15" customHeight="1" x14ac:dyDescent="0.75"/>
    <row r="2743" spans="2:32" ht="15" customHeight="1" x14ac:dyDescent="0.75"/>
    <row r="2744" spans="2:32" ht="15" customHeight="1" x14ac:dyDescent="0.75"/>
    <row r="2745" spans="2:32" ht="15" customHeight="1" x14ac:dyDescent="0.75">
      <c r="B2745" s="101"/>
      <c r="C2745" s="101"/>
      <c r="D2745" s="101"/>
      <c r="E2745" s="101"/>
      <c r="F2745" s="101"/>
      <c r="G2745" s="101"/>
      <c r="H2745" s="101"/>
      <c r="I2745" s="101"/>
      <c r="J2745" s="101"/>
      <c r="K2745" s="101"/>
      <c r="L2745" s="101"/>
      <c r="M2745" s="101"/>
      <c r="N2745" s="101"/>
      <c r="O2745" s="101"/>
      <c r="P2745" s="101"/>
      <c r="Q2745" s="101"/>
      <c r="R2745" s="101"/>
      <c r="S2745" s="101"/>
      <c r="T2745" s="101"/>
      <c r="U2745" s="101"/>
      <c r="V2745" s="101"/>
      <c r="W2745" s="101"/>
      <c r="X2745" s="101"/>
      <c r="Y2745" s="101"/>
      <c r="Z2745" s="101"/>
      <c r="AA2745" s="101"/>
      <c r="AB2745" s="101"/>
      <c r="AC2745" s="101"/>
      <c r="AD2745" s="101"/>
      <c r="AE2745" s="101"/>
      <c r="AF2745" s="101"/>
    </row>
    <row r="2746" spans="2:32" ht="15" customHeight="1" x14ac:dyDescent="0.75"/>
    <row r="2747" spans="2:32" ht="12" customHeight="1" x14ac:dyDescent="0.75"/>
    <row r="2748" spans="2:32" ht="12" customHeight="1" x14ac:dyDescent="0.75"/>
    <row r="2749" spans="2:32" ht="12" customHeight="1" x14ac:dyDescent="0.75"/>
    <row r="2750" spans="2:32" ht="12" customHeight="1" x14ac:dyDescent="0.75"/>
    <row r="2751" spans="2:32" ht="12" customHeight="1" x14ac:dyDescent="0.75"/>
    <row r="2752" spans="2:32" ht="12" customHeight="1" x14ac:dyDescent="0.75"/>
    <row r="2753" customFormat="1" ht="12" customHeight="1" x14ac:dyDescent="0.75"/>
    <row r="2754" customFormat="1" ht="12" customHeight="1" x14ac:dyDescent="0.75"/>
    <row r="2755" customFormat="1" ht="12" customHeight="1" x14ac:dyDescent="0.75"/>
    <row r="2756" customFormat="1" ht="12" customHeight="1" x14ac:dyDescent="0.75"/>
    <row r="2757" customFormat="1" ht="12" customHeight="1" x14ac:dyDescent="0.75"/>
    <row r="2758" customFormat="1" ht="12" customHeight="1" x14ac:dyDescent="0.75"/>
    <row r="2759" customFormat="1" ht="12" customHeight="1" x14ac:dyDescent="0.75"/>
    <row r="2760" customFormat="1" ht="12" customHeight="1" x14ac:dyDescent="0.75"/>
    <row r="2761" customFormat="1" ht="12" customHeight="1" x14ac:dyDescent="0.75"/>
    <row r="2762" customFormat="1" ht="12" customHeight="1" x14ac:dyDescent="0.75"/>
    <row r="2763" customFormat="1" ht="12" customHeight="1" x14ac:dyDescent="0.75"/>
    <row r="2764" customFormat="1" ht="12" customHeight="1" x14ac:dyDescent="0.75"/>
    <row r="2765" customFormat="1" ht="12" customHeight="1" x14ac:dyDescent="0.75"/>
    <row r="2766" customFormat="1" ht="12" customHeight="1" x14ac:dyDescent="0.75"/>
    <row r="2767" customFormat="1" ht="12" customHeight="1" x14ac:dyDescent="0.75"/>
    <row r="2768" customFormat="1" ht="12" customHeight="1" x14ac:dyDescent="0.75"/>
    <row r="2769" customFormat="1" ht="12" customHeight="1" x14ac:dyDescent="0.75"/>
    <row r="2770" customFormat="1" ht="12" customHeight="1" x14ac:dyDescent="0.75"/>
    <row r="2771" customFormat="1" ht="12" customHeight="1" x14ac:dyDescent="0.75"/>
    <row r="2772" customFormat="1" ht="12" customHeight="1" x14ac:dyDescent="0.75"/>
    <row r="2773" customFormat="1" ht="12" customHeight="1" x14ac:dyDescent="0.75"/>
    <row r="2774" customFormat="1" ht="12" customHeight="1" x14ac:dyDescent="0.75"/>
    <row r="2775" customFormat="1" ht="15" customHeight="1" x14ac:dyDescent="0.75"/>
    <row r="2776" customFormat="1" ht="15" customHeight="1" x14ac:dyDescent="0.75"/>
    <row r="2777" customFormat="1" ht="15" customHeight="1" x14ac:dyDescent="0.75"/>
    <row r="2778" customFormat="1" ht="15" customHeight="1" x14ac:dyDescent="0.75"/>
    <row r="2779" customFormat="1" ht="15" customHeight="1" x14ac:dyDescent="0.75"/>
    <row r="2780" customFormat="1" ht="15" customHeight="1" x14ac:dyDescent="0.75"/>
    <row r="2781" customFormat="1" ht="15" customHeight="1" x14ac:dyDescent="0.75"/>
    <row r="2782" customFormat="1" ht="15" customHeight="1" x14ac:dyDescent="0.75"/>
    <row r="2783" customFormat="1" ht="15" customHeight="1" x14ac:dyDescent="0.75"/>
    <row r="2784" customFormat="1" ht="15" customHeight="1" x14ac:dyDescent="0.75"/>
    <row r="2785" customFormat="1" ht="15" customHeight="1" x14ac:dyDescent="0.75"/>
    <row r="2786" customFormat="1" ht="15" customHeight="1" x14ac:dyDescent="0.75"/>
    <row r="2787" customFormat="1" ht="15" customHeight="1" x14ac:dyDescent="0.75"/>
    <row r="2788" customFormat="1" ht="15" customHeight="1" x14ac:dyDescent="0.75"/>
    <row r="2789" customFormat="1" ht="15" customHeight="1" x14ac:dyDescent="0.75"/>
    <row r="2790" customFormat="1" ht="15" customHeight="1" x14ac:dyDescent="0.75"/>
    <row r="2791" customFormat="1" ht="15" customHeight="1" x14ac:dyDescent="0.75"/>
    <row r="2792" customFormat="1" ht="15" customHeight="1" x14ac:dyDescent="0.75"/>
    <row r="2793" customFormat="1" ht="15" customHeight="1" x14ac:dyDescent="0.75"/>
    <row r="2794" customFormat="1" ht="15" customHeight="1" x14ac:dyDescent="0.75"/>
    <row r="2795" customFormat="1" ht="15" customHeight="1" x14ac:dyDescent="0.75"/>
    <row r="2796" customFormat="1" ht="15" customHeight="1" x14ac:dyDescent="0.75"/>
    <row r="2797" customFormat="1" ht="12" customHeight="1" x14ac:dyDescent="0.75"/>
    <row r="2798" customFormat="1" ht="15" customHeight="1" x14ac:dyDescent="0.75"/>
    <row r="2799" customFormat="1" ht="15" customHeight="1" x14ac:dyDescent="0.75"/>
    <row r="2800" customFormat="1" ht="15" customHeight="1" x14ac:dyDescent="0.75"/>
    <row r="2801" customFormat="1" ht="15" customHeight="1" x14ac:dyDescent="0.75"/>
    <row r="2802" customFormat="1" ht="15" customHeight="1" x14ac:dyDescent="0.75"/>
    <row r="2803" customFormat="1" ht="15" customHeight="1" x14ac:dyDescent="0.75"/>
    <row r="2804" customFormat="1" ht="15" customHeight="1" x14ac:dyDescent="0.75"/>
    <row r="2805" customFormat="1" ht="15" customHeight="1" x14ac:dyDescent="0.75"/>
    <row r="2806" customFormat="1" ht="15" customHeight="1" x14ac:dyDescent="0.75"/>
    <row r="2807" customFormat="1" ht="15" customHeight="1" x14ac:dyDescent="0.75"/>
    <row r="2808" customFormat="1" ht="15" customHeight="1" x14ac:dyDescent="0.75"/>
    <row r="2809" customFormat="1" ht="15" customHeight="1" x14ac:dyDescent="0.75"/>
    <row r="2810" customFormat="1" ht="15" customHeight="1" x14ac:dyDescent="0.75"/>
    <row r="2811" customFormat="1" ht="15" customHeight="1" x14ac:dyDescent="0.75"/>
    <row r="2812" customFormat="1" ht="15" customHeight="1" x14ac:dyDescent="0.75"/>
    <row r="2813" customFormat="1" ht="15" customHeight="1" x14ac:dyDescent="0.75"/>
    <row r="2814" customFormat="1" ht="15" customHeight="1" x14ac:dyDescent="0.75"/>
    <row r="2815" customFormat="1" ht="12" customHeight="1" x14ac:dyDescent="0.75"/>
    <row r="2816" customFormat="1" ht="15" customHeight="1" x14ac:dyDescent="0.75"/>
    <row r="2817" customFormat="1" ht="15" customHeight="1" x14ac:dyDescent="0.75"/>
    <row r="2818" customFormat="1" ht="15" customHeight="1" x14ac:dyDescent="0.75"/>
    <row r="2819" customFormat="1" ht="15" customHeight="1" x14ac:dyDescent="0.75"/>
    <row r="2820" customFormat="1" ht="15" customHeight="1" x14ac:dyDescent="0.75"/>
    <row r="2821" customFormat="1" ht="15" customHeight="1" x14ac:dyDescent="0.75"/>
    <row r="2822" customFormat="1" ht="15" customHeight="1" x14ac:dyDescent="0.75"/>
    <row r="2823" customFormat="1" ht="15" customHeight="1" x14ac:dyDescent="0.75"/>
    <row r="2824" customFormat="1" ht="15" customHeight="1" x14ac:dyDescent="0.75"/>
    <row r="2825" customFormat="1" ht="15" customHeight="1" x14ac:dyDescent="0.75"/>
    <row r="2826" customFormat="1" ht="15" customHeight="1" x14ac:dyDescent="0.75"/>
    <row r="2827" customFormat="1" ht="15" customHeight="1" x14ac:dyDescent="0.75"/>
    <row r="2828" customFormat="1" ht="15" customHeight="1" x14ac:dyDescent="0.75"/>
    <row r="2829" customFormat="1" ht="15" customHeight="1" x14ac:dyDescent="0.75"/>
    <row r="2830" customFormat="1" ht="15" customHeight="1" x14ac:dyDescent="0.75"/>
    <row r="2831" customFormat="1" ht="15" customHeight="1" x14ac:dyDescent="0.75"/>
    <row r="2832" customFormat="1" ht="15" customHeight="1" x14ac:dyDescent="0.75"/>
    <row r="2833" customFormat="1" ht="12" customHeight="1" x14ac:dyDescent="0.75"/>
    <row r="2834" customFormat="1" ht="15" customHeight="1" x14ac:dyDescent="0.75"/>
    <row r="2835" customFormat="1" ht="15" customHeight="1" x14ac:dyDescent="0.75"/>
    <row r="2836" customFormat="1" ht="15" customHeight="1" x14ac:dyDescent="0.75"/>
    <row r="2837" customFormat="1" ht="15" customHeight="1" x14ac:dyDescent="0.75"/>
    <row r="2838" customFormat="1" ht="15" customHeight="1" x14ac:dyDescent="0.75"/>
    <row r="2839" customFormat="1" ht="15" customHeight="1" x14ac:dyDescent="0.75"/>
    <row r="2840" customFormat="1" ht="15" customHeight="1" x14ac:dyDescent="0.75"/>
    <row r="2841" customFormat="1" ht="15" customHeight="1" x14ac:dyDescent="0.75"/>
    <row r="2842" customFormat="1" ht="15" customHeight="1" x14ac:dyDescent="0.75"/>
    <row r="2843" customFormat="1" ht="15" customHeight="1" x14ac:dyDescent="0.75"/>
    <row r="2844" customFormat="1" ht="15" customHeight="1" x14ac:dyDescent="0.75"/>
    <row r="2845" customFormat="1" ht="15" customHeight="1" x14ac:dyDescent="0.75"/>
    <row r="2846" customFormat="1" ht="15" customHeight="1" x14ac:dyDescent="0.75"/>
    <row r="2847" customFormat="1" ht="15" customHeight="1" x14ac:dyDescent="0.75"/>
    <row r="2848" customFormat="1" ht="15" customHeight="1" x14ac:dyDescent="0.75"/>
    <row r="2849" customFormat="1" ht="15" customHeight="1" x14ac:dyDescent="0.75"/>
    <row r="2850" customFormat="1" ht="15" customHeight="1" x14ac:dyDescent="0.75"/>
    <row r="2851" customFormat="1" ht="12" customHeight="1" x14ac:dyDescent="0.75"/>
    <row r="2852" customFormat="1" ht="15" customHeight="1" x14ac:dyDescent="0.75"/>
    <row r="2853" customFormat="1" ht="15" customHeight="1" x14ac:dyDescent="0.75"/>
    <row r="2854" customFormat="1" ht="15" customHeight="1" x14ac:dyDescent="0.75"/>
    <row r="2855" customFormat="1" ht="15" customHeight="1" x14ac:dyDescent="0.75"/>
    <row r="2856" customFormat="1" ht="15" customHeight="1" x14ac:dyDescent="0.75"/>
    <row r="2857" customFormat="1" ht="15" customHeight="1" x14ac:dyDescent="0.75"/>
    <row r="2858" customFormat="1" ht="15" customHeight="1" x14ac:dyDescent="0.75"/>
    <row r="2859" customFormat="1" ht="15" customHeight="1" x14ac:dyDescent="0.75"/>
    <row r="2860" customFormat="1" ht="15" customHeight="1" x14ac:dyDescent="0.75"/>
    <row r="2861" customFormat="1" ht="15" customHeight="1" x14ac:dyDescent="0.75"/>
    <row r="2862" customFormat="1" ht="15" customHeight="1" x14ac:dyDescent="0.75"/>
    <row r="2863" customFormat="1" ht="15" customHeight="1" x14ac:dyDescent="0.75"/>
    <row r="2864" customFormat="1" ht="15" customHeight="1" x14ac:dyDescent="0.75"/>
    <row r="2865" customFormat="1" ht="15" customHeight="1" x14ac:dyDescent="0.75"/>
    <row r="2866" customFormat="1" ht="15" customHeight="1" x14ac:dyDescent="0.75"/>
    <row r="2867" customFormat="1" ht="15" customHeight="1" x14ac:dyDescent="0.75"/>
    <row r="2868" customFormat="1" ht="15" customHeight="1" x14ac:dyDescent="0.75"/>
    <row r="2869" customFormat="1" ht="15" customHeight="1" x14ac:dyDescent="0.75"/>
    <row r="2870" customFormat="1" ht="15" customHeight="1" x14ac:dyDescent="0.75"/>
    <row r="2871" customFormat="1" ht="15" customHeight="1" x14ac:dyDescent="0.75"/>
    <row r="2872" customFormat="1" ht="15" customHeight="1" x14ac:dyDescent="0.75"/>
    <row r="2873" customFormat="1" ht="15" customHeight="1" x14ac:dyDescent="0.75"/>
    <row r="2874" customFormat="1" ht="15" customHeight="1" x14ac:dyDescent="0.75"/>
    <row r="2875" customFormat="1" ht="15" customHeight="1" x14ac:dyDescent="0.75"/>
    <row r="2876" customFormat="1" ht="15" customHeight="1" x14ac:dyDescent="0.75"/>
    <row r="2877" customFormat="1" ht="15" customHeight="1" x14ac:dyDescent="0.75"/>
    <row r="2878" customFormat="1" ht="15" customHeight="1" x14ac:dyDescent="0.75"/>
    <row r="2879" customFormat="1" ht="15" customHeight="1" x14ac:dyDescent="0.75"/>
    <row r="2880" customFormat="1" ht="15" customHeight="1" x14ac:dyDescent="0.75"/>
    <row r="2881" customFormat="1" ht="15" customHeight="1" x14ac:dyDescent="0.75"/>
    <row r="2882" customFormat="1" ht="15" customHeight="1" x14ac:dyDescent="0.75"/>
    <row r="2883" customFormat="1" ht="15" customHeight="1" x14ac:dyDescent="0.75"/>
    <row r="2884" customFormat="1" ht="15" customHeight="1" x14ac:dyDescent="0.75"/>
    <row r="2885" customFormat="1" ht="15" customHeight="1" x14ac:dyDescent="0.75"/>
    <row r="2886" customFormat="1" ht="12" customHeight="1" x14ac:dyDescent="0.75"/>
    <row r="2887" customFormat="1" ht="15" customHeight="1" x14ac:dyDescent="0.75"/>
    <row r="2888" customFormat="1" ht="15" customHeight="1" x14ac:dyDescent="0.75"/>
    <row r="2889" customFormat="1" ht="15" customHeight="1" x14ac:dyDescent="0.75"/>
    <row r="2890" customFormat="1" ht="15" customHeight="1" x14ac:dyDescent="0.75"/>
    <row r="2891" customFormat="1" ht="15" customHeight="1" x14ac:dyDescent="0.75"/>
    <row r="2892" customFormat="1" ht="15" customHeight="1" x14ac:dyDescent="0.75"/>
    <row r="2893" customFormat="1" ht="15" customHeight="1" x14ac:dyDescent="0.75"/>
    <row r="2894" customFormat="1" ht="15" customHeight="1" x14ac:dyDescent="0.75"/>
    <row r="2895" customFormat="1" ht="15" customHeight="1" x14ac:dyDescent="0.75"/>
    <row r="2896" customFormat="1" ht="15" customHeight="1" x14ac:dyDescent="0.75"/>
    <row r="2897" customFormat="1" ht="15" customHeight="1" x14ac:dyDescent="0.75"/>
    <row r="2898" customFormat="1" ht="15" customHeight="1" x14ac:dyDescent="0.75"/>
    <row r="2899" customFormat="1" ht="15" customHeight="1" x14ac:dyDescent="0.75"/>
    <row r="2900" customFormat="1" ht="15" customHeight="1" x14ac:dyDescent="0.75"/>
    <row r="2901" customFormat="1" ht="15" customHeight="1" x14ac:dyDescent="0.75"/>
    <row r="2902" customFormat="1" ht="15" customHeight="1" x14ac:dyDescent="0.75"/>
    <row r="2903" customFormat="1" ht="15" customHeight="1" x14ac:dyDescent="0.75"/>
    <row r="2904" customFormat="1" ht="12" customHeight="1" x14ac:dyDescent="0.75"/>
    <row r="2905" customFormat="1" ht="15" customHeight="1" x14ac:dyDescent="0.75"/>
    <row r="2906" customFormat="1" ht="15" customHeight="1" x14ac:dyDescent="0.75"/>
    <row r="2907" customFormat="1" ht="15" customHeight="1" x14ac:dyDescent="0.75"/>
    <row r="2908" customFormat="1" ht="15" customHeight="1" x14ac:dyDescent="0.75"/>
    <row r="2909" customFormat="1" ht="15" customHeight="1" x14ac:dyDescent="0.75"/>
    <row r="2910" customFormat="1" ht="15" customHeight="1" x14ac:dyDescent="0.75"/>
    <row r="2911" customFormat="1" ht="15" customHeight="1" x14ac:dyDescent="0.75"/>
    <row r="2912" customFormat="1" ht="15" customHeight="1" x14ac:dyDescent="0.75"/>
    <row r="2913" customFormat="1" ht="15" customHeight="1" x14ac:dyDescent="0.75"/>
    <row r="2914" customFormat="1" ht="15" customHeight="1" x14ac:dyDescent="0.75"/>
    <row r="2915" customFormat="1" ht="15" customHeight="1" x14ac:dyDescent="0.75"/>
    <row r="2916" customFormat="1" ht="15" customHeight="1" x14ac:dyDescent="0.75"/>
    <row r="2917" customFormat="1" ht="15" customHeight="1" x14ac:dyDescent="0.75"/>
    <row r="2918" customFormat="1" ht="15" customHeight="1" x14ac:dyDescent="0.75"/>
    <row r="2919" customFormat="1" ht="15" customHeight="1" x14ac:dyDescent="0.75"/>
    <row r="2920" customFormat="1" ht="15" customHeight="1" x14ac:dyDescent="0.75"/>
    <row r="2921" customFormat="1" ht="15" customHeight="1" x14ac:dyDescent="0.75"/>
    <row r="2922" customFormat="1" ht="15" customHeight="1" x14ac:dyDescent="0.75"/>
    <row r="2923" customFormat="1" ht="15" customHeight="1" x14ac:dyDescent="0.75"/>
    <row r="2924" customFormat="1" ht="15" customHeight="1" x14ac:dyDescent="0.75"/>
    <row r="2925" customFormat="1" ht="15" customHeight="1" x14ac:dyDescent="0.75"/>
    <row r="2926" customFormat="1" ht="15" customHeight="1" x14ac:dyDescent="0.75"/>
    <row r="2927" customFormat="1" ht="15" customHeight="1" x14ac:dyDescent="0.75"/>
    <row r="2928" customFormat="1" ht="15" customHeight="1" x14ac:dyDescent="0.75"/>
    <row r="2929" customFormat="1" ht="15" customHeight="1" x14ac:dyDescent="0.75"/>
    <row r="2930" customFormat="1" ht="15" customHeight="1" x14ac:dyDescent="0.75"/>
    <row r="2931" customFormat="1" ht="15" customHeight="1" x14ac:dyDescent="0.75"/>
    <row r="2932" customFormat="1" ht="15" customHeight="1" x14ac:dyDescent="0.75"/>
    <row r="2933" customFormat="1" ht="15" customHeight="1" x14ac:dyDescent="0.75"/>
    <row r="2934" customFormat="1" ht="15" customHeight="1" x14ac:dyDescent="0.75"/>
    <row r="2935" customFormat="1" ht="15" customHeight="1" x14ac:dyDescent="0.75"/>
    <row r="2936" customFormat="1" ht="15" customHeight="1" x14ac:dyDescent="0.75"/>
    <row r="2937" customFormat="1" ht="15" customHeight="1" x14ac:dyDescent="0.75"/>
    <row r="2938" customFormat="1" ht="15" customHeight="1" x14ac:dyDescent="0.75"/>
    <row r="2939" customFormat="1" ht="12" customHeight="1" x14ac:dyDescent="0.75"/>
    <row r="2940" customFormat="1" ht="15" customHeight="1" x14ac:dyDescent="0.75"/>
    <row r="2941" customFormat="1" ht="15" customHeight="1" x14ac:dyDescent="0.75"/>
    <row r="2942" customFormat="1" ht="15" customHeight="1" x14ac:dyDescent="0.75"/>
    <row r="2943" customFormat="1" ht="15" customHeight="1" x14ac:dyDescent="0.75"/>
    <row r="2944" customFormat="1" ht="15" customHeight="1" x14ac:dyDescent="0.75"/>
    <row r="2945" customFormat="1" ht="15" customHeight="1" x14ac:dyDescent="0.75"/>
    <row r="2946" customFormat="1" ht="15" customHeight="1" x14ac:dyDescent="0.75"/>
    <row r="2947" customFormat="1" ht="15" customHeight="1" x14ac:dyDescent="0.75"/>
    <row r="2948" customFormat="1" ht="15" customHeight="1" x14ac:dyDescent="0.75"/>
    <row r="2949" customFormat="1" ht="15" customHeight="1" x14ac:dyDescent="0.75"/>
    <row r="2950" customFormat="1" ht="15" customHeight="1" x14ac:dyDescent="0.75"/>
    <row r="2951" customFormat="1" ht="15" customHeight="1" x14ac:dyDescent="0.75"/>
    <row r="2952" customFormat="1" ht="15" customHeight="1" x14ac:dyDescent="0.75"/>
    <row r="2953" customFormat="1" ht="15" customHeight="1" x14ac:dyDescent="0.75"/>
    <row r="2954" customFormat="1" ht="15" customHeight="1" x14ac:dyDescent="0.75"/>
    <row r="2955" customFormat="1" ht="15" customHeight="1" x14ac:dyDescent="0.75"/>
    <row r="2956" customFormat="1" ht="15" customHeight="1" x14ac:dyDescent="0.75"/>
    <row r="2957" customFormat="1" ht="12" customHeight="1" x14ac:dyDescent="0.75"/>
    <row r="2958" customFormat="1" ht="15" customHeight="1" x14ac:dyDescent="0.75"/>
    <row r="2959" customFormat="1" ht="15" customHeight="1" x14ac:dyDescent="0.75"/>
    <row r="2960" customFormat="1" ht="15" customHeight="1" x14ac:dyDescent="0.75"/>
    <row r="2961" customFormat="1" ht="15" customHeight="1" x14ac:dyDescent="0.75"/>
    <row r="2962" customFormat="1" ht="15" customHeight="1" x14ac:dyDescent="0.75"/>
    <row r="2963" customFormat="1" ht="15" customHeight="1" x14ac:dyDescent="0.75"/>
    <row r="2964" customFormat="1" ht="15" customHeight="1" x14ac:dyDescent="0.75"/>
    <row r="2965" customFormat="1" ht="15" customHeight="1" x14ac:dyDescent="0.75"/>
    <row r="2966" customFormat="1" ht="15" customHeight="1" x14ac:dyDescent="0.75"/>
    <row r="2967" customFormat="1" ht="15" customHeight="1" x14ac:dyDescent="0.75"/>
    <row r="2968" customFormat="1" ht="15" customHeight="1" x14ac:dyDescent="0.75"/>
    <row r="2969" customFormat="1" ht="15" customHeight="1" x14ac:dyDescent="0.75"/>
    <row r="2970" customFormat="1" ht="15" customHeight="1" x14ac:dyDescent="0.75"/>
    <row r="2971" customFormat="1" ht="15" customHeight="1" x14ac:dyDescent="0.75"/>
    <row r="2972" customFormat="1" ht="15" customHeight="1" x14ac:dyDescent="0.75"/>
    <row r="2973" customFormat="1" ht="15" customHeight="1" x14ac:dyDescent="0.75"/>
    <row r="2974" customFormat="1" ht="15" customHeight="1" x14ac:dyDescent="0.75"/>
    <row r="2975" customFormat="1" ht="12" customHeight="1" x14ac:dyDescent="0.75"/>
    <row r="2976" customFormat="1" ht="15" customHeight="1" x14ac:dyDescent="0.75"/>
    <row r="2977" customFormat="1" ht="15" customHeight="1" x14ac:dyDescent="0.75"/>
    <row r="2978" customFormat="1" ht="15" customHeight="1" x14ac:dyDescent="0.75"/>
    <row r="2979" customFormat="1" ht="15" customHeight="1" x14ac:dyDescent="0.75"/>
    <row r="2980" customFormat="1" ht="15" customHeight="1" x14ac:dyDescent="0.75"/>
    <row r="2981" customFormat="1" ht="15" customHeight="1" x14ac:dyDescent="0.75"/>
    <row r="2982" customFormat="1" ht="15" customHeight="1" x14ac:dyDescent="0.75"/>
    <row r="2983" customFormat="1" ht="15" customHeight="1" x14ac:dyDescent="0.75"/>
    <row r="2984" customFormat="1" ht="15" customHeight="1" x14ac:dyDescent="0.75"/>
    <row r="2985" customFormat="1" ht="15" customHeight="1" x14ac:dyDescent="0.75"/>
    <row r="2986" customFormat="1" ht="15" customHeight="1" x14ac:dyDescent="0.75"/>
    <row r="2987" customFormat="1" ht="15" customHeight="1" x14ac:dyDescent="0.75"/>
    <row r="2988" customFormat="1" ht="15" customHeight="1" x14ac:dyDescent="0.75"/>
    <row r="2989" customFormat="1" ht="15" customHeight="1" x14ac:dyDescent="0.75"/>
    <row r="2990" customFormat="1" ht="15" customHeight="1" x14ac:dyDescent="0.75"/>
    <row r="2991" customFormat="1" ht="15" customHeight="1" x14ac:dyDescent="0.75"/>
    <row r="2992" customFormat="1" ht="15" customHeight="1" x14ac:dyDescent="0.75"/>
    <row r="2993" customFormat="1" ht="12" customHeight="1" x14ac:dyDescent="0.75"/>
    <row r="2994" customFormat="1" ht="15" customHeight="1" x14ac:dyDescent="0.75"/>
    <row r="2995" customFormat="1" ht="15" customHeight="1" x14ac:dyDescent="0.75"/>
    <row r="2996" customFormat="1" ht="15" customHeight="1" x14ac:dyDescent="0.75"/>
    <row r="2997" customFormat="1" ht="15" customHeight="1" x14ac:dyDescent="0.75"/>
    <row r="2998" customFormat="1" ht="15" customHeight="1" x14ac:dyDescent="0.75"/>
    <row r="2999" customFormat="1" ht="15" customHeight="1" x14ac:dyDescent="0.75"/>
    <row r="3000" customFormat="1" ht="15" customHeight="1" x14ac:dyDescent="0.75"/>
    <row r="3001" customFormat="1" ht="15" customHeight="1" x14ac:dyDescent="0.75"/>
    <row r="3002" customFormat="1" ht="15" customHeight="1" x14ac:dyDescent="0.75"/>
    <row r="3003" customFormat="1" ht="15" customHeight="1" x14ac:dyDescent="0.75"/>
    <row r="3004" customFormat="1" ht="15" customHeight="1" x14ac:dyDescent="0.75"/>
    <row r="3005" customFormat="1" ht="15" customHeight="1" x14ac:dyDescent="0.75"/>
    <row r="3006" customFormat="1" ht="15" customHeight="1" x14ac:dyDescent="0.75"/>
    <row r="3007" customFormat="1" ht="15" customHeight="1" x14ac:dyDescent="0.75"/>
    <row r="3008" customFormat="1" ht="15" customHeight="1" x14ac:dyDescent="0.75"/>
    <row r="3009" customFormat="1" ht="15" customHeight="1" x14ac:dyDescent="0.75"/>
    <row r="3010" customFormat="1" ht="15" customHeight="1" x14ac:dyDescent="0.75"/>
    <row r="3011" customFormat="1" ht="12" customHeight="1" x14ac:dyDescent="0.75"/>
    <row r="3012" customFormat="1" ht="15" customHeight="1" x14ac:dyDescent="0.75"/>
    <row r="3013" customFormat="1" ht="15" customHeight="1" x14ac:dyDescent="0.75"/>
    <row r="3014" customFormat="1" ht="15" customHeight="1" x14ac:dyDescent="0.75"/>
    <row r="3015" customFormat="1" ht="15" customHeight="1" x14ac:dyDescent="0.75"/>
    <row r="3016" customFormat="1" ht="15" customHeight="1" x14ac:dyDescent="0.75"/>
    <row r="3017" customFormat="1" ht="15" customHeight="1" x14ac:dyDescent="0.75"/>
    <row r="3018" customFormat="1" ht="15" customHeight="1" x14ac:dyDescent="0.75"/>
    <row r="3019" customFormat="1" ht="15" customHeight="1" x14ac:dyDescent="0.75"/>
    <row r="3020" customFormat="1" ht="15" customHeight="1" x14ac:dyDescent="0.75"/>
    <row r="3021" customFormat="1" ht="15" customHeight="1" x14ac:dyDescent="0.75"/>
    <row r="3022" customFormat="1" ht="15" customHeight="1" x14ac:dyDescent="0.75"/>
    <row r="3023" customFormat="1" ht="15" customHeight="1" x14ac:dyDescent="0.75"/>
    <row r="3024" customFormat="1" ht="15" customHeight="1" x14ac:dyDescent="0.75"/>
    <row r="3025" customFormat="1" ht="15" customHeight="1" x14ac:dyDescent="0.75"/>
    <row r="3026" customFormat="1" ht="15" customHeight="1" x14ac:dyDescent="0.75"/>
    <row r="3027" customFormat="1" ht="15" customHeight="1" x14ac:dyDescent="0.75"/>
    <row r="3028" customFormat="1" ht="15" customHeight="1" x14ac:dyDescent="0.75"/>
    <row r="3029" customFormat="1" ht="12" customHeight="1" x14ac:dyDescent="0.75"/>
    <row r="3030" customFormat="1" ht="15" customHeight="1" x14ac:dyDescent="0.75"/>
    <row r="3031" customFormat="1" ht="15" customHeight="1" x14ac:dyDescent="0.75"/>
    <row r="3032" customFormat="1" ht="15" customHeight="1" x14ac:dyDescent="0.75"/>
    <row r="3033" customFormat="1" ht="15" customHeight="1" x14ac:dyDescent="0.75"/>
    <row r="3034" customFormat="1" ht="15" customHeight="1" x14ac:dyDescent="0.75"/>
    <row r="3035" customFormat="1" ht="15" customHeight="1" x14ac:dyDescent="0.75"/>
    <row r="3036" customFormat="1" ht="15" customHeight="1" x14ac:dyDescent="0.75"/>
    <row r="3037" customFormat="1" ht="15" customHeight="1" x14ac:dyDescent="0.75"/>
    <row r="3038" customFormat="1" ht="15" customHeight="1" x14ac:dyDescent="0.75"/>
    <row r="3039" customFormat="1" ht="15" customHeight="1" x14ac:dyDescent="0.75"/>
    <row r="3040" customFormat="1" ht="15" customHeight="1" x14ac:dyDescent="0.75"/>
    <row r="3041" customFormat="1" ht="15" customHeight="1" x14ac:dyDescent="0.75"/>
    <row r="3042" customFormat="1" ht="15" customHeight="1" x14ac:dyDescent="0.75"/>
    <row r="3043" customFormat="1" ht="15" customHeight="1" x14ac:dyDescent="0.75"/>
    <row r="3044" customFormat="1" ht="15" customHeight="1" x14ac:dyDescent="0.75"/>
    <row r="3045" customFormat="1" ht="15" customHeight="1" x14ac:dyDescent="0.75"/>
    <row r="3046" customFormat="1" ht="15" customHeight="1" x14ac:dyDescent="0.75"/>
    <row r="3047" customFormat="1" ht="12" customHeight="1" x14ac:dyDescent="0.75"/>
    <row r="3048" customFormat="1" ht="15" customHeight="1" x14ac:dyDescent="0.75"/>
    <row r="3049" customFormat="1" ht="15" customHeight="1" x14ac:dyDescent="0.75"/>
    <row r="3050" customFormat="1" ht="15" customHeight="1" x14ac:dyDescent="0.75"/>
    <row r="3051" customFormat="1" ht="15" customHeight="1" x14ac:dyDescent="0.75"/>
    <row r="3052" customFormat="1" ht="15" customHeight="1" x14ac:dyDescent="0.75"/>
    <row r="3053" customFormat="1" ht="15" customHeight="1" x14ac:dyDescent="0.75"/>
    <row r="3054" customFormat="1" ht="15" customHeight="1" x14ac:dyDescent="0.75"/>
    <row r="3055" customFormat="1" ht="15" customHeight="1" x14ac:dyDescent="0.75"/>
    <row r="3056" customFormat="1" ht="15" customHeight="1" x14ac:dyDescent="0.75"/>
    <row r="3057" customFormat="1" ht="15" customHeight="1" x14ac:dyDescent="0.75"/>
    <row r="3058" customFormat="1" ht="15" customHeight="1" x14ac:dyDescent="0.75"/>
    <row r="3059" customFormat="1" ht="15" customHeight="1" x14ac:dyDescent="0.75"/>
    <row r="3060" customFormat="1" ht="15" customHeight="1" x14ac:dyDescent="0.75"/>
    <row r="3061" customFormat="1" ht="15" customHeight="1" x14ac:dyDescent="0.75"/>
    <row r="3062" customFormat="1" ht="15" customHeight="1" x14ac:dyDescent="0.75"/>
    <row r="3063" customFormat="1" ht="15" customHeight="1" x14ac:dyDescent="0.75"/>
    <row r="3064" customFormat="1" ht="15" customHeight="1" x14ac:dyDescent="0.75"/>
    <row r="3065" customFormat="1" ht="12" customHeight="1" x14ac:dyDescent="0.75"/>
    <row r="3066" customFormat="1" ht="15" customHeight="1" x14ac:dyDescent="0.75"/>
    <row r="3067" customFormat="1" ht="15" customHeight="1" x14ac:dyDescent="0.75"/>
    <row r="3068" customFormat="1" ht="15" customHeight="1" x14ac:dyDescent="0.75"/>
    <row r="3069" customFormat="1" ht="15" customHeight="1" x14ac:dyDescent="0.75"/>
    <row r="3070" customFormat="1" ht="12" customHeight="1" x14ac:dyDescent="0.75"/>
    <row r="3071" customFormat="1" ht="12" customHeight="1" x14ac:dyDescent="0.75"/>
    <row r="3072" customFormat="1" ht="15" customHeight="1" x14ac:dyDescent="0.75"/>
    <row r="3073" spans="2:32" ht="15" customHeight="1" x14ac:dyDescent="0.75"/>
    <row r="3074" spans="2:32" ht="15" customHeight="1" x14ac:dyDescent="0.75"/>
    <row r="3075" spans="2:32" ht="15" customHeight="1" x14ac:dyDescent="0.75"/>
    <row r="3076" spans="2:32" ht="15" customHeight="1" x14ac:dyDescent="0.75">
      <c r="B3076" s="101"/>
      <c r="C3076" s="101"/>
      <c r="D3076" s="101"/>
      <c r="E3076" s="101"/>
      <c r="F3076" s="101"/>
      <c r="G3076" s="101"/>
      <c r="H3076" s="101"/>
      <c r="I3076" s="101"/>
      <c r="J3076" s="101"/>
      <c r="K3076" s="101"/>
      <c r="L3076" s="101"/>
      <c r="M3076" s="101"/>
      <c r="N3076" s="101"/>
      <c r="O3076" s="101"/>
      <c r="P3076" s="101"/>
      <c r="Q3076" s="101"/>
      <c r="R3076" s="101"/>
      <c r="S3076" s="101"/>
      <c r="T3076" s="101"/>
      <c r="U3076" s="101"/>
      <c r="V3076" s="101"/>
      <c r="W3076" s="101"/>
      <c r="X3076" s="101"/>
      <c r="Y3076" s="101"/>
      <c r="Z3076" s="101"/>
      <c r="AA3076" s="101"/>
      <c r="AB3076" s="101"/>
      <c r="AC3076" s="101"/>
      <c r="AD3076" s="101"/>
      <c r="AE3076" s="101"/>
      <c r="AF3076" s="101"/>
    </row>
    <row r="3077" spans="2:32" ht="15" customHeight="1" x14ac:dyDescent="0.75"/>
    <row r="3078" spans="2:32" ht="15" customHeight="1" x14ac:dyDescent="0.75"/>
    <row r="3079" spans="2:32" ht="12" customHeight="1" x14ac:dyDescent="0.75"/>
    <row r="3080" spans="2:32" ht="12" customHeight="1" x14ac:dyDescent="0.75"/>
    <row r="3081" spans="2:32" ht="12" customHeight="1" x14ac:dyDescent="0.75"/>
    <row r="3082" spans="2:32" ht="12" customHeight="1" x14ac:dyDescent="0.75"/>
    <row r="3083" spans="2:32" ht="12" customHeight="1" x14ac:dyDescent="0.75"/>
    <row r="3084" spans="2:32" ht="12" customHeight="1" x14ac:dyDescent="0.75"/>
    <row r="3085" spans="2:32" ht="12" customHeight="1" x14ac:dyDescent="0.75"/>
    <row r="3086" spans="2:32" ht="12" customHeight="1" x14ac:dyDescent="0.75"/>
    <row r="3087" spans="2:32" ht="12" customHeight="1" x14ac:dyDescent="0.75"/>
    <row r="3088" spans="2:32" ht="12" customHeight="1" x14ac:dyDescent="0.75"/>
    <row r="3089" customFormat="1" ht="12" customHeight="1" x14ac:dyDescent="0.75"/>
    <row r="3090" customFormat="1" ht="12" customHeight="1" x14ac:dyDescent="0.75"/>
    <row r="3091" customFormat="1" ht="12" customHeight="1" x14ac:dyDescent="0.75"/>
    <row r="3092" customFormat="1" ht="12" customHeight="1" x14ac:dyDescent="0.75"/>
    <row r="3093" customFormat="1" ht="12" customHeight="1" x14ac:dyDescent="0.75"/>
    <row r="3094" customFormat="1" ht="12" customHeight="1" x14ac:dyDescent="0.75"/>
    <row r="3095" customFormat="1" ht="12" customHeight="1" x14ac:dyDescent="0.75"/>
    <row r="3096" customFormat="1" ht="12" customHeight="1" x14ac:dyDescent="0.75"/>
    <row r="3097" customFormat="1" ht="12" customHeight="1" x14ac:dyDescent="0.75"/>
    <row r="3098" customFormat="1" ht="12" customHeight="1" x14ac:dyDescent="0.75"/>
    <row r="3099" customFormat="1" ht="12" customHeight="1" x14ac:dyDescent="0.75"/>
    <row r="3100" customFormat="1" ht="15" customHeight="1" x14ac:dyDescent="0.75"/>
    <row r="3101" customFormat="1" ht="15" customHeight="1" x14ac:dyDescent="0.75"/>
    <row r="3102" customFormat="1" ht="15" customHeight="1" x14ac:dyDescent="0.75"/>
    <row r="3103" customFormat="1" ht="15" customHeight="1" x14ac:dyDescent="0.75"/>
    <row r="3104" customFormat="1" ht="15" customHeight="1" x14ac:dyDescent="0.75"/>
    <row r="3105" customFormat="1" ht="15" customHeight="1" x14ac:dyDescent="0.75"/>
    <row r="3106" customFormat="1" ht="15" customHeight="1" x14ac:dyDescent="0.75"/>
    <row r="3107" customFormat="1" ht="15" customHeight="1" x14ac:dyDescent="0.75"/>
    <row r="3108" customFormat="1" ht="15" customHeight="1" x14ac:dyDescent="0.75"/>
    <row r="3109" customFormat="1" ht="15" customHeight="1" x14ac:dyDescent="0.75"/>
    <row r="3110" customFormat="1" ht="15" customHeight="1" x14ac:dyDescent="0.75"/>
    <row r="3111" customFormat="1" ht="15" customHeight="1" x14ac:dyDescent="0.75"/>
    <row r="3112" customFormat="1" ht="15" customHeight="1" x14ac:dyDescent="0.75"/>
    <row r="3113" customFormat="1" ht="15" customHeight="1" x14ac:dyDescent="0.75"/>
    <row r="3114" customFormat="1" ht="15" customHeight="1" x14ac:dyDescent="0.75"/>
    <row r="3115" customFormat="1" ht="15" customHeight="1" x14ac:dyDescent="0.75"/>
    <row r="3116" customFormat="1" ht="15" customHeight="1" x14ac:dyDescent="0.75"/>
    <row r="3117" customFormat="1" ht="15" customHeight="1" x14ac:dyDescent="0.75"/>
    <row r="3118" customFormat="1" ht="15" customHeight="1" x14ac:dyDescent="0.75"/>
    <row r="3119" customFormat="1" ht="15" customHeight="1" x14ac:dyDescent="0.75"/>
    <row r="3120" customFormat="1" ht="15" customHeight="1" x14ac:dyDescent="0.75"/>
    <row r="3121" customFormat="1" ht="15" customHeight="1" x14ac:dyDescent="0.75"/>
    <row r="3122" customFormat="1" ht="12" customHeight="1" x14ac:dyDescent="0.75"/>
    <row r="3123" customFormat="1" ht="15" customHeight="1" x14ac:dyDescent="0.75"/>
    <row r="3124" customFormat="1" ht="15" customHeight="1" x14ac:dyDescent="0.75"/>
    <row r="3125" customFormat="1" ht="15" customHeight="1" x14ac:dyDescent="0.75"/>
    <row r="3126" customFormat="1" ht="15" customHeight="1" x14ac:dyDescent="0.75"/>
    <row r="3127" customFormat="1" ht="15" customHeight="1" x14ac:dyDescent="0.75"/>
    <row r="3128" customFormat="1" ht="15" customHeight="1" x14ac:dyDescent="0.75"/>
    <row r="3129" customFormat="1" ht="15" customHeight="1" x14ac:dyDescent="0.75"/>
    <row r="3130" customFormat="1" ht="15" customHeight="1" x14ac:dyDescent="0.75"/>
    <row r="3131" customFormat="1" ht="15" customHeight="1" x14ac:dyDescent="0.75"/>
    <row r="3132" customFormat="1" ht="15" customHeight="1" x14ac:dyDescent="0.75"/>
    <row r="3133" customFormat="1" ht="15" customHeight="1" x14ac:dyDescent="0.75"/>
    <row r="3134" customFormat="1" ht="15" customHeight="1" x14ac:dyDescent="0.75"/>
    <row r="3135" customFormat="1" ht="15" customHeight="1" x14ac:dyDescent="0.75"/>
    <row r="3136" customFormat="1" ht="15" customHeight="1" x14ac:dyDescent="0.75"/>
    <row r="3137" customFormat="1" ht="15" customHeight="1" x14ac:dyDescent="0.75"/>
    <row r="3138" customFormat="1" ht="15" customHeight="1" x14ac:dyDescent="0.75"/>
    <row r="3139" customFormat="1" ht="15" customHeight="1" x14ac:dyDescent="0.75"/>
    <row r="3140" customFormat="1" ht="12" customHeight="1" x14ac:dyDescent="0.75"/>
    <row r="3141" customFormat="1" ht="15" customHeight="1" x14ac:dyDescent="0.75"/>
    <row r="3142" customFormat="1" ht="15" customHeight="1" x14ac:dyDescent="0.75"/>
    <row r="3143" customFormat="1" ht="15" customHeight="1" x14ac:dyDescent="0.75"/>
    <row r="3144" customFormat="1" ht="15" customHeight="1" x14ac:dyDescent="0.75"/>
    <row r="3145" customFormat="1" ht="15" customHeight="1" x14ac:dyDescent="0.75"/>
    <row r="3146" customFormat="1" ht="15" customHeight="1" x14ac:dyDescent="0.75"/>
    <row r="3147" customFormat="1" ht="15" customHeight="1" x14ac:dyDescent="0.75"/>
    <row r="3148" customFormat="1" ht="15" customHeight="1" x14ac:dyDescent="0.75"/>
    <row r="3149" customFormat="1" ht="15" customHeight="1" x14ac:dyDescent="0.75"/>
    <row r="3150" customFormat="1" ht="15" customHeight="1" x14ac:dyDescent="0.75"/>
    <row r="3151" customFormat="1" ht="15" customHeight="1" x14ac:dyDescent="0.75"/>
    <row r="3152" customFormat="1" ht="15" customHeight="1" x14ac:dyDescent="0.75"/>
    <row r="3153" customFormat="1" ht="15" customHeight="1" x14ac:dyDescent="0.75"/>
    <row r="3154" customFormat="1" ht="15" customHeight="1" x14ac:dyDescent="0.75"/>
    <row r="3155" customFormat="1" ht="15" customHeight="1" x14ac:dyDescent="0.75"/>
    <row r="3156" customFormat="1" ht="15" customHeight="1" x14ac:dyDescent="0.75"/>
    <row r="3157" customFormat="1" ht="15" customHeight="1" x14ac:dyDescent="0.75"/>
    <row r="3158" customFormat="1" ht="12" customHeight="1" x14ac:dyDescent="0.75"/>
    <row r="3159" customFormat="1" ht="15" customHeight="1" x14ac:dyDescent="0.75"/>
    <row r="3160" customFormat="1" ht="15" customHeight="1" x14ac:dyDescent="0.75"/>
    <row r="3161" customFormat="1" ht="15" customHeight="1" x14ac:dyDescent="0.75"/>
    <row r="3162" customFormat="1" ht="15" customHeight="1" x14ac:dyDescent="0.75"/>
    <row r="3163" customFormat="1" ht="15" customHeight="1" x14ac:dyDescent="0.75"/>
    <row r="3164" customFormat="1" ht="15" customHeight="1" x14ac:dyDescent="0.75"/>
    <row r="3165" customFormat="1" ht="15" customHeight="1" x14ac:dyDescent="0.75"/>
    <row r="3166" customFormat="1" ht="15" customHeight="1" x14ac:dyDescent="0.75"/>
    <row r="3167" customFormat="1" ht="15" customHeight="1" x14ac:dyDescent="0.75"/>
    <row r="3168" customFormat="1" ht="15" customHeight="1" x14ac:dyDescent="0.75"/>
    <row r="3169" customFormat="1" ht="15" customHeight="1" x14ac:dyDescent="0.75"/>
    <row r="3170" customFormat="1" ht="15" customHeight="1" x14ac:dyDescent="0.75"/>
    <row r="3171" customFormat="1" ht="15" customHeight="1" x14ac:dyDescent="0.75"/>
    <row r="3172" customFormat="1" ht="15" customHeight="1" x14ac:dyDescent="0.75"/>
    <row r="3173" customFormat="1" ht="15" customHeight="1" x14ac:dyDescent="0.75"/>
    <row r="3174" customFormat="1" ht="15" customHeight="1" x14ac:dyDescent="0.75"/>
    <row r="3175" customFormat="1" ht="15" customHeight="1" x14ac:dyDescent="0.75"/>
    <row r="3176" customFormat="1" ht="12" customHeight="1" x14ac:dyDescent="0.75"/>
    <row r="3177" customFormat="1" ht="15" customHeight="1" x14ac:dyDescent="0.75"/>
    <row r="3178" customFormat="1" ht="15" customHeight="1" x14ac:dyDescent="0.75"/>
    <row r="3179" customFormat="1" ht="15" customHeight="1" x14ac:dyDescent="0.75"/>
    <row r="3180" customFormat="1" ht="15" customHeight="1" x14ac:dyDescent="0.75"/>
    <row r="3181" customFormat="1" ht="15" customHeight="1" x14ac:dyDescent="0.75"/>
    <row r="3182" customFormat="1" ht="15" customHeight="1" x14ac:dyDescent="0.75"/>
    <row r="3183" customFormat="1" ht="15" customHeight="1" x14ac:dyDescent="0.75"/>
    <row r="3184" customFormat="1" ht="15" customHeight="1" x14ac:dyDescent="0.75"/>
    <row r="3185" customFormat="1" ht="15" customHeight="1" x14ac:dyDescent="0.75"/>
    <row r="3186" customFormat="1" ht="15" customHeight="1" x14ac:dyDescent="0.75"/>
    <row r="3187" customFormat="1" ht="15" customHeight="1" x14ac:dyDescent="0.75"/>
    <row r="3188" customFormat="1" ht="15" customHeight="1" x14ac:dyDescent="0.75"/>
    <row r="3189" customFormat="1" ht="15" customHeight="1" x14ac:dyDescent="0.75"/>
    <row r="3190" customFormat="1" ht="15" customHeight="1" x14ac:dyDescent="0.75"/>
    <row r="3191" customFormat="1" ht="15" customHeight="1" x14ac:dyDescent="0.75"/>
    <row r="3192" customFormat="1" ht="15" customHeight="1" x14ac:dyDescent="0.75"/>
    <row r="3193" customFormat="1" ht="15" customHeight="1" x14ac:dyDescent="0.75"/>
    <row r="3194" customFormat="1" ht="15" customHeight="1" x14ac:dyDescent="0.75"/>
    <row r="3195" customFormat="1" ht="15" customHeight="1" x14ac:dyDescent="0.75"/>
    <row r="3196" customFormat="1" ht="15" customHeight="1" x14ac:dyDescent="0.75"/>
    <row r="3197" customFormat="1" ht="15" customHeight="1" x14ac:dyDescent="0.75"/>
    <row r="3198" customFormat="1" ht="15" customHeight="1" x14ac:dyDescent="0.75"/>
    <row r="3199" customFormat="1" ht="15" customHeight="1" x14ac:dyDescent="0.75"/>
    <row r="3200" customFormat="1" ht="15" customHeight="1" x14ac:dyDescent="0.75"/>
    <row r="3201" customFormat="1" ht="15" customHeight="1" x14ac:dyDescent="0.75"/>
    <row r="3202" customFormat="1" ht="15" customHeight="1" x14ac:dyDescent="0.75"/>
    <row r="3203" customFormat="1" ht="15" customHeight="1" x14ac:dyDescent="0.75"/>
    <row r="3204" customFormat="1" ht="15" customHeight="1" x14ac:dyDescent="0.75"/>
    <row r="3205" customFormat="1" ht="15" customHeight="1" x14ac:dyDescent="0.75"/>
    <row r="3206" customFormat="1" ht="15" customHeight="1" x14ac:dyDescent="0.75"/>
    <row r="3207" customFormat="1" ht="15" customHeight="1" x14ac:dyDescent="0.75"/>
    <row r="3208" customFormat="1" ht="15" customHeight="1" x14ac:dyDescent="0.75"/>
    <row r="3209" customFormat="1" ht="15" customHeight="1" x14ac:dyDescent="0.75"/>
    <row r="3210" customFormat="1" ht="15" customHeight="1" x14ac:dyDescent="0.75"/>
    <row r="3211" customFormat="1" ht="12" customHeight="1" x14ac:dyDescent="0.75"/>
    <row r="3212" customFormat="1" ht="15" customHeight="1" x14ac:dyDescent="0.75"/>
    <row r="3213" customFormat="1" ht="15" customHeight="1" x14ac:dyDescent="0.75"/>
    <row r="3214" customFormat="1" ht="15" customHeight="1" x14ac:dyDescent="0.75"/>
    <row r="3215" customFormat="1" ht="15" customHeight="1" x14ac:dyDescent="0.75"/>
    <row r="3216" customFormat="1" ht="15" customHeight="1" x14ac:dyDescent="0.75"/>
    <row r="3217" customFormat="1" ht="15" customHeight="1" x14ac:dyDescent="0.75"/>
    <row r="3218" customFormat="1" ht="15" customHeight="1" x14ac:dyDescent="0.75"/>
    <row r="3219" customFormat="1" ht="15" customHeight="1" x14ac:dyDescent="0.75"/>
    <row r="3220" customFormat="1" ht="15" customHeight="1" x14ac:dyDescent="0.75"/>
    <row r="3221" customFormat="1" ht="15" customHeight="1" x14ac:dyDescent="0.75"/>
    <row r="3222" customFormat="1" ht="15" customHeight="1" x14ac:dyDescent="0.75"/>
    <row r="3223" customFormat="1" ht="15" customHeight="1" x14ac:dyDescent="0.75"/>
    <row r="3224" customFormat="1" ht="15" customHeight="1" x14ac:dyDescent="0.75"/>
    <row r="3225" customFormat="1" ht="15" customHeight="1" x14ac:dyDescent="0.75"/>
    <row r="3226" customFormat="1" ht="15" customHeight="1" x14ac:dyDescent="0.75"/>
    <row r="3227" customFormat="1" ht="15" customHeight="1" x14ac:dyDescent="0.75"/>
    <row r="3228" customFormat="1" ht="15" customHeight="1" x14ac:dyDescent="0.75"/>
    <row r="3229" customFormat="1" ht="12" customHeight="1" x14ac:dyDescent="0.75"/>
    <row r="3230" customFormat="1" ht="15" customHeight="1" x14ac:dyDescent="0.75"/>
    <row r="3231" customFormat="1" ht="15" customHeight="1" x14ac:dyDescent="0.75"/>
    <row r="3232" customFormat="1" ht="15" customHeight="1" x14ac:dyDescent="0.75"/>
    <row r="3233" customFormat="1" ht="15" customHeight="1" x14ac:dyDescent="0.75"/>
    <row r="3234" customFormat="1" ht="15" customHeight="1" x14ac:dyDescent="0.75"/>
    <row r="3235" customFormat="1" ht="15" customHeight="1" x14ac:dyDescent="0.75"/>
    <row r="3236" customFormat="1" ht="15" customHeight="1" x14ac:dyDescent="0.75"/>
    <row r="3237" customFormat="1" ht="15" customHeight="1" x14ac:dyDescent="0.75"/>
    <row r="3238" customFormat="1" ht="15" customHeight="1" x14ac:dyDescent="0.75"/>
    <row r="3239" customFormat="1" ht="15" customHeight="1" x14ac:dyDescent="0.75"/>
    <row r="3240" customFormat="1" ht="15" customHeight="1" x14ac:dyDescent="0.75"/>
    <row r="3241" customFormat="1" ht="15" customHeight="1" x14ac:dyDescent="0.75"/>
    <row r="3242" customFormat="1" ht="15" customHeight="1" x14ac:dyDescent="0.75"/>
    <row r="3243" customFormat="1" ht="15" customHeight="1" x14ac:dyDescent="0.75"/>
    <row r="3244" customFormat="1" ht="15" customHeight="1" x14ac:dyDescent="0.75"/>
    <row r="3245" customFormat="1" ht="15" customHeight="1" x14ac:dyDescent="0.75"/>
    <row r="3246" customFormat="1" ht="15" customHeight="1" x14ac:dyDescent="0.75"/>
    <row r="3247" customFormat="1" ht="12" customHeight="1" x14ac:dyDescent="0.75"/>
    <row r="3248" customFormat="1" ht="15" customHeight="1" x14ac:dyDescent="0.75"/>
    <row r="3249" customFormat="1" ht="15" customHeight="1" x14ac:dyDescent="0.75"/>
    <row r="3250" customFormat="1" ht="15" customHeight="1" x14ac:dyDescent="0.75"/>
    <row r="3251" customFormat="1" ht="15" customHeight="1" x14ac:dyDescent="0.75"/>
    <row r="3252" customFormat="1" ht="15" customHeight="1" x14ac:dyDescent="0.75"/>
    <row r="3253" customFormat="1" ht="15" customHeight="1" x14ac:dyDescent="0.75"/>
    <row r="3254" customFormat="1" ht="15" customHeight="1" x14ac:dyDescent="0.75"/>
    <row r="3255" customFormat="1" ht="15" customHeight="1" x14ac:dyDescent="0.75"/>
    <row r="3256" customFormat="1" ht="15" customHeight="1" x14ac:dyDescent="0.75"/>
    <row r="3257" customFormat="1" ht="15" customHeight="1" x14ac:dyDescent="0.75"/>
    <row r="3258" customFormat="1" ht="15" customHeight="1" x14ac:dyDescent="0.75"/>
    <row r="3259" customFormat="1" ht="15" customHeight="1" x14ac:dyDescent="0.75"/>
    <row r="3260" customFormat="1" ht="15" customHeight="1" x14ac:dyDescent="0.75"/>
    <row r="3261" customFormat="1" ht="15" customHeight="1" x14ac:dyDescent="0.75"/>
    <row r="3262" customFormat="1" ht="15" customHeight="1" x14ac:dyDescent="0.75"/>
    <row r="3263" customFormat="1" ht="15" customHeight="1" x14ac:dyDescent="0.75"/>
    <row r="3264" customFormat="1" ht="15" customHeight="1" x14ac:dyDescent="0.75"/>
    <row r="3265" customFormat="1" ht="12" customHeight="1" x14ac:dyDescent="0.75"/>
    <row r="3266" customFormat="1" ht="12" customHeight="1" x14ac:dyDescent="0.75"/>
    <row r="3267" customFormat="1" ht="15" customHeight="1" x14ac:dyDescent="0.75"/>
    <row r="3268" customFormat="1" ht="15" customHeight="1" x14ac:dyDescent="0.75"/>
    <row r="3269" customFormat="1" ht="15" customHeight="1" x14ac:dyDescent="0.75"/>
    <row r="3270" customFormat="1" ht="15" customHeight="1" x14ac:dyDescent="0.75"/>
    <row r="3271" customFormat="1" ht="15" customHeight="1" x14ac:dyDescent="0.75"/>
    <row r="3272" customFormat="1" ht="15" customHeight="1" x14ac:dyDescent="0.75"/>
    <row r="3273" customFormat="1" ht="15" customHeight="1" x14ac:dyDescent="0.75"/>
    <row r="3274" customFormat="1" ht="15" customHeight="1" x14ac:dyDescent="0.75"/>
    <row r="3275" customFormat="1" ht="15" customHeight="1" x14ac:dyDescent="0.75"/>
    <row r="3276" customFormat="1" ht="15" customHeight="1" x14ac:dyDescent="0.75"/>
    <row r="3277" customFormat="1" ht="15" customHeight="1" x14ac:dyDescent="0.75"/>
    <row r="3278" customFormat="1" ht="15" customHeight="1" x14ac:dyDescent="0.75"/>
    <row r="3279" customFormat="1" ht="15" customHeight="1" x14ac:dyDescent="0.75"/>
    <row r="3280" customFormat="1" ht="15" customHeight="1" x14ac:dyDescent="0.75"/>
    <row r="3281" customFormat="1" ht="15" customHeight="1" x14ac:dyDescent="0.75"/>
    <row r="3282" customFormat="1" ht="15" customHeight="1" x14ac:dyDescent="0.75"/>
    <row r="3283" customFormat="1" ht="15" customHeight="1" x14ac:dyDescent="0.75"/>
    <row r="3284" customFormat="1" ht="12" customHeight="1" x14ac:dyDescent="0.75"/>
    <row r="3285" customFormat="1" ht="15" customHeight="1" x14ac:dyDescent="0.75"/>
    <row r="3286" customFormat="1" ht="15" customHeight="1" x14ac:dyDescent="0.75"/>
    <row r="3287" customFormat="1" ht="15" customHeight="1" x14ac:dyDescent="0.75"/>
    <row r="3288" customFormat="1" ht="15" customHeight="1" x14ac:dyDescent="0.75"/>
    <row r="3289" customFormat="1" ht="15" customHeight="1" x14ac:dyDescent="0.75"/>
    <row r="3290" customFormat="1" ht="15" customHeight="1" x14ac:dyDescent="0.75"/>
    <row r="3291" customFormat="1" ht="15" customHeight="1" x14ac:dyDescent="0.75"/>
    <row r="3292" customFormat="1" ht="15" customHeight="1" x14ac:dyDescent="0.75"/>
    <row r="3293" customFormat="1" ht="15" customHeight="1" x14ac:dyDescent="0.75"/>
    <row r="3294" customFormat="1" ht="15" customHeight="1" x14ac:dyDescent="0.75"/>
    <row r="3295" customFormat="1" ht="15" customHeight="1" x14ac:dyDescent="0.75"/>
    <row r="3296" customFormat="1" ht="15" customHeight="1" x14ac:dyDescent="0.75"/>
    <row r="3297" customFormat="1" ht="15" customHeight="1" x14ac:dyDescent="0.75"/>
    <row r="3298" customFormat="1" ht="15" customHeight="1" x14ac:dyDescent="0.75"/>
    <row r="3299" customFormat="1" ht="15" customHeight="1" x14ac:dyDescent="0.75"/>
    <row r="3300" customFormat="1" ht="15" customHeight="1" x14ac:dyDescent="0.75"/>
    <row r="3301" customFormat="1" ht="15" customHeight="1" x14ac:dyDescent="0.75"/>
    <row r="3302" customFormat="1" ht="12" customHeight="1" x14ac:dyDescent="0.75"/>
    <row r="3303" customFormat="1" ht="15" customHeight="1" x14ac:dyDescent="0.75"/>
    <row r="3304" customFormat="1" ht="15" customHeight="1" x14ac:dyDescent="0.75"/>
    <row r="3305" customFormat="1" ht="15" customHeight="1" x14ac:dyDescent="0.75"/>
    <row r="3306" customFormat="1" ht="15" customHeight="1" x14ac:dyDescent="0.75"/>
    <row r="3307" customFormat="1" ht="15" customHeight="1" x14ac:dyDescent="0.75"/>
    <row r="3308" customFormat="1" ht="15" customHeight="1" x14ac:dyDescent="0.75"/>
    <row r="3309" customFormat="1" ht="15" customHeight="1" x14ac:dyDescent="0.75"/>
    <row r="3310" customFormat="1" ht="15" customHeight="1" x14ac:dyDescent="0.75"/>
    <row r="3311" customFormat="1" ht="15" customHeight="1" x14ac:dyDescent="0.75"/>
    <row r="3312" customFormat="1" ht="15" customHeight="1" x14ac:dyDescent="0.75"/>
    <row r="3313" customFormat="1" ht="15" customHeight="1" x14ac:dyDescent="0.75"/>
    <row r="3314" customFormat="1" ht="15" customHeight="1" x14ac:dyDescent="0.75"/>
    <row r="3315" customFormat="1" ht="15" customHeight="1" x14ac:dyDescent="0.75"/>
    <row r="3316" customFormat="1" ht="15" customHeight="1" x14ac:dyDescent="0.75"/>
    <row r="3317" customFormat="1" ht="15" customHeight="1" x14ac:dyDescent="0.75"/>
    <row r="3318" customFormat="1" ht="15" customHeight="1" x14ac:dyDescent="0.75"/>
    <row r="3319" customFormat="1" ht="15" customHeight="1" x14ac:dyDescent="0.75"/>
    <row r="3320" customFormat="1" ht="12" customHeight="1" x14ac:dyDescent="0.75"/>
    <row r="3321" customFormat="1" ht="15" customHeight="1" x14ac:dyDescent="0.75"/>
    <row r="3322" customFormat="1" ht="15" customHeight="1" x14ac:dyDescent="0.75"/>
    <row r="3323" customFormat="1" ht="15" customHeight="1" x14ac:dyDescent="0.75"/>
    <row r="3324" customFormat="1" ht="15" customHeight="1" x14ac:dyDescent="0.75"/>
    <row r="3325" customFormat="1" ht="15" customHeight="1" x14ac:dyDescent="0.75"/>
    <row r="3326" customFormat="1" ht="15" customHeight="1" x14ac:dyDescent="0.75"/>
    <row r="3327" customFormat="1" ht="15" customHeight="1" x14ac:dyDescent="0.75"/>
    <row r="3328" customFormat="1" ht="15" customHeight="1" x14ac:dyDescent="0.75"/>
    <row r="3329" customFormat="1" ht="15" customHeight="1" x14ac:dyDescent="0.75"/>
    <row r="3330" customFormat="1" ht="15" customHeight="1" x14ac:dyDescent="0.75"/>
    <row r="3331" customFormat="1" ht="15" customHeight="1" x14ac:dyDescent="0.75"/>
    <row r="3332" customFormat="1" ht="15" customHeight="1" x14ac:dyDescent="0.75"/>
    <row r="3333" customFormat="1" ht="15" customHeight="1" x14ac:dyDescent="0.75"/>
    <row r="3334" customFormat="1" ht="15" customHeight="1" x14ac:dyDescent="0.75"/>
    <row r="3335" customFormat="1" ht="15" customHeight="1" x14ac:dyDescent="0.75"/>
    <row r="3336" customFormat="1" ht="15" customHeight="1" x14ac:dyDescent="0.75"/>
    <row r="3337" customFormat="1" ht="15" customHeight="1" x14ac:dyDescent="0.75"/>
    <row r="3338" customFormat="1" ht="12" customHeight="1" x14ac:dyDescent="0.75"/>
    <row r="3339" customFormat="1" ht="15" customHeight="1" x14ac:dyDescent="0.75"/>
    <row r="3340" customFormat="1" ht="15" customHeight="1" x14ac:dyDescent="0.75"/>
    <row r="3341" customFormat="1" ht="15" customHeight="1" x14ac:dyDescent="0.75"/>
    <row r="3342" customFormat="1" ht="15" customHeight="1" x14ac:dyDescent="0.75"/>
    <row r="3343" customFormat="1" ht="15" customHeight="1" x14ac:dyDescent="0.75"/>
    <row r="3344" customFormat="1" ht="15" customHeight="1" x14ac:dyDescent="0.75"/>
    <row r="3345" customFormat="1" ht="15" customHeight="1" x14ac:dyDescent="0.75"/>
    <row r="3346" customFormat="1" ht="15" customHeight="1" x14ac:dyDescent="0.75"/>
    <row r="3347" customFormat="1" ht="15" customHeight="1" x14ac:dyDescent="0.75"/>
    <row r="3348" customFormat="1" ht="15" customHeight="1" x14ac:dyDescent="0.75"/>
    <row r="3349" customFormat="1" ht="15" customHeight="1" x14ac:dyDescent="0.75"/>
    <row r="3350" customFormat="1" ht="15" customHeight="1" x14ac:dyDescent="0.75"/>
    <row r="3351" customFormat="1" ht="15" customHeight="1" x14ac:dyDescent="0.75"/>
    <row r="3352" customFormat="1" ht="15" customHeight="1" x14ac:dyDescent="0.75"/>
    <row r="3353" customFormat="1" ht="15" customHeight="1" x14ac:dyDescent="0.75"/>
    <row r="3354" customFormat="1" ht="15" customHeight="1" x14ac:dyDescent="0.75"/>
    <row r="3355" customFormat="1" ht="15" customHeight="1" x14ac:dyDescent="0.75"/>
    <row r="3356" customFormat="1" ht="12" customHeight="1" x14ac:dyDescent="0.75"/>
    <row r="3357" customFormat="1" ht="15" customHeight="1" x14ac:dyDescent="0.75"/>
    <row r="3358" customFormat="1" ht="15" customHeight="1" x14ac:dyDescent="0.75"/>
    <row r="3359" customFormat="1" ht="15" customHeight="1" x14ac:dyDescent="0.75"/>
    <row r="3360" customFormat="1" ht="15" customHeight="1" x14ac:dyDescent="0.75"/>
    <row r="3361" customFormat="1" ht="15" customHeight="1" x14ac:dyDescent="0.75"/>
    <row r="3362" customFormat="1" ht="15" customHeight="1" x14ac:dyDescent="0.75"/>
    <row r="3363" customFormat="1" ht="15" customHeight="1" x14ac:dyDescent="0.75"/>
    <row r="3364" customFormat="1" ht="15" customHeight="1" x14ac:dyDescent="0.75"/>
    <row r="3365" customFormat="1" ht="15" customHeight="1" x14ac:dyDescent="0.75"/>
    <row r="3366" customFormat="1" ht="15" customHeight="1" x14ac:dyDescent="0.75"/>
    <row r="3367" customFormat="1" ht="15" customHeight="1" x14ac:dyDescent="0.75"/>
    <row r="3368" customFormat="1" ht="15" customHeight="1" x14ac:dyDescent="0.75"/>
    <row r="3369" customFormat="1" ht="15" customHeight="1" x14ac:dyDescent="0.75"/>
    <row r="3370" customFormat="1" ht="15" customHeight="1" x14ac:dyDescent="0.75"/>
    <row r="3371" customFormat="1" ht="15" customHeight="1" x14ac:dyDescent="0.75"/>
    <row r="3372" customFormat="1" ht="15" customHeight="1" x14ac:dyDescent="0.75"/>
    <row r="3373" customFormat="1" ht="15" customHeight="1" x14ac:dyDescent="0.75"/>
    <row r="3374" customFormat="1" ht="12" customHeight="1" x14ac:dyDescent="0.75"/>
    <row r="3375" customFormat="1" ht="15" customHeight="1" x14ac:dyDescent="0.75"/>
    <row r="3376" customFormat="1" ht="15" customHeight="1" x14ac:dyDescent="0.75"/>
    <row r="3377" customFormat="1" ht="15" customHeight="1" x14ac:dyDescent="0.75"/>
    <row r="3378" customFormat="1" ht="15" customHeight="1" x14ac:dyDescent="0.75"/>
    <row r="3379" customFormat="1" ht="15" customHeight="1" x14ac:dyDescent="0.75"/>
    <row r="3380" customFormat="1" ht="15" customHeight="1" x14ac:dyDescent="0.75"/>
    <row r="3381" customFormat="1" ht="15" customHeight="1" x14ac:dyDescent="0.75"/>
    <row r="3382" customFormat="1" ht="15" customHeight="1" x14ac:dyDescent="0.75"/>
    <row r="3383" customFormat="1" ht="15" customHeight="1" x14ac:dyDescent="0.75"/>
    <row r="3384" customFormat="1" ht="15" customHeight="1" x14ac:dyDescent="0.75"/>
    <row r="3385" customFormat="1" ht="15" customHeight="1" x14ac:dyDescent="0.75"/>
    <row r="3386" customFormat="1" ht="15" customHeight="1" x14ac:dyDescent="0.75"/>
    <row r="3387" customFormat="1" ht="15" customHeight="1" x14ac:dyDescent="0.75"/>
    <row r="3388" customFormat="1" ht="15" customHeight="1" x14ac:dyDescent="0.75"/>
    <row r="3389" customFormat="1" ht="15" customHeight="1" x14ac:dyDescent="0.75"/>
    <row r="3390" customFormat="1" ht="15" customHeight="1" x14ac:dyDescent="0.75"/>
    <row r="3391" customFormat="1" ht="15" customHeight="1" x14ac:dyDescent="0.75"/>
    <row r="3392" customFormat="1" ht="15" customHeight="1" x14ac:dyDescent="0.75"/>
    <row r="3393" spans="2:32" ht="15" customHeight="1" x14ac:dyDescent="0.75">
      <c r="B3393" s="101"/>
      <c r="C3393" s="101"/>
      <c r="D3393" s="101"/>
      <c r="E3393" s="101"/>
      <c r="F3393" s="101"/>
      <c r="G3393" s="101"/>
      <c r="H3393" s="101"/>
      <c r="I3393" s="101"/>
      <c r="J3393" s="101"/>
      <c r="K3393" s="101"/>
      <c r="L3393" s="101"/>
      <c r="M3393" s="101"/>
      <c r="N3393" s="101"/>
      <c r="O3393" s="101"/>
      <c r="P3393" s="101"/>
      <c r="Q3393" s="101"/>
      <c r="R3393" s="101"/>
      <c r="S3393" s="101"/>
      <c r="T3393" s="101"/>
      <c r="U3393" s="101"/>
      <c r="V3393" s="101"/>
      <c r="W3393" s="101"/>
      <c r="X3393" s="101"/>
      <c r="Y3393" s="101"/>
      <c r="Z3393" s="101"/>
      <c r="AA3393" s="101"/>
      <c r="AB3393" s="101"/>
      <c r="AC3393" s="101"/>
      <c r="AD3393" s="101"/>
      <c r="AE3393" s="101"/>
      <c r="AF3393" s="101"/>
    </row>
    <row r="3394" spans="2:32" ht="12" customHeight="1" x14ac:dyDescent="0.75"/>
    <row r="3395" spans="2:32" ht="12" customHeight="1" x14ac:dyDescent="0.75"/>
    <row r="3396" spans="2:32" ht="12" customHeight="1" x14ac:dyDescent="0.75"/>
    <row r="3397" spans="2:32" ht="12" customHeight="1" x14ac:dyDescent="0.75"/>
    <row r="3398" spans="2:32" ht="12" customHeight="1" x14ac:dyDescent="0.75"/>
    <row r="3399" spans="2:32" ht="12" customHeight="1" x14ac:dyDescent="0.75"/>
    <row r="3400" spans="2:32" ht="12" customHeight="1" x14ac:dyDescent="0.75"/>
    <row r="3401" spans="2:32" ht="12" customHeight="1" x14ac:dyDescent="0.75"/>
    <row r="3402" spans="2:32" ht="12" customHeight="1" x14ac:dyDescent="0.75"/>
    <row r="3403" spans="2:32" ht="12" customHeight="1" x14ac:dyDescent="0.75"/>
    <row r="3404" spans="2:32" ht="12" customHeight="1" x14ac:dyDescent="0.75"/>
    <row r="3405" spans="2:32" ht="12" customHeight="1" x14ac:dyDescent="0.75"/>
    <row r="3406" spans="2:32" ht="12" customHeight="1" x14ac:dyDescent="0.75"/>
    <row r="3407" spans="2:32" ht="12" customHeight="1" x14ac:dyDescent="0.75"/>
    <row r="3408" spans="2:32" ht="12" customHeight="1" x14ac:dyDescent="0.75"/>
    <row r="3409" customFormat="1" ht="12" customHeight="1" x14ac:dyDescent="0.75"/>
    <row r="3410" customFormat="1" ht="12" customHeight="1" x14ac:dyDescent="0.75"/>
    <row r="3411" customFormat="1" ht="12" customHeight="1" x14ac:dyDescent="0.75"/>
    <row r="3412" customFormat="1" ht="12" customHeight="1" x14ac:dyDescent="0.75"/>
    <row r="3413" customFormat="1" ht="12" customHeight="1" x14ac:dyDescent="0.75"/>
    <row r="3414" customFormat="1" ht="12" customHeight="1" x14ac:dyDescent="0.75"/>
    <row r="3415" customFormat="1" ht="12" customHeight="1" x14ac:dyDescent="0.75"/>
    <row r="3416" customFormat="1" ht="12" customHeight="1" x14ac:dyDescent="0.75"/>
    <row r="3417" customFormat="1" ht="12" customHeight="1" x14ac:dyDescent="0.75"/>
    <row r="3418" customFormat="1" ht="12" customHeight="1" x14ac:dyDescent="0.75"/>
    <row r="3419" customFormat="1" ht="12" customHeight="1" x14ac:dyDescent="0.75"/>
    <row r="3420" customFormat="1" ht="12" customHeight="1" x14ac:dyDescent="0.75"/>
    <row r="3421" customFormat="1" ht="12" customHeight="1" x14ac:dyDescent="0.75"/>
    <row r="3422" customFormat="1" ht="12" customHeight="1" x14ac:dyDescent="0.75"/>
    <row r="3423" customFormat="1" ht="12" customHeight="1" x14ac:dyDescent="0.75"/>
    <row r="3424" customFormat="1" ht="12" customHeight="1" x14ac:dyDescent="0.75"/>
    <row r="3425" customFormat="1" ht="15" customHeight="1" x14ac:dyDescent="0.75"/>
    <row r="3426" customFormat="1" ht="15" customHeight="1" x14ac:dyDescent="0.75"/>
    <row r="3427" customFormat="1" ht="15" customHeight="1" x14ac:dyDescent="0.75"/>
    <row r="3428" customFormat="1" ht="15" customHeight="1" x14ac:dyDescent="0.75"/>
    <row r="3429" customFormat="1" ht="15" customHeight="1" x14ac:dyDescent="0.75"/>
    <row r="3430" customFormat="1" ht="15" customHeight="1" x14ac:dyDescent="0.75"/>
    <row r="3431" customFormat="1" ht="15" customHeight="1" x14ac:dyDescent="0.75"/>
    <row r="3432" customFormat="1" ht="15" customHeight="1" x14ac:dyDescent="0.75"/>
    <row r="3433" customFormat="1" ht="15" customHeight="1" x14ac:dyDescent="0.75"/>
    <row r="3434" customFormat="1" ht="15" customHeight="1" x14ac:dyDescent="0.75"/>
    <row r="3435" customFormat="1" ht="12" customHeight="1" x14ac:dyDescent="0.75"/>
    <row r="3436" customFormat="1" ht="15" customHeight="1" x14ac:dyDescent="0.75"/>
    <row r="3437" customFormat="1" ht="15" customHeight="1" x14ac:dyDescent="0.75"/>
    <row r="3438" customFormat="1" ht="15" customHeight="1" x14ac:dyDescent="0.75"/>
    <row r="3439" customFormat="1" ht="15" customHeight="1" x14ac:dyDescent="0.75"/>
    <row r="3440" customFormat="1" ht="15" customHeight="1" x14ac:dyDescent="0.75"/>
    <row r="3441" customFormat="1" ht="15" customHeight="1" x14ac:dyDescent="0.75"/>
    <row r="3442" customFormat="1" ht="15" customHeight="1" x14ac:dyDescent="0.75"/>
    <row r="3443" customFormat="1" ht="15" customHeight="1" x14ac:dyDescent="0.75"/>
    <row r="3444" customFormat="1" ht="15" customHeight="1" x14ac:dyDescent="0.75"/>
    <row r="3445" customFormat="1" ht="15" customHeight="1" x14ac:dyDescent="0.75"/>
    <row r="3446" customFormat="1" ht="15" customHeight="1" x14ac:dyDescent="0.75"/>
    <row r="3447" customFormat="1" ht="15" customHeight="1" x14ac:dyDescent="0.75"/>
    <row r="3448" customFormat="1" ht="15" customHeight="1" x14ac:dyDescent="0.75"/>
    <row r="3449" customFormat="1" ht="15" customHeight="1" x14ac:dyDescent="0.75"/>
    <row r="3450" customFormat="1" ht="15" customHeight="1" x14ac:dyDescent="0.75"/>
    <row r="3451" customFormat="1" ht="15" customHeight="1" x14ac:dyDescent="0.75"/>
    <row r="3452" customFormat="1" ht="12" customHeight="1" x14ac:dyDescent="0.75"/>
    <row r="3453" customFormat="1" ht="15" customHeight="1" x14ac:dyDescent="0.75"/>
    <row r="3454" customFormat="1" ht="15" customHeight="1" x14ac:dyDescent="0.75"/>
    <row r="3455" customFormat="1" ht="12" customHeight="1" x14ac:dyDescent="0.75"/>
    <row r="3456" customFormat="1" ht="15" customHeight="1" x14ac:dyDescent="0.75"/>
    <row r="3457" customFormat="1" ht="15" customHeight="1" x14ac:dyDescent="0.75"/>
    <row r="3458" customFormat="1" ht="15" customHeight="1" x14ac:dyDescent="0.75"/>
    <row r="3459" customFormat="1" ht="15" customHeight="1" x14ac:dyDescent="0.75"/>
    <row r="3460" customFormat="1" ht="15" customHeight="1" x14ac:dyDescent="0.75"/>
    <row r="3461" customFormat="1" ht="12" customHeight="1" x14ac:dyDescent="0.75"/>
    <row r="3462" customFormat="1" ht="15" customHeight="1" x14ac:dyDescent="0.75"/>
    <row r="3463" customFormat="1" ht="15" customHeight="1" x14ac:dyDescent="0.75"/>
    <row r="3464" customFormat="1" ht="15" customHeight="1" x14ac:dyDescent="0.75"/>
    <row r="3465" customFormat="1" ht="15" customHeight="1" x14ac:dyDescent="0.75"/>
    <row r="3466" customFormat="1" ht="15" customHeight="1" x14ac:dyDescent="0.75"/>
    <row r="3467" customFormat="1" ht="15" customHeight="1" x14ac:dyDescent="0.75"/>
    <row r="3468" customFormat="1" ht="15" customHeight="1" x14ac:dyDescent="0.75"/>
    <row r="3469" customFormat="1" ht="15" customHeight="1" x14ac:dyDescent="0.75"/>
    <row r="3470" customFormat="1" ht="15" customHeight="1" x14ac:dyDescent="0.75"/>
    <row r="3471" customFormat="1" ht="15" customHeight="1" x14ac:dyDescent="0.75"/>
    <row r="3472" customFormat="1" ht="15" customHeight="1" x14ac:dyDescent="0.75"/>
    <row r="3473" customFormat="1" ht="15" customHeight="1" x14ac:dyDescent="0.75"/>
    <row r="3474" customFormat="1" ht="15" customHeight="1" x14ac:dyDescent="0.75"/>
    <row r="3475" customFormat="1" ht="15" customHeight="1" x14ac:dyDescent="0.75"/>
    <row r="3476" customFormat="1" ht="15" customHeight="1" x14ac:dyDescent="0.75"/>
    <row r="3477" customFormat="1" ht="15" customHeight="1" x14ac:dyDescent="0.75"/>
    <row r="3478" customFormat="1" ht="12" customHeight="1" x14ac:dyDescent="0.75"/>
    <row r="3479" customFormat="1" ht="15" customHeight="1" x14ac:dyDescent="0.75"/>
    <row r="3480" customFormat="1" ht="15" customHeight="1" x14ac:dyDescent="0.75"/>
    <row r="3481" customFormat="1" ht="12" customHeight="1" x14ac:dyDescent="0.75"/>
    <row r="3482" customFormat="1" ht="15" customHeight="1" x14ac:dyDescent="0.75"/>
    <row r="3483" customFormat="1" ht="15" customHeight="1" x14ac:dyDescent="0.75"/>
    <row r="3484" customFormat="1" ht="15" customHeight="1" x14ac:dyDescent="0.75"/>
    <row r="3485" customFormat="1" ht="12" customHeight="1" x14ac:dyDescent="0.75"/>
    <row r="3486" customFormat="1" ht="15" customHeight="1" x14ac:dyDescent="0.75"/>
    <row r="3487" customFormat="1" ht="15" customHeight="1" x14ac:dyDescent="0.75"/>
    <row r="3488" customFormat="1" ht="15" customHeight="1" x14ac:dyDescent="0.75"/>
    <row r="3489" spans="2:32" ht="15" customHeight="1" x14ac:dyDescent="0.75"/>
    <row r="3490" spans="2:32" ht="15" customHeight="1" x14ac:dyDescent="0.75"/>
    <row r="3491" spans="2:32" ht="15" customHeight="1" x14ac:dyDescent="0.75"/>
    <row r="3492" spans="2:32" ht="15" customHeight="1" x14ac:dyDescent="0.75"/>
    <row r="3493" spans="2:32" ht="15" customHeight="1" x14ac:dyDescent="0.75"/>
    <row r="3494" spans="2:32" ht="15" customHeight="1" x14ac:dyDescent="0.75"/>
    <row r="3495" spans="2:32" ht="15" customHeight="1" x14ac:dyDescent="0.75"/>
    <row r="3496" spans="2:32" ht="12" customHeight="1" x14ac:dyDescent="0.75"/>
    <row r="3497" spans="2:32" ht="15" customHeight="1" x14ac:dyDescent="0.75"/>
    <row r="3498" spans="2:32" ht="15" customHeight="1" x14ac:dyDescent="0.75"/>
    <row r="3499" spans="2:32" ht="12" customHeight="1" x14ac:dyDescent="0.75"/>
    <row r="3500" spans="2:32" ht="15" customHeight="1" x14ac:dyDescent="0.75"/>
    <row r="3501" spans="2:32" ht="15" customHeight="1" x14ac:dyDescent="0.75"/>
    <row r="3502" spans="2:32" ht="15" customHeight="1" x14ac:dyDescent="0.75">
      <c r="B3502" s="101"/>
      <c r="C3502" s="101"/>
      <c r="D3502" s="101"/>
      <c r="E3502" s="101"/>
      <c r="F3502" s="101"/>
      <c r="G3502" s="101"/>
      <c r="H3502" s="101"/>
      <c r="I3502" s="101"/>
      <c r="J3502" s="101"/>
      <c r="K3502" s="101"/>
      <c r="L3502" s="101"/>
      <c r="M3502" s="101"/>
      <c r="N3502" s="101"/>
      <c r="O3502" s="101"/>
      <c r="P3502" s="101"/>
      <c r="Q3502" s="101"/>
      <c r="R3502" s="101"/>
      <c r="S3502" s="101"/>
      <c r="T3502" s="101"/>
      <c r="U3502" s="101"/>
      <c r="V3502" s="101"/>
      <c r="W3502" s="101"/>
      <c r="X3502" s="101"/>
      <c r="Y3502" s="101"/>
      <c r="Z3502" s="101"/>
      <c r="AA3502" s="101"/>
      <c r="AB3502" s="101"/>
      <c r="AC3502" s="101"/>
      <c r="AD3502" s="101"/>
      <c r="AE3502" s="101"/>
      <c r="AF3502" s="101"/>
    </row>
    <row r="3503" spans="2:32" ht="15" customHeight="1" x14ac:dyDescent="0.75"/>
    <row r="3504" spans="2:32" ht="15" customHeight="1" x14ac:dyDescent="0.75"/>
    <row r="3505" customFormat="1" ht="15" customHeight="1" x14ac:dyDescent="0.75"/>
    <row r="3506" customFormat="1" ht="15" customHeight="1" x14ac:dyDescent="0.75"/>
    <row r="3507" customFormat="1" ht="15" customHeight="1" x14ac:dyDescent="0.75"/>
    <row r="3508" customFormat="1" ht="15" customHeight="1" x14ac:dyDescent="0.75"/>
    <row r="3509" customFormat="1" ht="15" customHeight="1" x14ac:dyDescent="0.75"/>
    <row r="3510" customFormat="1" ht="15" customHeight="1" x14ac:dyDescent="0.75"/>
    <row r="3511" customFormat="1" ht="12" customHeight="1" x14ac:dyDescent="0.75"/>
    <row r="3512" customFormat="1" ht="12" customHeight="1" x14ac:dyDescent="0.75"/>
    <row r="3513" customFormat="1" ht="12" customHeight="1" x14ac:dyDescent="0.75"/>
    <row r="3514" customFormat="1" ht="12" customHeight="1" x14ac:dyDescent="0.75"/>
    <row r="3515" customFormat="1" ht="12" customHeight="1" x14ac:dyDescent="0.75"/>
    <row r="3516" customFormat="1" ht="12" customHeight="1" x14ac:dyDescent="0.75"/>
    <row r="3517" customFormat="1" ht="12" customHeight="1" x14ac:dyDescent="0.75"/>
    <row r="3518" customFormat="1" ht="12" customHeight="1" x14ac:dyDescent="0.75"/>
    <row r="3519" customFormat="1" ht="12" customHeight="1" x14ac:dyDescent="0.75"/>
    <row r="3520" customFormat="1" ht="12" customHeight="1" x14ac:dyDescent="0.75"/>
    <row r="3521" customFormat="1" ht="12" customHeight="1" x14ac:dyDescent="0.75"/>
    <row r="3522" customFormat="1" ht="12" customHeight="1" x14ac:dyDescent="0.75"/>
    <row r="3523" customFormat="1" ht="12" customHeight="1" x14ac:dyDescent="0.75"/>
    <row r="3524" customFormat="1" ht="12" customHeight="1" x14ac:dyDescent="0.75"/>
    <row r="3525" customFormat="1" ht="12" customHeight="1" x14ac:dyDescent="0.75"/>
    <row r="3526" customFormat="1" ht="12" customHeight="1" x14ac:dyDescent="0.75"/>
    <row r="3527" customFormat="1" ht="12" customHeight="1" x14ac:dyDescent="0.75"/>
    <row r="3528" customFormat="1" ht="12" customHeight="1" x14ac:dyDescent="0.75"/>
    <row r="3529" customFormat="1" ht="12" customHeight="1" x14ac:dyDescent="0.75"/>
    <row r="3530" customFormat="1" ht="12" customHeight="1" x14ac:dyDescent="0.75"/>
    <row r="3531" customFormat="1" ht="12" customHeight="1" x14ac:dyDescent="0.75"/>
    <row r="3532" customFormat="1" ht="12" customHeight="1" x14ac:dyDescent="0.75"/>
    <row r="3533" customFormat="1" ht="12" customHeight="1" x14ac:dyDescent="0.75"/>
    <row r="3534" customFormat="1" ht="12" customHeight="1" x14ac:dyDescent="0.75"/>
    <row r="3535" customFormat="1" ht="12" customHeight="1" x14ac:dyDescent="0.75"/>
    <row r="3536" customFormat="1" ht="12" customHeight="1" x14ac:dyDescent="0.75"/>
    <row r="3537" customFormat="1" ht="12" customHeight="1" x14ac:dyDescent="0.75"/>
    <row r="3538" customFormat="1" ht="12" customHeight="1" x14ac:dyDescent="0.75"/>
    <row r="3539" customFormat="1" ht="12" customHeight="1" x14ac:dyDescent="0.75"/>
    <row r="3540" customFormat="1" ht="12" customHeight="1" x14ac:dyDescent="0.75"/>
    <row r="3541" customFormat="1" ht="12" customHeight="1" x14ac:dyDescent="0.75"/>
    <row r="3542" customFormat="1" ht="12" customHeight="1" x14ac:dyDescent="0.75"/>
    <row r="3543" customFormat="1" ht="12" customHeight="1" x14ac:dyDescent="0.75"/>
    <row r="3544" customFormat="1" ht="12" customHeight="1" x14ac:dyDescent="0.75"/>
    <row r="3545" customFormat="1" ht="12" customHeight="1" x14ac:dyDescent="0.75"/>
    <row r="3546" customFormat="1" ht="12" customHeight="1" x14ac:dyDescent="0.75"/>
    <row r="3547" customFormat="1" ht="12" customHeight="1" x14ac:dyDescent="0.75"/>
    <row r="3548" customFormat="1" ht="12" customHeight="1" x14ac:dyDescent="0.75"/>
    <row r="3549" customFormat="1" ht="12" customHeight="1" x14ac:dyDescent="0.75"/>
    <row r="3550" customFormat="1" ht="15" customHeight="1" x14ac:dyDescent="0.75"/>
    <row r="3551" customFormat="1" ht="15" customHeight="1" x14ac:dyDescent="0.75"/>
    <row r="3552" customFormat="1" ht="15" customHeight="1" x14ac:dyDescent="0.75"/>
    <row r="3553" customFormat="1" ht="15" customHeight="1" x14ac:dyDescent="0.75"/>
    <row r="3554" customFormat="1" ht="15" customHeight="1" x14ac:dyDescent="0.75"/>
    <row r="3555" customFormat="1" ht="15" customHeight="1" x14ac:dyDescent="0.75"/>
    <row r="3556" customFormat="1" ht="15" customHeight="1" x14ac:dyDescent="0.75"/>
    <row r="3557" customFormat="1" ht="15" customHeight="1" x14ac:dyDescent="0.75"/>
    <row r="3558" customFormat="1" ht="15" customHeight="1" x14ac:dyDescent="0.75"/>
    <row r="3559" customFormat="1" ht="15" customHeight="1" x14ac:dyDescent="0.75"/>
    <row r="3560" customFormat="1" ht="12" customHeight="1" x14ac:dyDescent="0.75"/>
    <row r="3561" customFormat="1" ht="15" customHeight="1" x14ac:dyDescent="0.75"/>
    <row r="3562" customFormat="1" ht="15" customHeight="1" x14ac:dyDescent="0.75"/>
    <row r="3563" customFormat="1" ht="15" customHeight="1" x14ac:dyDescent="0.75"/>
    <row r="3564" customFormat="1" ht="15" customHeight="1" x14ac:dyDescent="0.75"/>
    <row r="3565" customFormat="1" ht="15" customHeight="1" x14ac:dyDescent="0.75"/>
    <row r="3566" customFormat="1" ht="15" customHeight="1" x14ac:dyDescent="0.75"/>
    <row r="3567" customFormat="1" ht="15" customHeight="1" x14ac:dyDescent="0.75"/>
    <row r="3568" customFormat="1" ht="15" customHeight="1" x14ac:dyDescent="0.75"/>
    <row r="3569" customFormat="1" ht="15" customHeight="1" x14ac:dyDescent="0.75"/>
    <row r="3570" customFormat="1" ht="15" customHeight="1" x14ac:dyDescent="0.75"/>
    <row r="3571" customFormat="1" ht="15" customHeight="1" x14ac:dyDescent="0.75"/>
    <row r="3572" customFormat="1" ht="15" customHeight="1" x14ac:dyDescent="0.75"/>
    <row r="3573" customFormat="1" ht="15" customHeight="1" x14ac:dyDescent="0.75"/>
    <row r="3574" customFormat="1" ht="15" customHeight="1" x14ac:dyDescent="0.75"/>
    <row r="3575" customFormat="1" ht="15" customHeight="1" x14ac:dyDescent="0.75"/>
    <row r="3576" customFormat="1" ht="15" customHeight="1" x14ac:dyDescent="0.75"/>
    <row r="3577" customFormat="1" ht="12" customHeight="1" x14ac:dyDescent="0.75"/>
    <row r="3578" customFormat="1" ht="15" customHeight="1" x14ac:dyDescent="0.75"/>
    <row r="3579" customFormat="1" ht="15" customHeight="1" x14ac:dyDescent="0.75"/>
    <row r="3580" customFormat="1" ht="12" customHeight="1" x14ac:dyDescent="0.75"/>
    <row r="3581" customFormat="1" ht="15" customHeight="1" x14ac:dyDescent="0.75"/>
    <row r="3582" customFormat="1" ht="15" customHeight="1" x14ac:dyDescent="0.75"/>
    <row r="3583" customFormat="1" ht="15" customHeight="1" x14ac:dyDescent="0.75"/>
    <row r="3584" customFormat="1" ht="15" customHeight="1" x14ac:dyDescent="0.75"/>
    <row r="3585" customFormat="1" ht="15" customHeight="1" x14ac:dyDescent="0.75"/>
    <row r="3586" customFormat="1" ht="12" customHeight="1" x14ac:dyDescent="0.75"/>
    <row r="3587" customFormat="1" ht="15" customHeight="1" x14ac:dyDescent="0.75"/>
    <row r="3588" customFormat="1" ht="15" customHeight="1" x14ac:dyDescent="0.75"/>
    <row r="3589" customFormat="1" ht="15" customHeight="1" x14ac:dyDescent="0.75"/>
    <row r="3590" customFormat="1" ht="15" customHeight="1" x14ac:dyDescent="0.75"/>
    <row r="3591" customFormat="1" ht="15" customHeight="1" x14ac:dyDescent="0.75"/>
    <row r="3592" customFormat="1" ht="15" customHeight="1" x14ac:dyDescent="0.75"/>
    <row r="3593" customFormat="1" ht="15" customHeight="1" x14ac:dyDescent="0.75"/>
    <row r="3594" customFormat="1" ht="15" customHeight="1" x14ac:dyDescent="0.75"/>
    <row r="3595" customFormat="1" ht="15" customHeight="1" x14ac:dyDescent="0.75"/>
    <row r="3596" customFormat="1" ht="15" customHeight="1" x14ac:dyDescent="0.75"/>
    <row r="3597" customFormat="1" ht="15" customHeight="1" x14ac:dyDescent="0.75"/>
    <row r="3598" customFormat="1" ht="15" customHeight="1" x14ac:dyDescent="0.75"/>
    <row r="3599" customFormat="1" ht="15" customHeight="1" x14ac:dyDescent="0.75"/>
    <row r="3600" customFormat="1" ht="15" customHeight="1" x14ac:dyDescent="0.75"/>
    <row r="3601" customFormat="1" ht="15" customHeight="1" x14ac:dyDescent="0.75"/>
    <row r="3602" customFormat="1" ht="15" customHeight="1" x14ac:dyDescent="0.75"/>
    <row r="3603" customFormat="1" ht="12" customHeight="1" x14ac:dyDescent="0.75"/>
    <row r="3604" customFormat="1" ht="15" customHeight="1" x14ac:dyDescent="0.75"/>
    <row r="3605" customFormat="1" ht="15" customHeight="1" x14ac:dyDescent="0.75"/>
    <row r="3606" customFormat="1" ht="12" customHeight="1" x14ac:dyDescent="0.75"/>
    <row r="3607" customFormat="1" ht="15" customHeight="1" x14ac:dyDescent="0.75"/>
    <row r="3608" customFormat="1" ht="15" customHeight="1" x14ac:dyDescent="0.75"/>
    <row r="3609" customFormat="1" ht="15" customHeight="1" x14ac:dyDescent="0.75"/>
    <row r="3610" customFormat="1" ht="12" customHeight="1" x14ac:dyDescent="0.75"/>
    <row r="3611" customFormat="1" ht="15" customHeight="1" x14ac:dyDescent="0.75"/>
    <row r="3612" customFormat="1" ht="15" customHeight="1" x14ac:dyDescent="0.75"/>
    <row r="3613" customFormat="1" ht="15" customHeight="1" x14ac:dyDescent="0.75"/>
    <row r="3614" customFormat="1" ht="15" customHeight="1" x14ac:dyDescent="0.75"/>
    <row r="3615" customFormat="1" ht="15" customHeight="1" x14ac:dyDescent="0.75"/>
    <row r="3616" customFormat="1" ht="15" customHeight="1" x14ac:dyDescent="0.75"/>
    <row r="3617" spans="2:32" ht="15" customHeight="1" x14ac:dyDescent="0.75"/>
    <row r="3618" spans="2:32" ht="15" customHeight="1" x14ac:dyDescent="0.75"/>
    <row r="3619" spans="2:32" ht="15" customHeight="1" x14ac:dyDescent="0.75"/>
    <row r="3620" spans="2:32" ht="15" customHeight="1" x14ac:dyDescent="0.75"/>
    <row r="3621" spans="2:32" ht="12" customHeight="1" x14ac:dyDescent="0.75"/>
    <row r="3622" spans="2:32" ht="15" customHeight="1" x14ac:dyDescent="0.75"/>
    <row r="3623" spans="2:32" ht="15" customHeight="1" x14ac:dyDescent="0.75"/>
    <row r="3624" spans="2:32" ht="12" customHeight="1" x14ac:dyDescent="0.75"/>
    <row r="3625" spans="2:32" ht="15" customHeight="1" x14ac:dyDescent="0.75"/>
    <row r="3626" spans="2:32" ht="15" customHeight="1" x14ac:dyDescent="0.75"/>
    <row r="3627" spans="2:32" ht="15" customHeight="1" x14ac:dyDescent="0.75">
      <c r="B3627" s="101"/>
      <c r="C3627" s="101"/>
      <c r="D3627" s="101"/>
      <c r="E3627" s="101"/>
      <c r="F3627" s="101"/>
      <c r="G3627" s="101"/>
      <c r="H3627" s="101"/>
      <c r="I3627" s="101"/>
      <c r="J3627" s="101"/>
      <c r="K3627" s="101"/>
      <c r="L3627" s="101"/>
      <c r="M3627" s="101"/>
      <c r="N3627" s="101"/>
      <c r="O3627" s="101"/>
      <c r="P3627" s="101"/>
      <c r="Q3627" s="101"/>
      <c r="R3627" s="101"/>
      <c r="S3627" s="101"/>
      <c r="T3627" s="101"/>
      <c r="U3627" s="101"/>
      <c r="V3627" s="101"/>
      <c r="W3627" s="101"/>
      <c r="X3627" s="101"/>
      <c r="Y3627" s="101"/>
      <c r="Z3627" s="101"/>
      <c r="AA3627" s="101"/>
      <c r="AB3627" s="101"/>
      <c r="AC3627" s="101"/>
      <c r="AD3627" s="101"/>
      <c r="AE3627" s="101"/>
      <c r="AF3627" s="101"/>
    </row>
    <row r="3628" spans="2:32" ht="15" customHeight="1" x14ac:dyDescent="0.75"/>
    <row r="3629" spans="2:32" ht="15" customHeight="1" x14ac:dyDescent="0.75"/>
    <row r="3630" spans="2:32" ht="15" customHeight="1" x14ac:dyDescent="0.75"/>
    <row r="3631" spans="2:32" ht="15" customHeight="1" x14ac:dyDescent="0.75"/>
    <row r="3632" spans="2:32" ht="15" customHeight="1" x14ac:dyDescent="0.75"/>
    <row r="3633" customFormat="1" ht="15" customHeight="1" x14ac:dyDescent="0.75"/>
    <row r="3634" customFormat="1" ht="15" customHeight="1" x14ac:dyDescent="0.75"/>
    <row r="3635" customFormat="1" ht="15" customHeight="1" x14ac:dyDescent="0.75"/>
    <row r="3636" customFormat="1" ht="12" customHeight="1" x14ac:dyDescent="0.75"/>
    <row r="3637" customFormat="1" ht="12" customHeight="1" x14ac:dyDescent="0.75"/>
    <row r="3638" customFormat="1" ht="12" customHeight="1" x14ac:dyDescent="0.75"/>
    <row r="3639" customFormat="1" ht="12" customHeight="1" x14ac:dyDescent="0.75"/>
    <row r="3640" customFormat="1" ht="12" customHeight="1" x14ac:dyDescent="0.75"/>
    <row r="3641" customFormat="1" ht="12" customHeight="1" x14ac:dyDescent="0.75"/>
    <row r="3642" customFormat="1" ht="12" customHeight="1" x14ac:dyDescent="0.75"/>
    <row r="3643" customFormat="1" ht="12" customHeight="1" x14ac:dyDescent="0.75"/>
    <row r="3644" customFormat="1" ht="12" customHeight="1" x14ac:dyDescent="0.75"/>
    <row r="3645" customFormat="1" ht="12" customHeight="1" x14ac:dyDescent="0.75"/>
    <row r="3646" customFormat="1" ht="12" customHeight="1" x14ac:dyDescent="0.75"/>
    <row r="3647" customFormat="1" ht="12" customHeight="1" x14ac:dyDescent="0.75"/>
    <row r="3648" customFormat="1" ht="12" customHeight="1" x14ac:dyDescent="0.75"/>
    <row r="3649" customFormat="1" ht="12" customHeight="1" x14ac:dyDescent="0.75"/>
    <row r="3650" customFormat="1" ht="12" customHeight="1" x14ac:dyDescent="0.75"/>
    <row r="3651" customFormat="1" ht="12" customHeight="1" x14ac:dyDescent="0.75"/>
    <row r="3652" customFormat="1" ht="12" customHeight="1" x14ac:dyDescent="0.75"/>
    <row r="3653" customFormat="1" ht="12" customHeight="1" x14ac:dyDescent="0.75"/>
    <row r="3654" customFormat="1" ht="12" customHeight="1" x14ac:dyDescent="0.75"/>
    <row r="3655" customFormat="1" ht="12" customHeight="1" x14ac:dyDescent="0.75"/>
    <row r="3656" customFormat="1" ht="12" customHeight="1" x14ac:dyDescent="0.75"/>
    <row r="3657" customFormat="1" ht="12" customHeight="1" x14ac:dyDescent="0.75"/>
    <row r="3658" customFormat="1" ht="12" customHeight="1" x14ac:dyDescent="0.75"/>
    <row r="3659" customFormat="1" ht="12" customHeight="1" x14ac:dyDescent="0.75"/>
    <row r="3660" customFormat="1" ht="12" customHeight="1" x14ac:dyDescent="0.75"/>
    <row r="3661" customFormat="1" ht="12" customHeight="1" x14ac:dyDescent="0.75"/>
    <row r="3662" customFormat="1" ht="12" customHeight="1" x14ac:dyDescent="0.75"/>
    <row r="3663" customFormat="1" ht="12" customHeight="1" x14ac:dyDescent="0.75"/>
    <row r="3664" customFormat="1" ht="12" customHeight="1" x14ac:dyDescent="0.75"/>
    <row r="3665" customFormat="1" ht="12" customHeight="1" x14ac:dyDescent="0.75"/>
    <row r="3666" customFormat="1" ht="12" customHeight="1" x14ac:dyDescent="0.75"/>
    <row r="3667" customFormat="1" ht="12" customHeight="1" x14ac:dyDescent="0.75"/>
    <row r="3668" customFormat="1" ht="12" customHeight="1" x14ac:dyDescent="0.75"/>
    <row r="3669" customFormat="1" ht="12" customHeight="1" x14ac:dyDescent="0.75"/>
    <row r="3670" customFormat="1" ht="12" customHeight="1" x14ac:dyDescent="0.75"/>
    <row r="3671" customFormat="1" ht="12" customHeight="1" x14ac:dyDescent="0.75"/>
    <row r="3672" customFormat="1" ht="12" customHeight="1" x14ac:dyDescent="0.75"/>
    <row r="3673" customFormat="1" ht="12" customHeight="1" x14ac:dyDescent="0.75"/>
    <row r="3674" customFormat="1" ht="12" customHeight="1" x14ac:dyDescent="0.75"/>
    <row r="3675" customFormat="1" ht="15" customHeight="1" x14ac:dyDescent="0.75"/>
    <row r="3676" customFormat="1" ht="15" customHeight="1" x14ac:dyDescent="0.75"/>
    <row r="3677" customFormat="1" ht="15" customHeight="1" x14ac:dyDescent="0.75"/>
    <row r="3678" customFormat="1" ht="15" customHeight="1" x14ac:dyDescent="0.75"/>
    <row r="3679" customFormat="1" ht="15" customHeight="1" x14ac:dyDescent="0.75"/>
    <row r="3680" customFormat="1" ht="15" customHeight="1" x14ac:dyDescent="0.75"/>
    <row r="3681" customFormat="1" ht="15" customHeight="1" x14ac:dyDescent="0.75"/>
    <row r="3682" customFormat="1" ht="15" customHeight="1" x14ac:dyDescent="0.75"/>
    <row r="3683" customFormat="1" ht="15" customHeight="1" x14ac:dyDescent="0.75"/>
    <row r="3684" customFormat="1" ht="15" customHeight="1" x14ac:dyDescent="0.75"/>
    <row r="3685" customFormat="1" ht="12" customHeight="1" x14ac:dyDescent="0.75"/>
    <row r="3686" customFormat="1" ht="15" customHeight="1" x14ac:dyDescent="0.75"/>
    <row r="3687" customFormat="1" ht="15" customHeight="1" x14ac:dyDescent="0.75"/>
    <row r="3688" customFormat="1" ht="15" customHeight="1" x14ac:dyDescent="0.75"/>
    <row r="3689" customFormat="1" ht="15" customHeight="1" x14ac:dyDescent="0.75"/>
    <row r="3690" customFormat="1" ht="15" customHeight="1" x14ac:dyDescent="0.75"/>
    <row r="3691" customFormat="1" ht="15" customHeight="1" x14ac:dyDescent="0.75"/>
    <row r="3692" customFormat="1" ht="15" customHeight="1" x14ac:dyDescent="0.75"/>
    <row r="3693" customFormat="1" ht="15" customHeight="1" x14ac:dyDescent="0.75"/>
    <row r="3694" customFormat="1" ht="15" customHeight="1" x14ac:dyDescent="0.75"/>
    <row r="3695" customFormat="1" ht="15" customHeight="1" x14ac:dyDescent="0.75"/>
    <row r="3696" customFormat="1" ht="15" customHeight="1" x14ac:dyDescent="0.75"/>
    <row r="3697" customFormat="1" ht="15" customHeight="1" x14ac:dyDescent="0.75"/>
    <row r="3698" customFormat="1" ht="15" customHeight="1" x14ac:dyDescent="0.75"/>
    <row r="3699" customFormat="1" ht="15" customHeight="1" x14ac:dyDescent="0.75"/>
    <row r="3700" customFormat="1" ht="15" customHeight="1" x14ac:dyDescent="0.75"/>
    <row r="3701" customFormat="1" ht="15" customHeight="1" x14ac:dyDescent="0.75"/>
    <row r="3702" customFormat="1" ht="12" customHeight="1" x14ac:dyDescent="0.75"/>
    <row r="3703" customFormat="1" ht="15" customHeight="1" x14ac:dyDescent="0.75"/>
    <row r="3704" customFormat="1" ht="15" customHeight="1" x14ac:dyDescent="0.75"/>
    <row r="3705" customFormat="1" ht="12" customHeight="1" x14ac:dyDescent="0.75"/>
    <row r="3706" customFormat="1" ht="15" customHeight="1" x14ac:dyDescent="0.75"/>
    <row r="3707" customFormat="1" ht="15" customHeight="1" x14ac:dyDescent="0.75"/>
    <row r="3708" customFormat="1" ht="15" customHeight="1" x14ac:dyDescent="0.75"/>
    <row r="3709" customFormat="1" ht="15" customHeight="1" x14ac:dyDescent="0.75"/>
    <row r="3710" customFormat="1" ht="15" customHeight="1" x14ac:dyDescent="0.75"/>
    <row r="3711" customFormat="1" ht="12" customHeight="1" x14ac:dyDescent="0.75"/>
    <row r="3712" customFormat="1" ht="15" customHeight="1" x14ac:dyDescent="0.75"/>
    <row r="3713" customFormat="1" ht="15" customHeight="1" x14ac:dyDescent="0.75"/>
    <row r="3714" customFormat="1" ht="15" customHeight="1" x14ac:dyDescent="0.75"/>
    <row r="3715" customFormat="1" ht="15" customHeight="1" x14ac:dyDescent="0.75"/>
    <row r="3716" customFormat="1" ht="15" customHeight="1" x14ac:dyDescent="0.75"/>
    <row r="3717" customFormat="1" ht="15" customHeight="1" x14ac:dyDescent="0.75"/>
    <row r="3718" customFormat="1" ht="15" customHeight="1" x14ac:dyDescent="0.75"/>
    <row r="3719" customFormat="1" ht="15" customHeight="1" x14ac:dyDescent="0.75"/>
    <row r="3720" customFormat="1" ht="15" customHeight="1" x14ac:dyDescent="0.75"/>
    <row r="3721" customFormat="1" ht="15" customHeight="1" x14ac:dyDescent="0.75"/>
    <row r="3722" customFormat="1" ht="15" customHeight="1" x14ac:dyDescent="0.75"/>
    <row r="3723" customFormat="1" ht="15" customHeight="1" x14ac:dyDescent="0.75"/>
    <row r="3724" customFormat="1" ht="15" customHeight="1" x14ac:dyDescent="0.75"/>
    <row r="3725" customFormat="1" ht="15" customHeight="1" x14ac:dyDescent="0.75"/>
    <row r="3726" customFormat="1" ht="15" customHeight="1" x14ac:dyDescent="0.75"/>
    <row r="3727" customFormat="1" ht="15" customHeight="1" x14ac:dyDescent="0.75"/>
    <row r="3728" customFormat="1" ht="12" customHeight="1" x14ac:dyDescent="0.75"/>
    <row r="3729" customFormat="1" ht="15" customHeight="1" x14ac:dyDescent="0.75"/>
    <row r="3730" customFormat="1" ht="15" customHeight="1" x14ac:dyDescent="0.75"/>
    <row r="3731" customFormat="1" ht="12" customHeight="1" x14ac:dyDescent="0.75"/>
    <row r="3732" customFormat="1" ht="15" customHeight="1" x14ac:dyDescent="0.75"/>
    <row r="3733" customFormat="1" ht="15" customHeight="1" x14ac:dyDescent="0.75"/>
    <row r="3734" customFormat="1" ht="15" customHeight="1" x14ac:dyDescent="0.75"/>
    <row r="3735" customFormat="1" ht="12" customHeight="1" x14ac:dyDescent="0.75"/>
    <row r="3736" customFormat="1" ht="15" customHeight="1" x14ac:dyDescent="0.75"/>
    <row r="3737" customFormat="1" ht="15" customHeight="1" x14ac:dyDescent="0.75"/>
    <row r="3738" customFormat="1" ht="15" customHeight="1" x14ac:dyDescent="0.75"/>
    <row r="3739" customFormat="1" ht="15" customHeight="1" x14ac:dyDescent="0.75"/>
    <row r="3740" customFormat="1" ht="15" customHeight="1" x14ac:dyDescent="0.75"/>
    <row r="3741" customFormat="1" ht="15" customHeight="1" x14ac:dyDescent="0.75"/>
    <row r="3742" customFormat="1" ht="15" customHeight="1" x14ac:dyDescent="0.75"/>
    <row r="3743" customFormat="1" ht="15" customHeight="1" x14ac:dyDescent="0.75"/>
    <row r="3744" customFormat="1" ht="15" customHeight="1" x14ac:dyDescent="0.75"/>
    <row r="3745" spans="2:32" ht="15" customHeight="1" x14ac:dyDescent="0.75"/>
    <row r="3746" spans="2:32" ht="12" customHeight="1" x14ac:dyDescent="0.75"/>
    <row r="3747" spans="2:32" ht="15" customHeight="1" x14ac:dyDescent="0.75"/>
    <row r="3748" spans="2:32" ht="15" customHeight="1" x14ac:dyDescent="0.75"/>
    <row r="3749" spans="2:32" ht="12" customHeight="1" x14ac:dyDescent="0.75"/>
    <row r="3750" spans="2:32" ht="15" customHeight="1" x14ac:dyDescent="0.75"/>
    <row r="3751" spans="2:32" ht="15" customHeight="1" x14ac:dyDescent="0.75"/>
    <row r="3752" spans="2:32" ht="15" customHeight="1" x14ac:dyDescent="0.75">
      <c r="B3752" s="101"/>
      <c r="C3752" s="101"/>
      <c r="D3752" s="101"/>
      <c r="E3752" s="101"/>
      <c r="F3752" s="101"/>
      <c r="G3752" s="101"/>
      <c r="H3752" s="101"/>
      <c r="I3752" s="101"/>
      <c r="J3752" s="101"/>
      <c r="K3752" s="101"/>
      <c r="L3752" s="101"/>
      <c r="M3752" s="101"/>
      <c r="N3752" s="101"/>
      <c r="O3752" s="101"/>
      <c r="P3752" s="101"/>
      <c r="Q3752" s="101"/>
      <c r="R3752" s="101"/>
      <c r="S3752" s="101"/>
      <c r="T3752" s="101"/>
      <c r="U3752" s="101"/>
      <c r="V3752" s="101"/>
      <c r="W3752" s="101"/>
      <c r="X3752" s="101"/>
      <c r="Y3752" s="101"/>
      <c r="Z3752" s="101"/>
      <c r="AA3752" s="101"/>
      <c r="AB3752" s="101"/>
      <c r="AC3752" s="101"/>
      <c r="AD3752" s="101"/>
      <c r="AE3752" s="101"/>
      <c r="AF3752" s="101"/>
    </row>
    <row r="3753" spans="2:32" ht="15" customHeight="1" x14ac:dyDescent="0.75"/>
    <row r="3754" spans="2:32" ht="15" customHeight="1" x14ac:dyDescent="0.75"/>
    <row r="3755" spans="2:32" ht="15" customHeight="1" x14ac:dyDescent="0.75"/>
    <row r="3756" spans="2:32" ht="15" customHeight="1" x14ac:dyDescent="0.75"/>
    <row r="3757" spans="2:32" ht="15" customHeight="1" x14ac:dyDescent="0.75"/>
    <row r="3758" spans="2:32" ht="15" customHeight="1" x14ac:dyDescent="0.75"/>
    <row r="3759" spans="2:32" ht="15" customHeight="1" x14ac:dyDescent="0.75"/>
    <row r="3760" spans="2:32" ht="15" customHeight="1" x14ac:dyDescent="0.75"/>
    <row r="3761" customFormat="1" ht="12" customHeight="1" x14ac:dyDescent="0.75"/>
    <row r="3762" customFormat="1" ht="12" customHeight="1" x14ac:dyDescent="0.75"/>
    <row r="3763" customFormat="1" ht="12" customHeight="1" x14ac:dyDescent="0.75"/>
    <row r="3764" customFormat="1" ht="12" customHeight="1" x14ac:dyDescent="0.75"/>
    <row r="3765" customFormat="1" ht="12" customHeight="1" x14ac:dyDescent="0.75"/>
    <row r="3766" customFormat="1" ht="12" customHeight="1" x14ac:dyDescent="0.75"/>
    <row r="3767" customFormat="1" ht="12" customHeight="1" x14ac:dyDescent="0.75"/>
    <row r="3768" customFormat="1" ht="12" customHeight="1" x14ac:dyDescent="0.75"/>
    <row r="3769" customFormat="1" ht="12" customHeight="1" x14ac:dyDescent="0.75"/>
    <row r="3770" customFormat="1" ht="12" customHeight="1" x14ac:dyDescent="0.75"/>
    <row r="3771" customFormat="1" ht="12" customHeight="1" x14ac:dyDescent="0.75"/>
    <row r="3772" customFormat="1" ht="12" customHeight="1" x14ac:dyDescent="0.75"/>
    <row r="3773" customFormat="1" ht="12" customHeight="1" x14ac:dyDescent="0.75"/>
    <row r="3774" customFormat="1" ht="12" customHeight="1" x14ac:dyDescent="0.75"/>
    <row r="3775" customFormat="1" ht="12" customHeight="1" x14ac:dyDescent="0.75"/>
    <row r="3776" customFormat="1" ht="12" customHeight="1" x14ac:dyDescent="0.75"/>
    <row r="3777" customFormat="1" ht="12" customHeight="1" x14ac:dyDescent="0.75"/>
    <row r="3778" customFormat="1" ht="12" customHeight="1" x14ac:dyDescent="0.75"/>
    <row r="3779" customFormat="1" ht="12" customHeight="1" x14ac:dyDescent="0.75"/>
    <row r="3780" customFormat="1" ht="12" customHeight="1" x14ac:dyDescent="0.75"/>
    <row r="3781" customFormat="1" ht="12" customHeight="1" x14ac:dyDescent="0.75"/>
    <row r="3782" customFormat="1" ht="12" customHeight="1" x14ac:dyDescent="0.75"/>
    <row r="3783" customFormat="1" ht="12" customHeight="1" x14ac:dyDescent="0.75"/>
    <row r="3784" customFormat="1" ht="12" customHeight="1" x14ac:dyDescent="0.75"/>
    <row r="3785" customFormat="1" ht="12" customHeight="1" x14ac:dyDescent="0.75"/>
    <row r="3786" customFormat="1" ht="12" customHeight="1" x14ac:dyDescent="0.75"/>
    <row r="3787" customFormat="1" ht="12" customHeight="1" x14ac:dyDescent="0.75"/>
    <row r="3788" customFormat="1" ht="12" customHeight="1" x14ac:dyDescent="0.75"/>
    <row r="3789" customFormat="1" ht="12" customHeight="1" x14ac:dyDescent="0.75"/>
    <row r="3790" customFormat="1" ht="12" customHeight="1" x14ac:dyDescent="0.75"/>
    <row r="3791" customFormat="1" ht="12" customHeight="1" x14ac:dyDescent="0.75"/>
    <row r="3792" customFormat="1" ht="12" customHeight="1" x14ac:dyDescent="0.75"/>
    <row r="3793" customFormat="1" ht="12" customHeight="1" x14ac:dyDescent="0.75"/>
    <row r="3794" customFormat="1" ht="12" customHeight="1" x14ac:dyDescent="0.75"/>
    <row r="3795" customFormat="1" ht="12" customHeight="1" x14ac:dyDescent="0.75"/>
    <row r="3796" customFormat="1" ht="12" customHeight="1" x14ac:dyDescent="0.75"/>
    <row r="3797" customFormat="1" ht="12" customHeight="1" x14ac:dyDescent="0.75"/>
    <row r="3798" customFormat="1" ht="12" customHeight="1" x14ac:dyDescent="0.75"/>
    <row r="3799" customFormat="1" ht="12" customHeight="1" x14ac:dyDescent="0.75"/>
    <row r="3800" customFormat="1" ht="15" customHeight="1" x14ac:dyDescent="0.75"/>
    <row r="3801" customFormat="1" ht="15" customHeight="1" x14ac:dyDescent="0.75"/>
    <row r="3802" customFormat="1" ht="15" customHeight="1" x14ac:dyDescent="0.75"/>
    <row r="3803" customFormat="1" ht="15" customHeight="1" x14ac:dyDescent="0.75"/>
    <row r="3804" customFormat="1" ht="15" customHeight="1" x14ac:dyDescent="0.75"/>
    <row r="3805" customFormat="1" ht="15" customHeight="1" x14ac:dyDescent="0.75"/>
    <row r="3806" customFormat="1" ht="15" customHeight="1" x14ac:dyDescent="0.75"/>
    <row r="3807" customFormat="1" ht="15" customHeight="1" x14ac:dyDescent="0.75"/>
    <row r="3808" customFormat="1" ht="15" customHeight="1" x14ac:dyDescent="0.75"/>
    <row r="3809" customFormat="1" ht="15" customHeight="1" x14ac:dyDescent="0.75"/>
    <row r="3810" customFormat="1" ht="12" customHeight="1" x14ac:dyDescent="0.75"/>
    <row r="3811" customFormat="1" ht="15" customHeight="1" x14ac:dyDescent="0.75"/>
    <row r="3812" customFormat="1" ht="15" customHeight="1" x14ac:dyDescent="0.75"/>
    <row r="3813" customFormat="1" ht="15" customHeight="1" x14ac:dyDescent="0.75"/>
    <row r="3814" customFormat="1" ht="15" customHeight="1" x14ac:dyDescent="0.75"/>
    <row r="3815" customFormat="1" ht="15" customHeight="1" x14ac:dyDescent="0.75"/>
    <row r="3816" customFormat="1" ht="15" customHeight="1" x14ac:dyDescent="0.75"/>
    <row r="3817" customFormat="1" ht="15" customHeight="1" x14ac:dyDescent="0.75"/>
    <row r="3818" customFormat="1" ht="15" customHeight="1" x14ac:dyDescent="0.75"/>
    <row r="3819" customFormat="1" ht="15" customHeight="1" x14ac:dyDescent="0.75"/>
    <row r="3820" customFormat="1" ht="15" customHeight="1" x14ac:dyDescent="0.75"/>
    <row r="3821" customFormat="1" ht="15" customHeight="1" x14ac:dyDescent="0.75"/>
    <row r="3822" customFormat="1" ht="15" customHeight="1" x14ac:dyDescent="0.75"/>
    <row r="3823" customFormat="1" ht="15" customHeight="1" x14ac:dyDescent="0.75"/>
    <row r="3824" customFormat="1" ht="15" customHeight="1" x14ac:dyDescent="0.75"/>
    <row r="3825" customFormat="1" ht="15" customHeight="1" x14ac:dyDescent="0.75"/>
    <row r="3826" customFormat="1" ht="15" customHeight="1" x14ac:dyDescent="0.75"/>
    <row r="3827" customFormat="1" ht="12" customHeight="1" x14ac:dyDescent="0.75"/>
    <row r="3828" customFormat="1" ht="15" customHeight="1" x14ac:dyDescent="0.75"/>
    <row r="3829" customFormat="1" ht="15" customHeight="1" x14ac:dyDescent="0.75"/>
    <row r="3830" customFormat="1" ht="12" customHeight="1" x14ac:dyDescent="0.75"/>
    <row r="3831" customFormat="1" ht="15" customHeight="1" x14ac:dyDescent="0.75"/>
    <row r="3832" customFormat="1" ht="15" customHeight="1" x14ac:dyDescent="0.75"/>
    <row r="3833" customFormat="1" ht="15" customHeight="1" x14ac:dyDescent="0.75"/>
    <row r="3834" customFormat="1" ht="15" customHeight="1" x14ac:dyDescent="0.75"/>
    <row r="3835" customFormat="1" ht="15" customHeight="1" x14ac:dyDescent="0.75"/>
    <row r="3836" customFormat="1" ht="12" customHeight="1" x14ac:dyDescent="0.75"/>
    <row r="3837" customFormat="1" ht="15" customHeight="1" x14ac:dyDescent="0.75"/>
    <row r="3838" customFormat="1" ht="15" customHeight="1" x14ac:dyDescent="0.75"/>
    <row r="3839" customFormat="1" ht="15" customHeight="1" x14ac:dyDescent="0.75"/>
    <row r="3840" customFormat="1" ht="15" customHeight="1" x14ac:dyDescent="0.75"/>
    <row r="3841" customFormat="1" ht="15" customHeight="1" x14ac:dyDescent="0.75"/>
    <row r="3842" customFormat="1" ht="15" customHeight="1" x14ac:dyDescent="0.75"/>
    <row r="3843" customFormat="1" ht="15" customHeight="1" x14ac:dyDescent="0.75"/>
    <row r="3844" customFormat="1" ht="15" customHeight="1" x14ac:dyDescent="0.75"/>
    <row r="3845" customFormat="1" ht="15" customHeight="1" x14ac:dyDescent="0.75"/>
    <row r="3846" customFormat="1" ht="15" customHeight="1" x14ac:dyDescent="0.75"/>
    <row r="3847" customFormat="1" ht="15" customHeight="1" x14ac:dyDescent="0.75"/>
    <row r="3848" customFormat="1" ht="15" customHeight="1" x14ac:dyDescent="0.75"/>
    <row r="3849" customFormat="1" ht="15" customHeight="1" x14ac:dyDescent="0.75"/>
    <row r="3850" customFormat="1" ht="15" customHeight="1" x14ac:dyDescent="0.75"/>
    <row r="3851" customFormat="1" ht="15" customHeight="1" x14ac:dyDescent="0.75"/>
    <row r="3852" customFormat="1" ht="15" customHeight="1" x14ac:dyDescent="0.75"/>
    <row r="3853" customFormat="1" ht="12" customHeight="1" x14ac:dyDescent="0.75"/>
    <row r="3854" customFormat="1" ht="15" customHeight="1" x14ac:dyDescent="0.75"/>
    <row r="3855" customFormat="1" ht="15" customHeight="1" x14ac:dyDescent="0.75"/>
    <row r="3856" customFormat="1" ht="12" customHeight="1" x14ac:dyDescent="0.75"/>
    <row r="3857" customFormat="1" ht="15" customHeight="1" x14ac:dyDescent="0.75"/>
    <row r="3858" customFormat="1" ht="15" customHeight="1" x14ac:dyDescent="0.75"/>
    <row r="3859" customFormat="1" ht="15" customHeight="1" x14ac:dyDescent="0.75"/>
    <row r="3860" customFormat="1" ht="12" customHeight="1" x14ac:dyDescent="0.75"/>
    <row r="3861" customFormat="1" ht="15" customHeight="1" x14ac:dyDescent="0.75"/>
    <row r="3862" customFormat="1" ht="15" customHeight="1" x14ac:dyDescent="0.75"/>
    <row r="3863" customFormat="1" ht="15" customHeight="1" x14ac:dyDescent="0.75"/>
    <row r="3864" customFormat="1" ht="15" customHeight="1" x14ac:dyDescent="0.75"/>
    <row r="3865" customFormat="1" ht="15" customHeight="1" x14ac:dyDescent="0.75"/>
    <row r="3866" customFormat="1" ht="15" customHeight="1" x14ac:dyDescent="0.75"/>
    <row r="3867" customFormat="1" ht="15" customHeight="1" x14ac:dyDescent="0.75"/>
    <row r="3868" customFormat="1" ht="15" customHeight="1" x14ac:dyDescent="0.75"/>
    <row r="3869" customFormat="1" ht="15" customHeight="1" x14ac:dyDescent="0.75"/>
    <row r="3870" customFormat="1" ht="15" customHeight="1" x14ac:dyDescent="0.75"/>
    <row r="3871" customFormat="1" ht="12" customHeight="1" x14ac:dyDescent="0.75"/>
    <row r="3872" customFormat="1" ht="15" customHeight="1" x14ac:dyDescent="0.75"/>
    <row r="3873" spans="2:32" ht="15" customHeight="1" x14ac:dyDescent="0.75"/>
    <row r="3874" spans="2:32" ht="12" customHeight="1" x14ac:dyDescent="0.75"/>
    <row r="3875" spans="2:32" ht="15" customHeight="1" x14ac:dyDescent="0.75"/>
    <row r="3876" spans="2:32" ht="15" customHeight="1" x14ac:dyDescent="0.75"/>
    <row r="3877" spans="2:32" ht="15" customHeight="1" x14ac:dyDescent="0.75">
      <c r="B3877" s="101"/>
      <c r="C3877" s="101"/>
      <c r="D3877" s="101"/>
      <c r="E3877" s="101"/>
      <c r="F3877" s="101"/>
      <c r="G3877" s="101"/>
      <c r="H3877" s="101"/>
      <c r="I3877" s="101"/>
      <c r="J3877" s="101"/>
      <c r="K3877" s="101"/>
      <c r="L3877" s="101"/>
      <c r="M3877" s="101"/>
      <c r="N3877" s="101"/>
      <c r="O3877" s="101"/>
      <c r="P3877" s="101"/>
      <c r="Q3877" s="101"/>
      <c r="R3877" s="101"/>
      <c r="S3877" s="101"/>
      <c r="T3877" s="101"/>
      <c r="U3877" s="101"/>
      <c r="V3877" s="101"/>
      <c r="W3877" s="101"/>
      <c r="X3877" s="101"/>
      <c r="Y3877" s="101"/>
      <c r="Z3877" s="101"/>
      <c r="AA3877" s="101"/>
      <c r="AB3877" s="101"/>
      <c r="AC3877" s="101"/>
      <c r="AD3877" s="101"/>
      <c r="AE3877" s="101"/>
      <c r="AF3877" s="101"/>
    </row>
    <row r="3878" spans="2:32" ht="15" customHeight="1" x14ac:dyDescent="0.75"/>
    <row r="3879" spans="2:32" ht="15" customHeight="1" x14ac:dyDescent="0.75"/>
    <row r="3880" spans="2:32" ht="15" customHeight="1" x14ac:dyDescent="0.75"/>
    <row r="3881" spans="2:32" ht="15" customHeight="1" x14ac:dyDescent="0.75"/>
    <row r="3882" spans="2:32" ht="15" customHeight="1" x14ac:dyDescent="0.75"/>
    <row r="3883" spans="2:32" ht="15" customHeight="1" x14ac:dyDescent="0.75"/>
    <row r="3884" spans="2:32" ht="15" customHeight="1" x14ac:dyDescent="0.75"/>
    <row r="3885" spans="2:32" ht="15" customHeight="1" x14ac:dyDescent="0.75"/>
    <row r="3886" spans="2:32" ht="12" customHeight="1" x14ac:dyDescent="0.75"/>
    <row r="3887" spans="2:32" ht="12" customHeight="1" x14ac:dyDescent="0.75"/>
    <row r="3888" spans="2:32" ht="12" customHeight="1" x14ac:dyDescent="0.75"/>
    <row r="3889" customFormat="1" ht="12" customHeight="1" x14ac:dyDescent="0.75"/>
    <row r="3890" customFormat="1" ht="12" customHeight="1" x14ac:dyDescent="0.75"/>
    <row r="3891" customFormat="1" ht="12" customHeight="1" x14ac:dyDescent="0.75"/>
    <row r="3892" customFormat="1" ht="12" customHeight="1" x14ac:dyDescent="0.75"/>
    <row r="3893" customFormat="1" ht="12" customHeight="1" x14ac:dyDescent="0.75"/>
    <row r="3894" customFormat="1" ht="12" customHeight="1" x14ac:dyDescent="0.75"/>
    <row r="3895" customFormat="1" ht="12" customHeight="1" x14ac:dyDescent="0.75"/>
    <row r="3896" customFormat="1" ht="12" customHeight="1" x14ac:dyDescent="0.75"/>
    <row r="3897" customFormat="1" ht="12" customHeight="1" x14ac:dyDescent="0.75"/>
    <row r="3898" customFormat="1" ht="12" customHeight="1" x14ac:dyDescent="0.75"/>
    <row r="3899" customFormat="1" ht="12" customHeight="1" x14ac:dyDescent="0.75"/>
    <row r="3900" customFormat="1" ht="12" customHeight="1" x14ac:dyDescent="0.75"/>
    <row r="3901" customFormat="1" ht="12" customHeight="1" x14ac:dyDescent="0.75"/>
    <row r="3902" customFormat="1" ht="12" customHeight="1" x14ac:dyDescent="0.75"/>
    <row r="3903" customFormat="1" ht="12" customHeight="1" x14ac:dyDescent="0.75"/>
    <row r="3904" customFormat="1" ht="12" customHeight="1" x14ac:dyDescent="0.75"/>
    <row r="3905" customFormat="1" ht="12" customHeight="1" x14ac:dyDescent="0.75"/>
    <row r="3906" customFormat="1" ht="12" customHeight="1" x14ac:dyDescent="0.75"/>
    <row r="3907" customFormat="1" ht="12" customHeight="1" x14ac:dyDescent="0.75"/>
    <row r="3908" customFormat="1" ht="12" customHeight="1" x14ac:dyDescent="0.75"/>
    <row r="3909" customFormat="1" ht="12" customHeight="1" x14ac:dyDescent="0.75"/>
    <row r="3910" customFormat="1" ht="12" customHeight="1" x14ac:dyDescent="0.75"/>
    <row r="3911" customFormat="1" ht="12" customHeight="1" x14ac:dyDescent="0.75"/>
    <row r="3912" customFormat="1" ht="12" customHeight="1" x14ac:dyDescent="0.75"/>
    <row r="3913" customFormat="1" ht="12" customHeight="1" x14ac:dyDescent="0.75"/>
    <row r="3914" customFormat="1" ht="12" customHeight="1" x14ac:dyDescent="0.75"/>
    <row r="3915" customFormat="1" ht="12" customHeight="1" x14ac:dyDescent="0.75"/>
    <row r="3916" customFormat="1" ht="12" customHeight="1" x14ac:dyDescent="0.75"/>
    <row r="3917" customFormat="1" ht="12" customHeight="1" x14ac:dyDescent="0.75"/>
    <row r="3918" customFormat="1" ht="12" customHeight="1" x14ac:dyDescent="0.75"/>
    <row r="3919" customFormat="1" ht="12" customHeight="1" x14ac:dyDescent="0.75"/>
    <row r="3920" customFormat="1" ht="12" customHeight="1" x14ac:dyDescent="0.75"/>
    <row r="3921" customFormat="1" ht="12" customHeight="1" x14ac:dyDescent="0.75"/>
    <row r="3922" customFormat="1" ht="12" customHeight="1" x14ac:dyDescent="0.75"/>
    <row r="3923" customFormat="1" ht="12" customHeight="1" x14ac:dyDescent="0.75"/>
    <row r="3924" customFormat="1" ht="12" customHeight="1" x14ac:dyDescent="0.75"/>
    <row r="3925" customFormat="1" ht="15" customHeight="1" x14ac:dyDescent="0.75"/>
    <row r="3926" customFormat="1" ht="15" customHeight="1" x14ac:dyDescent="0.75"/>
    <row r="3927" customFormat="1" ht="15" customHeight="1" x14ac:dyDescent="0.75"/>
    <row r="3928" customFormat="1" ht="15" customHeight="1" x14ac:dyDescent="0.75"/>
    <row r="3929" customFormat="1" ht="15" customHeight="1" x14ac:dyDescent="0.75"/>
    <row r="3930" customFormat="1" ht="15" customHeight="1" x14ac:dyDescent="0.75"/>
    <row r="3931" customFormat="1" ht="15" customHeight="1" x14ac:dyDescent="0.75"/>
    <row r="3932" customFormat="1" ht="15" customHeight="1" x14ac:dyDescent="0.75"/>
    <row r="3933" customFormat="1" ht="15" customHeight="1" x14ac:dyDescent="0.75"/>
    <row r="3934" customFormat="1" ht="15" customHeight="1" x14ac:dyDescent="0.75"/>
    <row r="3935" customFormat="1" ht="12" customHeight="1" x14ac:dyDescent="0.75"/>
    <row r="3936" customFormat="1" ht="15" customHeight="1" x14ac:dyDescent="0.75"/>
    <row r="3937" customFormat="1" ht="15" customHeight="1" x14ac:dyDescent="0.75"/>
    <row r="3938" customFormat="1" ht="15" customHeight="1" x14ac:dyDescent="0.75"/>
    <row r="3939" customFormat="1" ht="15" customHeight="1" x14ac:dyDescent="0.75"/>
    <row r="3940" customFormat="1" ht="15" customHeight="1" x14ac:dyDescent="0.75"/>
    <row r="3941" customFormat="1" ht="15" customHeight="1" x14ac:dyDescent="0.75"/>
    <row r="3942" customFormat="1" ht="15" customHeight="1" x14ac:dyDescent="0.75"/>
    <row r="3943" customFormat="1" ht="15" customHeight="1" x14ac:dyDescent="0.75"/>
    <row r="3944" customFormat="1" ht="15" customHeight="1" x14ac:dyDescent="0.75"/>
    <row r="3945" customFormat="1" ht="15" customHeight="1" x14ac:dyDescent="0.75"/>
    <row r="3946" customFormat="1" ht="15" customHeight="1" x14ac:dyDescent="0.75"/>
    <row r="3947" customFormat="1" ht="15" customHeight="1" x14ac:dyDescent="0.75"/>
    <row r="3948" customFormat="1" ht="15" customHeight="1" x14ac:dyDescent="0.75"/>
    <row r="3949" customFormat="1" ht="15" customHeight="1" x14ac:dyDescent="0.75"/>
    <row r="3950" customFormat="1" ht="15" customHeight="1" x14ac:dyDescent="0.75"/>
    <row r="3951" customFormat="1" ht="15" customHeight="1" x14ac:dyDescent="0.75"/>
    <row r="3952" customFormat="1" ht="12" customHeight="1" x14ac:dyDescent="0.75"/>
    <row r="3953" customFormat="1" ht="15" customHeight="1" x14ac:dyDescent="0.75"/>
    <row r="3954" customFormat="1" ht="15" customHeight="1" x14ac:dyDescent="0.75"/>
    <row r="3955" customFormat="1" ht="12" customHeight="1" x14ac:dyDescent="0.75"/>
    <row r="3956" customFormat="1" ht="15" customHeight="1" x14ac:dyDescent="0.75"/>
    <row r="3957" customFormat="1" ht="15" customHeight="1" x14ac:dyDescent="0.75"/>
    <row r="3958" customFormat="1" ht="15" customHeight="1" x14ac:dyDescent="0.75"/>
    <row r="3959" customFormat="1" ht="15" customHeight="1" x14ac:dyDescent="0.75"/>
    <row r="3960" customFormat="1" ht="15" customHeight="1" x14ac:dyDescent="0.75"/>
    <row r="3961" customFormat="1" ht="12" customHeight="1" x14ac:dyDescent="0.75"/>
    <row r="3962" customFormat="1" ht="15" customHeight="1" x14ac:dyDescent="0.75"/>
    <row r="3963" customFormat="1" ht="15" customHeight="1" x14ac:dyDescent="0.75"/>
    <row r="3964" customFormat="1" ht="15" customHeight="1" x14ac:dyDescent="0.75"/>
    <row r="3965" customFormat="1" ht="15" customHeight="1" x14ac:dyDescent="0.75"/>
    <row r="3966" customFormat="1" ht="15" customHeight="1" x14ac:dyDescent="0.75"/>
    <row r="3967" customFormat="1" ht="15" customHeight="1" x14ac:dyDescent="0.75"/>
    <row r="3968" customFormat="1" ht="15" customHeight="1" x14ac:dyDescent="0.75"/>
    <row r="3969" customFormat="1" ht="15" customHeight="1" x14ac:dyDescent="0.75"/>
    <row r="3970" customFormat="1" ht="15" customHeight="1" x14ac:dyDescent="0.75"/>
    <row r="3971" customFormat="1" ht="15" customHeight="1" x14ac:dyDescent="0.75"/>
    <row r="3972" customFormat="1" ht="15" customHeight="1" x14ac:dyDescent="0.75"/>
    <row r="3973" customFormat="1" ht="15" customHeight="1" x14ac:dyDescent="0.75"/>
    <row r="3974" customFormat="1" ht="15" customHeight="1" x14ac:dyDescent="0.75"/>
    <row r="3975" customFormat="1" ht="15" customHeight="1" x14ac:dyDescent="0.75"/>
    <row r="3976" customFormat="1" ht="15" customHeight="1" x14ac:dyDescent="0.75"/>
    <row r="3977" customFormat="1" ht="15" customHeight="1" x14ac:dyDescent="0.75"/>
    <row r="3978" customFormat="1" ht="12" customHeight="1" x14ac:dyDescent="0.75"/>
    <row r="3979" customFormat="1" ht="15" customHeight="1" x14ac:dyDescent="0.75"/>
    <row r="3980" customFormat="1" ht="15" customHeight="1" x14ac:dyDescent="0.75"/>
    <row r="3981" customFormat="1" ht="12" customHeight="1" x14ac:dyDescent="0.75"/>
    <row r="3982" customFormat="1" ht="15" customHeight="1" x14ac:dyDescent="0.75"/>
    <row r="3983" customFormat="1" ht="15" customHeight="1" x14ac:dyDescent="0.75"/>
    <row r="3984" customFormat="1" ht="15" customHeight="1" x14ac:dyDescent="0.75"/>
    <row r="3985" customFormat="1" ht="12" customHeight="1" x14ac:dyDescent="0.75"/>
    <row r="3986" customFormat="1" ht="15" customHeight="1" x14ac:dyDescent="0.75"/>
    <row r="3987" customFormat="1" ht="15" customHeight="1" x14ac:dyDescent="0.75"/>
    <row r="3988" customFormat="1" ht="15" customHeight="1" x14ac:dyDescent="0.75"/>
    <row r="3989" customFormat="1" ht="15" customHeight="1" x14ac:dyDescent="0.75"/>
    <row r="3990" customFormat="1" ht="15" customHeight="1" x14ac:dyDescent="0.75"/>
    <row r="3991" customFormat="1" ht="15" customHeight="1" x14ac:dyDescent="0.75"/>
    <row r="3992" customFormat="1" ht="15" customHeight="1" x14ac:dyDescent="0.75"/>
    <row r="3993" customFormat="1" ht="15" customHeight="1" x14ac:dyDescent="0.75"/>
    <row r="3994" customFormat="1" ht="15" customHeight="1" x14ac:dyDescent="0.75"/>
    <row r="3995" customFormat="1" ht="15" customHeight="1" x14ac:dyDescent="0.75"/>
    <row r="3996" customFormat="1" ht="12" customHeight="1" x14ac:dyDescent="0.75"/>
    <row r="3997" customFormat="1" ht="15" customHeight="1" x14ac:dyDescent="0.75"/>
    <row r="3998" customFormat="1" ht="15" customHeight="1" x14ac:dyDescent="0.75"/>
    <row r="3999" customFormat="1" ht="12" customHeight="1" x14ac:dyDescent="0.75"/>
    <row r="4000" customFormat="1" ht="15" customHeight="1" x14ac:dyDescent="0.75"/>
    <row r="4001" spans="2:32" ht="15" customHeight="1" x14ac:dyDescent="0.75"/>
    <row r="4002" spans="2:32" ht="15" customHeight="1" x14ac:dyDescent="0.75">
      <c r="B4002" s="101"/>
      <c r="C4002" s="101"/>
      <c r="D4002" s="101"/>
      <c r="E4002" s="101"/>
      <c r="F4002" s="101"/>
      <c r="G4002" s="101"/>
      <c r="H4002" s="101"/>
      <c r="I4002" s="101"/>
      <c r="J4002" s="101"/>
      <c r="K4002" s="101"/>
      <c r="L4002" s="101"/>
      <c r="M4002" s="101"/>
      <c r="N4002" s="101"/>
      <c r="O4002" s="101"/>
      <c r="P4002" s="101"/>
      <c r="Q4002" s="101"/>
      <c r="R4002" s="101"/>
      <c r="S4002" s="101"/>
      <c r="T4002" s="101"/>
      <c r="U4002" s="101"/>
      <c r="V4002" s="101"/>
      <c r="W4002" s="101"/>
      <c r="X4002" s="101"/>
      <c r="Y4002" s="101"/>
      <c r="Z4002" s="101"/>
      <c r="AA4002" s="101"/>
      <c r="AB4002" s="101"/>
      <c r="AC4002" s="101"/>
      <c r="AD4002" s="101"/>
      <c r="AE4002" s="101"/>
      <c r="AF4002" s="101"/>
    </row>
    <row r="4003" spans="2:32" ht="15" customHeight="1" x14ac:dyDescent="0.75"/>
    <row r="4004" spans="2:32" ht="15" customHeight="1" x14ac:dyDescent="0.75"/>
    <row r="4005" spans="2:32" ht="15" customHeight="1" x14ac:dyDescent="0.75"/>
    <row r="4006" spans="2:32" ht="15" customHeight="1" x14ac:dyDescent="0.75"/>
    <row r="4007" spans="2:32" ht="15" customHeight="1" x14ac:dyDescent="0.75"/>
    <row r="4008" spans="2:32" ht="15" customHeight="1" x14ac:dyDescent="0.75"/>
    <row r="4009" spans="2:32" ht="15" customHeight="1" x14ac:dyDescent="0.75"/>
    <row r="4010" spans="2:32" ht="15" customHeight="1" x14ac:dyDescent="0.75"/>
    <row r="4011" spans="2:32" ht="12" customHeight="1" x14ac:dyDescent="0.75"/>
    <row r="4012" spans="2:32" ht="12" customHeight="1" x14ac:dyDescent="0.75"/>
    <row r="4013" spans="2:32" ht="12" customHeight="1" x14ac:dyDescent="0.75"/>
    <row r="4014" spans="2:32" ht="12" customHeight="1" x14ac:dyDescent="0.75"/>
    <row r="4015" spans="2:32" ht="12" customHeight="1" x14ac:dyDescent="0.75"/>
    <row r="4016" spans="2:32" ht="12" customHeight="1" x14ac:dyDescent="0.75"/>
    <row r="4017" customFormat="1" ht="12" customHeight="1" x14ac:dyDescent="0.75"/>
    <row r="4018" customFormat="1" ht="12" customHeight="1" x14ac:dyDescent="0.75"/>
    <row r="4019" customFormat="1" ht="12" customHeight="1" x14ac:dyDescent="0.75"/>
    <row r="4020" customFormat="1" ht="12" customHeight="1" x14ac:dyDescent="0.75"/>
    <row r="4021" customFormat="1" ht="12" customHeight="1" x14ac:dyDescent="0.75"/>
    <row r="4022" customFormat="1" ht="12" customHeight="1" x14ac:dyDescent="0.75"/>
    <row r="4023" customFormat="1" ht="12" customHeight="1" x14ac:dyDescent="0.75"/>
    <row r="4024" customFormat="1" ht="12" customHeight="1" x14ac:dyDescent="0.75"/>
    <row r="4025" customFormat="1" ht="12" customHeight="1" x14ac:dyDescent="0.75"/>
    <row r="4026" customFormat="1" ht="12" customHeight="1" x14ac:dyDescent="0.75"/>
    <row r="4027" customFormat="1" ht="12" customHeight="1" x14ac:dyDescent="0.75"/>
    <row r="4028" customFormat="1" ht="12" customHeight="1" x14ac:dyDescent="0.75"/>
    <row r="4029" customFormat="1" ht="12" customHeight="1" x14ac:dyDescent="0.75"/>
    <row r="4030" customFormat="1" ht="12" customHeight="1" x14ac:dyDescent="0.75"/>
    <row r="4031" customFormat="1" ht="12" customHeight="1" x14ac:dyDescent="0.75"/>
    <row r="4032" customFormat="1" ht="12" customHeight="1" x14ac:dyDescent="0.75"/>
    <row r="4033" customFormat="1" ht="12" customHeight="1" x14ac:dyDescent="0.75"/>
    <row r="4034" customFormat="1" ht="12" customHeight="1" x14ac:dyDescent="0.75"/>
    <row r="4035" customFormat="1" ht="12" customHeight="1" x14ac:dyDescent="0.75"/>
    <row r="4036" customFormat="1" ht="12" customHeight="1" x14ac:dyDescent="0.75"/>
    <row r="4037" customFormat="1" ht="12" customHeight="1" x14ac:dyDescent="0.75"/>
    <row r="4038" customFormat="1" ht="12" customHeight="1" x14ac:dyDescent="0.75"/>
    <row r="4039" customFormat="1" ht="12" customHeight="1" x14ac:dyDescent="0.75"/>
    <row r="4040" customFormat="1" ht="12" customHeight="1" x14ac:dyDescent="0.75"/>
    <row r="4041" customFormat="1" ht="12" customHeight="1" x14ac:dyDescent="0.75"/>
    <row r="4042" customFormat="1" ht="12" customHeight="1" x14ac:dyDescent="0.75"/>
    <row r="4043" customFormat="1" ht="12" customHeight="1" x14ac:dyDescent="0.75"/>
    <row r="4044" customFormat="1" ht="12" customHeight="1" x14ac:dyDescent="0.75"/>
    <row r="4045" customFormat="1" ht="12" customHeight="1" x14ac:dyDescent="0.75"/>
    <row r="4046" customFormat="1" ht="12" customHeight="1" x14ac:dyDescent="0.75"/>
    <row r="4047" customFormat="1" ht="12" customHeight="1" x14ac:dyDescent="0.75"/>
    <row r="4048" customFormat="1" ht="12" customHeight="1" x14ac:dyDescent="0.75"/>
    <row r="4049" customFormat="1" ht="12" customHeight="1" x14ac:dyDescent="0.75"/>
    <row r="4050" customFormat="1" ht="15" customHeight="1" x14ac:dyDescent="0.75"/>
    <row r="4051" customFormat="1" ht="15" customHeight="1" x14ac:dyDescent="0.75"/>
    <row r="4052" customFormat="1" ht="15" customHeight="1" x14ac:dyDescent="0.75"/>
    <row r="4053" customFormat="1" ht="15" customHeight="1" x14ac:dyDescent="0.75"/>
    <row r="4054" customFormat="1" ht="15" customHeight="1" x14ac:dyDescent="0.75"/>
    <row r="4055" customFormat="1" ht="15" customHeight="1" x14ac:dyDescent="0.75"/>
    <row r="4056" customFormat="1" ht="15" customHeight="1" x14ac:dyDescent="0.75"/>
    <row r="4057" customFormat="1" ht="15" customHeight="1" x14ac:dyDescent="0.75"/>
    <row r="4058" customFormat="1" ht="15" customHeight="1" x14ac:dyDescent="0.75"/>
    <row r="4059" customFormat="1" ht="15" customHeight="1" x14ac:dyDescent="0.75"/>
    <row r="4060" customFormat="1" ht="12" customHeight="1" x14ac:dyDescent="0.75"/>
    <row r="4061" customFormat="1" ht="15" customHeight="1" x14ac:dyDescent="0.75"/>
    <row r="4062" customFormat="1" ht="15" customHeight="1" x14ac:dyDescent="0.75"/>
    <row r="4063" customFormat="1" ht="15" customHeight="1" x14ac:dyDescent="0.75"/>
    <row r="4064" customFormat="1" ht="15" customHeight="1" x14ac:dyDescent="0.75"/>
    <row r="4065" customFormat="1" ht="15" customHeight="1" x14ac:dyDescent="0.75"/>
    <row r="4066" customFormat="1" ht="15" customHeight="1" x14ac:dyDescent="0.75"/>
    <row r="4067" customFormat="1" ht="15" customHeight="1" x14ac:dyDescent="0.75"/>
    <row r="4068" customFormat="1" ht="15" customHeight="1" x14ac:dyDescent="0.75"/>
    <row r="4069" customFormat="1" ht="15" customHeight="1" x14ac:dyDescent="0.75"/>
    <row r="4070" customFormat="1" ht="15" customHeight="1" x14ac:dyDescent="0.75"/>
    <row r="4071" customFormat="1" ht="15" customHeight="1" x14ac:dyDescent="0.75"/>
    <row r="4072" customFormat="1" ht="15" customHeight="1" x14ac:dyDescent="0.75"/>
    <row r="4073" customFormat="1" ht="15" customHeight="1" x14ac:dyDescent="0.75"/>
    <row r="4074" customFormat="1" ht="15" customHeight="1" x14ac:dyDescent="0.75"/>
    <row r="4075" customFormat="1" ht="15" customHeight="1" x14ac:dyDescent="0.75"/>
    <row r="4076" customFormat="1" ht="15" customHeight="1" x14ac:dyDescent="0.75"/>
    <row r="4077" customFormat="1" ht="12" customHeight="1" x14ac:dyDescent="0.75"/>
    <row r="4078" customFormat="1" ht="15" customHeight="1" x14ac:dyDescent="0.75"/>
    <row r="4079" customFormat="1" ht="15" customHeight="1" x14ac:dyDescent="0.75"/>
    <row r="4080" customFormat="1" ht="12" customHeight="1" x14ac:dyDescent="0.75"/>
    <row r="4081" customFormat="1" ht="15" customHeight="1" x14ac:dyDescent="0.75"/>
    <row r="4082" customFormat="1" ht="15" customHeight="1" x14ac:dyDescent="0.75"/>
    <row r="4083" customFormat="1" ht="15" customHeight="1" x14ac:dyDescent="0.75"/>
    <row r="4084" customFormat="1" ht="15" customHeight="1" x14ac:dyDescent="0.75"/>
    <row r="4085" customFormat="1" ht="15" customHeight="1" x14ac:dyDescent="0.75"/>
    <row r="4086" customFormat="1" ht="12" customHeight="1" x14ac:dyDescent="0.75"/>
    <row r="4087" customFormat="1" ht="15" customHeight="1" x14ac:dyDescent="0.75"/>
    <row r="4088" customFormat="1" ht="15" customHeight="1" x14ac:dyDescent="0.75"/>
    <row r="4089" customFormat="1" ht="15" customHeight="1" x14ac:dyDescent="0.75"/>
    <row r="4090" customFormat="1" ht="15" customHeight="1" x14ac:dyDescent="0.75"/>
    <row r="4091" customFormat="1" ht="15" customHeight="1" x14ac:dyDescent="0.75"/>
    <row r="4092" customFormat="1" ht="15" customHeight="1" x14ac:dyDescent="0.75"/>
    <row r="4093" customFormat="1" ht="15" customHeight="1" x14ac:dyDescent="0.75"/>
    <row r="4094" customFormat="1" ht="15" customHeight="1" x14ac:dyDescent="0.75"/>
    <row r="4095" customFormat="1" ht="15" customHeight="1" x14ac:dyDescent="0.75"/>
    <row r="4096" customFormat="1" ht="15" customHeight="1" x14ac:dyDescent="0.75"/>
    <row r="4097" customFormat="1" ht="15" customHeight="1" x14ac:dyDescent="0.75"/>
    <row r="4098" customFormat="1" ht="15" customHeight="1" x14ac:dyDescent="0.75"/>
    <row r="4099" customFormat="1" ht="15" customHeight="1" x14ac:dyDescent="0.75"/>
    <row r="4100" customFormat="1" ht="15" customHeight="1" x14ac:dyDescent="0.75"/>
    <row r="4101" customFormat="1" ht="15" customHeight="1" x14ac:dyDescent="0.75"/>
    <row r="4102" customFormat="1" ht="15" customHeight="1" x14ac:dyDescent="0.75"/>
    <row r="4103" customFormat="1" ht="12" customHeight="1" x14ac:dyDescent="0.75"/>
    <row r="4104" customFormat="1" ht="15" customHeight="1" x14ac:dyDescent="0.75"/>
    <row r="4105" customFormat="1" ht="15" customHeight="1" x14ac:dyDescent="0.75"/>
    <row r="4106" customFormat="1" ht="12" customHeight="1" x14ac:dyDescent="0.75"/>
    <row r="4107" customFormat="1" ht="15" customHeight="1" x14ac:dyDescent="0.75"/>
    <row r="4108" customFormat="1" ht="15" customHeight="1" x14ac:dyDescent="0.75"/>
    <row r="4109" customFormat="1" ht="15" customHeight="1" x14ac:dyDescent="0.75"/>
    <row r="4110" customFormat="1" ht="12" customHeight="1" x14ac:dyDescent="0.75"/>
    <row r="4111" customFormat="1" ht="15" customHeight="1" x14ac:dyDescent="0.75"/>
    <row r="4112" customFormat="1" ht="15" customHeight="1" x14ac:dyDescent="0.75"/>
    <row r="4113" spans="2:32" ht="15" customHeight="1" x14ac:dyDescent="0.75"/>
    <row r="4114" spans="2:32" ht="15" customHeight="1" x14ac:dyDescent="0.75"/>
    <row r="4115" spans="2:32" ht="15" customHeight="1" x14ac:dyDescent="0.75"/>
    <row r="4116" spans="2:32" ht="15" customHeight="1" x14ac:dyDescent="0.75"/>
    <row r="4117" spans="2:32" ht="15" customHeight="1" x14ac:dyDescent="0.75"/>
    <row r="4118" spans="2:32" ht="15" customHeight="1" x14ac:dyDescent="0.75"/>
    <row r="4119" spans="2:32" ht="15" customHeight="1" x14ac:dyDescent="0.75"/>
    <row r="4120" spans="2:32" ht="15" customHeight="1" x14ac:dyDescent="0.75"/>
    <row r="4121" spans="2:32" ht="12" customHeight="1" x14ac:dyDescent="0.75"/>
    <row r="4122" spans="2:32" ht="15" customHeight="1" x14ac:dyDescent="0.75"/>
    <row r="4123" spans="2:32" ht="15" customHeight="1" x14ac:dyDescent="0.75"/>
    <row r="4124" spans="2:32" ht="12" customHeight="1" x14ac:dyDescent="0.75"/>
    <row r="4125" spans="2:32" ht="15" customHeight="1" x14ac:dyDescent="0.75"/>
    <row r="4126" spans="2:32" ht="15" customHeight="1" x14ac:dyDescent="0.75"/>
    <row r="4127" spans="2:32" ht="15" customHeight="1" x14ac:dyDescent="0.75">
      <c r="B4127" s="101"/>
      <c r="C4127" s="101"/>
      <c r="D4127" s="101"/>
      <c r="E4127" s="101"/>
      <c r="F4127" s="101"/>
      <c r="G4127" s="101"/>
      <c r="H4127" s="101"/>
      <c r="I4127" s="101"/>
      <c r="J4127" s="101"/>
      <c r="K4127" s="101"/>
      <c r="L4127" s="101"/>
      <c r="M4127" s="101"/>
      <c r="N4127" s="101"/>
      <c r="O4127" s="101"/>
      <c r="P4127" s="101"/>
      <c r="Q4127" s="101"/>
      <c r="R4127" s="101"/>
      <c r="S4127" s="101"/>
      <c r="T4127" s="101"/>
      <c r="U4127" s="101"/>
      <c r="V4127" s="101"/>
      <c r="W4127" s="101"/>
      <c r="X4127" s="101"/>
      <c r="Y4127" s="101"/>
      <c r="Z4127" s="101"/>
      <c r="AA4127" s="101"/>
      <c r="AB4127" s="101"/>
      <c r="AC4127" s="101"/>
      <c r="AD4127" s="101"/>
      <c r="AE4127" s="101"/>
      <c r="AF4127" s="101"/>
    </row>
    <row r="4128" spans="2:32" ht="15" customHeight="1" x14ac:dyDescent="0.75"/>
    <row r="4129" customFormat="1" ht="15" customHeight="1" x14ac:dyDescent="0.75"/>
    <row r="4130" customFormat="1" ht="15" customHeight="1" x14ac:dyDescent="0.75"/>
    <row r="4131" customFormat="1" ht="15" customHeight="1" x14ac:dyDescent="0.75"/>
    <row r="4132" customFormat="1" ht="15" customHeight="1" x14ac:dyDescent="0.75"/>
    <row r="4133" customFormat="1" ht="15" customHeight="1" x14ac:dyDescent="0.75"/>
    <row r="4134" customFormat="1" ht="15" customHeight="1" x14ac:dyDescent="0.75"/>
    <row r="4135" customFormat="1" ht="15" customHeight="1" x14ac:dyDescent="0.75"/>
    <row r="4136" customFormat="1" ht="12" customHeight="1" x14ac:dyDescent="0.75"/>
    <row r="4137" customFormat="1" ht="12" customHeight="1" x14ac:dyDescent="0.75"/>
    <row r="4138" customFormat="1" ht="12" customHeight="1" x14ac:dyDescent="0.75"/>
    <row r="4139" customFormat="1" ht="12" customHeight="1" x14ac:dyDescent="0.75"/>
    <row r="4140" customFormat="1" ht="12" customHeight="1" x14ac:dyDescent="0.75"/>
    <row r="4141" customFormat="1" ht="12" customHeight="1" x14ac:dyDescent="0.75"/>
    <row r="4142" customFormat="1" ht="12" customHeight="1" x14ac:dyDescent="0.75"/>
    <row r="4143" customFormat="1" ht="12" customHeight="1" x14ac:dyDescent="0.75"/>
    <row r="4144" customFormat="1" ht="12" customHeight="1" x14ac:dyDescent="0.75"/>
    <row r="4145" customFormat="1" ht="12" customHeight="1" x14ac:dyDescent="0.75"/>
    <row r="4146" customFormat="1" ht="12" customHeight="1" x14ac:dyDescent="0.75"/>
    <row r="4147" customFormat="1" ht="12" customHeight="1" x14ac:dyDescent="0.75"/>
    <row r="4148" customFormat="1" ht="12" customHeight="1" x14ac:dyDescent="0.75"/>
    <row r="4149" customFormat="1" ht="12" customHeight="1" x14ac:dyDescent="0.75"/>
    <row r="4150" customFormat="1" ht="12" customHeight="1" x14ac:dyDescent="0.75"/>
    <row r="4151" customFormat="1" ht="12" customHeight="1" x14ac:dyDescent="0.75"/>
    <row r="4152" customFormat="1" ht="12" customHeight="1" x14ac:dyDescent="0.75"/>
    <row r="4153" customFormat="1" ht="12" customHeight="1" x14ac:dyDescent="0.75"/>
    <row r="4154" customFormat="1" ht="12" customHeight="1" x14ac:dyDescent="0.75"/>
    <row r="4155" customFormat="1" ht="12" customHeight="1" x14ac:dyDescent="0.75"/>
    <row r="4156" customFormat="1" ht="12" customHeight="1" x14ac:dyDescent="0.75"/>
    <row r="4157" customFormat="1" ht="12" customHeight="1" x14ac:dyDescent="0.75"/>
    <row r="4158" customFormat="1" ht="12" customHeight="1" x14ac:dyDescent="0.75"/>
    <row r="4159" customFormat="1" ht="12" customHeight="1" x14ac:dyDescent="0.75"/>
    <row r="4160" customFormat="1" ht="12" customHeight="1" x14ac:dyDescent="0.75"/>
    <row r="4161" customFormat="1" ht="12" customHeight="1" x14ac:dyDescent="0.75"/>
    <row r="4162" customFormat="1" ht="12" customHeight="1" x14ac:dyDescent="0.75"/>
    <row r="4163" customFormat="1" ht="12" customHeight="1" x14ac:dyDescent="0.75"/>
    <row r="4164" customFormat="1" ht="12" customHeight="1" x14ac:dyDescent="0.75"/>
    <row r="4165" customFormat="1" ht="12" customHeight="1" x14ac:dyDescent="0.75"/>
    <row r="4166" customFormat="1" ht="12" customHeight="1" x14ac:dyDescent="0.75"/>
    <row r="4167" customFormat="1" ht="12" customHeight="1" x14ac:dyDescent="0.75"/>
    <row r="4168" customFormat="1" ht="12" customHeight="1" x14ac:dyDescent="0.75"/>
    <row r="4169" customFormat="1" ht="12" customHeight="1" x14ac:dyDescent="0.75"/>
    <row r="4170" customFormat="1" ht="12" customHeight="1" x14ac:dyDescent="0.75"/>
    <row r="4171" customFormat="1" ht="12" customHeight="1" x14ac:dyDescent="0.75"/>
    <row r="4172" customFormat="1" ht="12" customHeight="1" x14ac:dyDescent="0.75"/>
    <row r="4173" customFormat="1" ht="12" customHeight="1" x14ac:dyDescent="0.75"/>
    <row r="4174" customFormat="1" ht="12" customHeight="1" x14ac:dyDescent="0.75"/>
    <row r="4175" customFormat="1" ht="15" customHeight="1" x14ac:dyDescent="0.75"/>
    <row r="4176" customFormat="1" ht="15" customHeight="1" x14ac:dyDescent="0.75"/>
    <row r="4177" customFormat="1" ht="15" customHeight="1" x14ac:dyDescent="0.75"/>
    <row r="4178" customFormat="1" ht="15" customHeight="1" x14ac:dyDescent="0.75"/>
    <row r="4179" customFormat="1" ht="15" customHeight="1" x14ac:dyDescent="0.75"/>
    <row r="4180" customFormat="1" ht="15" customHeight="1" x14ac:dyDescent="0.75"/>
    <row r="4181" customFormat="1" ht="15" customHeight="1" x14ac:dyDescent="0.75"/>
    <row r="4182" customFormat="1" ht="15" customHeight="1" x14ac:dyDescent="0.75"/>
    <row r="4183" customFormat="1" ht="15" customHeight="1" x14ac:dyDescent="0.75"/>
    <row r="4184" customFormat="1" ht="15" customHeight="1" x14ac:dyDescent="0.75"/>
    <row r="4185" customFormat="1" ht="12" customHeight="1" x14ac:dyDescent="0.75"/>
    <row r="4186" customFormat="1" ht="15" customHeight="1" x14ac:dyDescent="0.75"/>
    <row r="4187" customFormat="1" ht="15" customHeight="1" x14ac:dyDescent="0.75"/>
    <row r="4188" customFormat="1" ht="15" customHeight="1" x14ac:dyDescent="0.75"/>
    <row r="4189" customFormat="1" ht="15" customHeight="1" x14ac:dyDescent="0.75"/>
    <row r="4190" customFormat="1" ht="15" customHeight="1" x14ac:dyDescent="0.75"/>
    <row r="4191" customFormat="1" ht="15" customHeight="1" x14ac:dyDescent="0.75"/>
    <row r="4192" customFormat="1" ht="15" customHeight="1" x14ac:dyDescent="0.75"/>
    <row r="4193" customFormat="1" ht="15" customHeight="1" x14ac:dyDescent="0.75"/>
    <row r="4194" customFormat="1" ht="15" customHeight="1" x14ac:dyDescent="0.75"/>
    <row r="4195" customFormat="1" ht="15" customHeight="1" x14ac:dyDescent="0.75"/>
    <row r="4196" customFormat="1" ht="15" customHeight="1" x14ac:dyDescent="0.75"/>
    <row r="4197" customFormat="1" ht="15" customHeight="1" x14ac:dyDescent="0.75"/>
    <row r="4198" customFormat="1" ht="15" customHeight="1" x14ac:dyDescent="0.75"/>
    <row r="4199" customFormat="1" ht="15" customHeight="1" x14ac:dyDescent="0.75"/>
    <row r="4200" customFormat="1" ht="15" customHeight="1" x14ac:dyDescent="0.75"/>
    <row r="4201" customFormat="1" ht="15" customHeight="1" x14ac:dyDescent="0.75"/>
    <row r="4202" customFormat="1" ht="12" customHeight="1" x14ac:dyDescent="0.75"/>
    <row r="4203" customFormat="1" ht="15" customHeight="1" x14ac:dyDescent="0.75"/>
    <row r="4204" customFormat="1" ht="15" customHeight="1" x14ac:dyDescent="0.75"/>
    <row r="4205" customFormat="1" ht="12" customHeight="1" x14ac:dyDescent="0.75"/>
    <row r="4206" customFormat="1" ht="15" customHeight="1" x14ac:dyDescent="0.75"/>
    <row r="4207" customFormat="1" ht="15" customHeight="1" x14ac:dyDescent="0.75"/>
    <row r="4208" customFormat="1" ht="15" customHeight="1" x14ac:dyDescent="0.75"/>
    <row r="4209" customFormat="1" ht="15" customHeight="1" x14ac:dyDescent="0.75"/>
    <row r="4210" customFormat="1" ht="15" customHeight="1" x14ac:dyDescent="0.75"/>
    <row r="4211" customFormat="1" ht="12" customHeight="1" x14ac:dyDescent="0.75"/>
    <row r="4212" customFormat="1" ht="15" customHeight="1" x14ac:dyDescent="0.75"/>
    <row r="4213" customFormat="1" ht="15" customHeight="1" x14ac:dyDescent="0.75"/>
    <row r="4214" customFormat="1" ht="15" customHeight="1" x14ac:dyDescent="0.75"/>
    <row r="4215" customFormat="1" ht="15" customHeight="1" x14ac:dyDescent="0.75"/>
    <row r="4216" customFormat="1" ht="15" customHeight="1" x14ac:dyDescent="0.75"/>
    <row r="4217" customFormat="1" ht="15" customHeight="1" x14ac:dyDescent="0.75"/>
    <row r="4218" customFormat="1" ht="15" customHeight="1" x14ac:dyDescent="0.75"/>
    <row r="4219" customFormat="1" ht="15" customHeight="1" x14ac:dyDescent="0.75"/>
    <row r="4220" customFormat="1" ht="15" customHeight="1" x14ac:dyDescent="0.75"/>
    <row r="4221" customFormat="1" ht="15" customHeight="1" x14ac:dyDescent="0.75"/>
    <row r="4222" customFormat="1" ht="15" customHeight="1" x14ac:dyDescent="0.75"/>
    <row r="4223" customFormat="1" ht="15" customHeight="1" x14ac:dyDescent="0.75"/>
    <row r="4224" customFormat="1" ht="15" customHeight="1" x14ac:dyDescent="0.75"/>
    <row r="4225" customFormat="1" ht="15" customHeight="1" x14ac:dyDescent="0.75"/>
    <row r="4226" customFormat="1" ht="15" customHeight="1" x14ac:dyDescent="0.75"/>
    <row r="4227" customFormat="1" ht="15" customHeight="1" x14ac:dyDescent="0.75"/>
    <row r="4228" customFormat="1" ht="12" customHeight="1" x14ac:dyDescent="0.75"/>
    <row r="4229" customFormat="1" ht="15" customHeight="1" x14ac:dyDescent="0.75"/>
    <row r="4230" customFormat="1" ht="15" customHeight="1" x14ac:dyDescent="0.75"/>
    <row r="4231" customFormat="1" ht="12" customHeight="1" x14ac:dyDescent="0.75"/>
    <row r="4232" customFormat="1" ht="15" customHeight="1" x14ac:dyDescent="0.75"/>
    <row r="4233" customFormat="1" ht="15" customHeight="1" x14ac:dyDescent="0.75"/>
    <row r="4234" customFormat="1" ht="15" customHeight="1" x14ac:dyDescent="0.75"/>
    <row r="4235" customFormat="1" ht="12" customHeight="1" x14ac:dyDescent="0.75"/>
    <row r="4236" customFormat="1" ht="15" customHeight="1" x14ac:dyDescent="0.75"/>
    <row r="4237" customFormat="1" ht="15" customHeight="1" x14ac:dyDescent="0.75"/>
    <row r="4238" customFormat="1" ht="15" customHeight="1" x14ac:dyDescent="0.75"/>
    <row r="4239" customFormat="1" ht="15" customHeight="1" x14ac:dyDescent="0.75"/>
    <row r="4240" customFormat="1" ht="15" customHeight="1" x14ac:dyDescent="0.75"/>
    <row r="4241" spans="2:32" ht="15" customHeight="1" x14ac:dyDescent="0.75"/>
    <row r="4242" spans="2:32" ht="15" customHeight="1" x14ac:dyDescent="0.75"/>
    <row r="4243" spans="2:32" ht="15" customHeight="1" x14ac:dyDescent="0.75"/>
    <row r="4244" spans="2:32" ht="15" customHeight="1" x14ac:dyDescent="0.75"/>
    <row r="4245" spans="2:32" ht="15" customHeight="1" x14ac:dyDescent="0.75"/>
    <row r="4246" spans="2:32" ht="12" customHeight="1" x14ac:dyDescent="0.75"/>
    <row r="4247" spans="2:32" ht="15" customHeight="1" x14ac:dyDescent="0.75"/>
    <row r="4248" spans="2:32" ht="15" customHeight="1" x14ac:dyDescent="0.75"/>
    <row r="4249" spans="2:32" ht="12" customHeight="1" x14ac:dyDescent="0.75"/>
    <row r="4250" spans="2:32" ht="15" customHeight="1" x14ac:dyDescent="0.75"/>
    <row r="4251" spans="2:32" ht="15" customHeight="1" x14ac:dyDescent="0.75"/>
    <row r="4252" spans="2:32" ht="15" customHeight="1" x14ac:dyDescent="0.75">
      <c r="B4252" s="101"/>
      <c r="C4252" s="101"/>
      <c r="D4252" s="101"/>
      <c r="E4252" s="101"/>
      <c r="F4252" s="101"/>
      <c r="G4252" s="101"/>
      <c r="H4252" s="101"/>
      <c r="I4252" s="101"/>
      <c r="J4252" s="101"/>
      <c r="K4252" s="101"/>
      <c r="L4252" s="101"/>
      <c r="M4252" s="101"/>
      <c r="N4252" s="101"/>
      <c r="O4252" s="101"/>
      <c r="P4252" s="101"/>
      <c r="Q4252" s="101"/>
      <c r="R4252" s="101"/>
      <c r="S4252" s="101"/>
      <c r="T4252" s="101"/>
      <c r="U4252" s="101"/>
      <c r="V4252" s="101"/>
      <c r="W4252" s="101"/>
      <c r="X4252" s="101"/>
      <c r="Y4252" s="101"/>
      <c r="Z4252" s="101"/>
      <c r="AA4252" s="101"/>
      <c r="AB4252" s="101"/>
      <c r="AC4252" s="101"/>
      <c r="AD4252" s="101"/>
      <c r="AE4252" s="101"/>
      <c r="AF4252" s="101"/>
    </row>
    <row r="4253" spans="2:32" ht="15" customHeight="1" x14ac:dyDescent="0.75"/>
    <row r="4254" spans="2:32" ht="15" customHeight="1" x14ac:dyDescent="0.75"/>
    <row r="4255" spans="2:32" ht="15" customHeight="1" x14ac:dyDescent="0.75"/>
    <row r="4256" spans="2:32" ht="15" customHeight="1" x14ac:dyDescent="0.75"/>
    <row r="4257" customFormat="1" ht="15" customHeight="1" x14ac:dyDescent="0.75"/>
    <row r="4258" customFormat="1" ht="15" customHeight="1" x14ac:dyDescent="0.75"/>
    <row r="4259" customFormat="1" ht="15" customHeight="1" x14ac:dyDescent="0.75"/>
    <row r="4260" customFormat="1" ht="15" customHeight="1" x14ac:dyDescent="0.75"/>
    <row r="4261" customFormat="1" ht="12" customHeight="1" x14ac:dyDescent="0.75"/>
    <row r="4262" customFormat="1" ht="12" customHeight="1" x14ac:dyDescent="0.75"/>
    <row r="4263" customFormat="1" ht="12" customHeight="1" x14ac:dyDescent="0.75"/>
    <row r="4264" customFormat="1" ht="12" customHeight="1" x14ac:dyDescent="0.75"/>
    <row r="4265" customFormat="1" ht="12" customHeight="1" x14ac:dyDescent="0.75"/>
    <row r="4266" customFormat="1" ht="12" customHeight="1" x14ac:dyDescent="0.75"/>
    <row r="4267" customFormat="1" ht="12" customHeight="1" x14ac:dyDescent="0.75"/>
    <row r="4268" customFormat="1" ht="12" customHeight="1" x14ac:dyDescent="0.75"/>
    <row r="4269" customFormat="1" ht="12" customHeight="1" x14ac:dyDescent="0.75"/>
    <row r="4270" customFormat="1" ht="12" customHeight="1" x14ac:dyDescent="0.75"/>
    <row r="4271" customFormat="1" ht="12" customHeight="1" x14ac:dyDescent="0.75"/>
    <row r="4272" customFormat="1" ht="12" customHeight="1" x14ac:dyDescent="0.75"/>
    <row r="4273" customFormat="1" ht="12" customHeight="1" x14ac:dyDescent="0.75"/>
    <row r="4274" customFormat="1" ht="12" customHeight="1" x14ac:dyDescent="0.75"/>
    <row r="4275" customFormat="1" ht="12" customHeight="1" x14ac:dyDescent="0.75"/>
    <row r="4276" customFormat="1" ht="12" customHeight="1" x14ac:dyDescent="0.75"/>
    <row r="4277" customFormat="1" ht="12" customHeight="1" x14ac:dyDescent="0.75"/>
    <row r="4278" customFormat="1" ht="12" customHeight="1" x14ac:dyDescent="0.75"/>
    <row r="4279" customFormat="1" ht="12" customHeight="1" x14ac:dyDescent="0.75"/>
    <row r="4280" customFormat="1" ht="12" customHeight="1" x14ac:dyDescent="0.75"/>
    <row r="4281" customFormat="1" ht="12" customHeight="1" x14ac:dyDescent="0.75"/>
    <row r="4282" customFormat="1" ht="12" customHeight="1" x14ac:dyDescent="0.75"/>
    <row r="4283" customFormat="1" ht="12" customHeight="1" x14ac:dyDescent="0.75"/>
    <row r="4284" customFormat="1" ht="12" customHeight="1" x14ac:dyDescent="0.75"/>
    <row r="4285" customFormat="1" ht="12" customHeight="1" x14ac:dyDescent="0.75"/>
    <row r="4286" customFormat="1" ht="12" customHeight="1" x14ac:dyDescent="0.75"/>
    <row r="4287" customFormat="1" ht="12" customHeight="1" x14ac:dyDescent="0.75"/>
    <row r="4288" customFormat="1" ht="12" customHeight="1" x14ac:dyDescent="0.75"/>
    <row r="4289" customFormat="1" ht="12" customHeight="1" x14ac:dyDescent="0.75"/>
    <row r="4290" customFormat="1" ht="12" customHeight="1" x14ac:dyDescent="0.75"/>
    <row r="4291" customFormat="1" ht="12" customHeight="1" x14ac:dyDescent="0.75"/>
    <row r="4292" customFormat="1" ht="12" customHeight="1" x14ac:dyDescent="0.75"/>
    <row r="4293" customFormat="1" ht="12" customHeight="1" x14ac:dyDescent="0.75"/>
    <row r="4294" customFormat="1" ht="12" customHeight="1" x14ac:dyDescent="0.75"/>
    <row r="4295" customFormat="1" ht="12" customHeight="1" x14ac:dyDescent="0.75"/>
    <row r="4296" customFormat="1" ht="12" customHeight="1" x14ac:dyDescent="0.75"/>
    <row r="4297" customFormat="1" ht="12" customHeight="1" x14ac:dyDescent="0.75"/>
    <row r="4298" customFormat="1" ht="12" customHeight="1" x14ac:dyDescent="0.75"/>
    <row r="4299" customFormat="1" ht="12" customHeight="1" x14ac:dyDescent="0.75"/>
    <row r="4300" customFormat="1" ht="15" customHeight="1" x14ac:dyDescent="0.75"/>
    <row r="4301" customFormat="1" ht="15" customHeight="1" x14ac:dyDescent="0.75"/>
    <row r="4302" customFormat="1" ht="15" customHeight="1" x14ac:dyDescent="0.75"/>
    <row r="4303" customFormat="1" ht="15" customHeight="1" x14ac:dyDescent="0.75"/>
    <row r="4304" customFormat="1" ht="15" customHeight="1" x14ac:dyDescent="0.75"/>
    <row r="4305" customFormat="1" ht="15" customHeight="1" x14ac:dyDescent="0.75"/>
    <row r="4306" customFormat="1" ht="15" customHeight="1" x14ac:dyDescent="0.75"/>
    <row r="4307" customFormat="1" ht="15" customHeight="1" x14ac:dyDescent="0.75"/>
    <row r="4308" customFormat="1" ht="15" customHeight="1" x14ac:dyDescent="0.75"/>
    <row r="4309" customFormat="1" ht="15" customHeight="1" x14ac:dyDescent="0.75"/>
    <row r="4310" customFormat="1" ht="12" customHeight="1" x14ac:dyDescent="0.75"/>
    <row r="4311" customFormat="1" ht="15" customHeight="1" x14ac:dyDescent="0.75"/>
    <row r="4312" customFormat="1" ht="15" customHeight="1" x14ac:dyDescent="0.75"/>
    <row r="4313" customFormat="1" ht="15" customHeight="1" x14ac:dyDescent="0.75"/>
    <row r="4314" customFormat="1" ht="15" customHeight="1" x14ac:dyDescent="0.75"/>
    <row r="4315" customFormat="1" ht="15" customHeight="1" x14ac:dyDescent="0.75"/>
    <row r="4316" customFormat="1" ht="15" customHeight="1" x14ac:dyDescent="0.75"/>
    <row r="4317" customFormat="1" ht="15" customHeight="1" x14ac:dyDescent="0.75"/>
    <row r="4318" customFormat="1" ht="15" customHeight="1" x14ac:dyDescent="0.75"/>
    <row r="4319" customFormat="1" ht="15" customHeight="1" x14ac:dyDescent="0.75"/>
    <row r="4320" customFormat="1" ht="15" customHeight="1" x14ac:dyDescent="0.75"/>
    <row r="4321" customFormat="1" ht="15" customHeight="1" x14ac:dyDescent="0.75"/>
    <row r="4322" customFormat="1" ht="15" customHeight="1" x14ac:dyDescent="0.75"/>
    <row r="4323" customFormat="1" ht="15" customHeight="1" x14ac:dyDescent="0.75"/>
    <row r="4324" customFormat="1" ht="15" customHeight="1" x14ac:dyDescent="0.75"/>
    <row r="4325" customFormat="1" ht="15" customHeight="1" x14ac:dyDescent="0.75"/>
    <row r="4326" customFormat="1" ht="15" customHeight="1" x14ac:dyDescent="0.75"/>
    <row r="4327" customFormat="1" ht="12" customHeight="1" x14ac:dyDescent="0.75"/>
    <row r="4328" customFormat="1" ht="15" customHeight="1" x14ac:dyDescent="0.75"/>
    <row r="4329" customFormat="1" ht="15" customHeight="1" x14ac:dyDescent="0.75"/>
    <row r="4330" customFormat="1" ht="12" customHeight="1" x14ac:dyDescent="0.75"/>
    <row r="4331" customFormat="1" ht="15" customHeight="1" x14ac:dyDescent="0.75"/>
    <row r="4332" customFormat="1" ht="15" customHeight="1" x14ac:dyDescent="0.75"/>
    <row r="4333" customFormat="1" ht="15" customHeight="1" x14ac:dyDescent="0.75"/>
    <row r="4334" customFormat="1" ht="15" customHeight="1" x14ac:dyDescent="0.75"/>
    <row r="4335" customFormat="1" ht="15" customHeight="1" x14ac:dyDescent="0.75"/>
    <row r="4336" customFormat="1" ht="12" customHeight="1" x14ac:dyDescent="0.75"/>
    <row r="4337" customFormat="1" ht="15" customHeight="1" x14ac:dyDescent="0.75"/>
    <row r="4338" customFormat="1" ht="15" customHeight="1" x14ac:dyDescent="0.75"/>
    <row r="4339" customFormat="1" ht="15" customHeight="1" x14ac:dyDescent="0.75"/>
    <row r="4340" customFormat="1" ht="15" customHeight="1" x14ac:dyDescent="0.75"/>
    <row r="4341" customFormat="1" ht="15" customHeight="1" x14ac:dyDescent="0.75"/>
    <row r="4342" customFormat="1" ht="15" customHeight="1" x14ac:dyDescent="0.75"/>
    <row r="4343" customFormat="1" ht="15" customHeight="1" x14ac:dyDescent="0.75"/>
    <row r="4344" customFormat="1" ht="15" customHeight="1" x14ac:dyDescent="0.75"/>
    <row r="4345" customFormat="1" ht="15" customHeight="1" x14ac:dyDescent="0.75"/>
    <row r="4346" customFormat="1" ht="15" customHeight="1" x14ac:dyDescent="0.75"/>
    <row r="4347" customFormat="1" ht="15" customHeight="1" x14ac:dyDescent="0.75"/>
    <row r="4348" customFormat="1" ht="15" customHeight="1" x14ac:dyDescent="0.75"/>
    <row r="4349" customFormat="1" ht="15" customHeight="1" x14ac:dyDescent="0.75"/>
    <row r="4350" customFormat="1" ht="15" customHeight="1" x14ac:dyDescent="0.75"/>
    <row r="4351" customFormat="1" ht="15" customHeight="1" x14ac:dyDescent="0.75"/>
    <row r="4352" customFormat="1" ht="15" customHeight="1" x14ac:dyDescent="0.75"/>
    <row r="4353" customFormat="1" ht="12" customHeight="1" x14ac:dyDescent="0.75"/>
    <row r="4354" customFormat="1" ht="15" customHeight="1" x14ac:dyDescent="0.75"/>
    <row r="4355" customFormat="1" ht="15" customHeight="1" x14ac:dyDescent="0.75"/>
    <row r="4356" customFormat="1" ht="12" customHeight="1" x14ac:dyDescent="0.75"/>
    <row r="4357" customFormat="1" ht="15" customHeight="1" x14ac:dyDescent="0.75"/>
    <row r="4358" customFormat="1" ht="15" customHeight="1" x14ac:dyDescent="0.75"/>
    <row r="4359" customFormat="1" ht="15" customHeight="1" x14ac:dyDescent="0.75"/>
    <row r="4360" customFormat="1" ht="12" customHeight="1" x14ac:dyDescent="0.75"/>
    <row r="4361" customFormat="1" ht="15" customHeight="1" x14ac:dyDescent="0.75"/>
    <row r="4362" customFormat="1" ht="15" customHeight="1" x14ac:dyDescent="0.75"/>
    <row r="4363" customFormat="1" ht="15" customHeight="1" x14ac:dyDescent="0.75"/>
    <row r="4364" customFormat="1" ht="15" customHeight="1" x14ac:dyDescent="0.75"/>
    <row r="4365" customFormat="1" ht="15" customHeight="1" x14ac:dyDescent="0.75"/>
    <row r="4366" customFormat="1" ht="15" customHeight="1" x14ac:dyDescent="0.75"/>
    <row r="4367" customFormat="1" ht="15" customHeight="1" x14ac:dyDescent="0.75"/>
    <row r="4368" customFormat="1" ht="15" customHeight="1" x14ac:dyDescent="0.75"/>
    <row r="4369" spans="2:32" ht="15" customHeight="1" x14ac:dyDescent="0.75"/>
    <row r="4370" spans="2:32" ht="15" customHeight="1" x14ac:dyDescent="0.75"/>
    <row r="4371" spans="2:32" ht="12" customHeight="1" x14ac:dyDescent="0.75"/>
    <row r="4372" spans="2:32" ht="15" customHeight="1" x14ac:dyDescent="0.75"/>
    <row r="4373" spans="2:32" ht="15" customHeight="1" x14ac:dyDescent="0.75"/>
    <row r="4374" spans="2:32" ht="12" customHeight="1" x14ac:dyDescent="0.75"/>
    <row r="4375" spans="2:32" ht="15" customHeight="1" x14ac:dyDescent="0.75"/>
    <row r="4376" spans="2:32" ht="15" customHeight="1" x14ac:dyDescent="0.75"/>
    <row r="4377" spans="2:32" ht="15" customHeight="1" x14ac:dyDescent="0.75">
      <c r="B4377" s="101"/>
      <c r="C4377" s="101"/>
      <c r="D4377" s="101"/>
      <c r="E4377" s="101"/>
      <c r="F4377" s="101"/>
      <c r="G4377" s="101"/>
      <c r="H4377" s="101"/>
      <c r="I4377" s="101"/>
      <c r="J4377" s="101"/>
      <c r="K4377" s="101"/>
      <c r="L4377" s="101"/>
      <c r="M4377" s="101"/>
      <c r="N4377" s="101"/>
      <c r="O4377" s="101"/>
      <c r="P4377" s="101"/>
      <c r="Q4377" s="101"/>
      <c r="R4377" s="101"/>
      <c r="S4377" s="101"/>
      <c r="T4377" s="101"/>
      <c r="U4377" s="101"/>
      <c r="V4377" s="101"/>
      <c r="W4377" s="101"/>
      <c r="X4377" s="101"/>
      <c r="Y4377" s="101"/>
      <c r="Z4377" s="101"/>
      <c r="AA4377" s="101"/>
      <c r="AB4377" s="101"/>
      <c r="AC4377" s="101"/>
      <c r="AD4377" s="101"/>
      <c r="AE4377" s="101"/>
      <c r="AF4377" s="101"/>
    </row>
    <row r="4378" spans="2:32" ht="15" customHeight="1" x14ac:dyDescent="0.75"/>
    <row r="4379" spans="2:32" ht="15" customHeight="1" x14ac:dyDescent="0.75"/>
    <row r="4380" spans="2:32" ht="15" customHeight="1" x14ac:dyDescent="0.75"/>
    <row r="4381" spans="2:32" ht="15" customHeight="1" x14ac:dyDescent="0.75"/>
    <row r="4382" spans="2:32" ht="15" customHeight="1" x14ac:dyDescent="0.75"/>
    <row r="4383" spans="2:32" ht="15" customHeight="1" x14ac:dyDescent="0.75"/>
    <row r="4384" spans="2:32" ht="15" customHeight="1" x14ac:dyDescent="0.75"/>
    <row r="4385" customFormat="1" ht="15" customHeight="1" x14ac:dyDescent="0.75"/>
    <row r="4386" customFormat="1" ht="12" customHeight="1" x14ac:dyDescent="0.75"/>
    <row r="4387" customFormat="1" ht="12" customHeight="1" x14ac:dyDescent="0.75"/>
    <row r="4388" customFormat="1" ht="12" customHeight="1" x14ac:dyDescent="0.75"/>
    <row r="4389" customFormat="1" ht="12" customHeight="1" x14ac:dyDescent="0.75"/>
    <row r="4390" customFormat="1" ht="12" customHeight="1" x14ac:dyDescent="0.75"/>
    <row r="4391" customFormat="1" ht="12" customHeight="1" x14ac:dyDescent="0.75"/>
    <row r="4392" customFormat="1" ht="12" customHeight="1" x14ac:dyDescent="0.75"/>
    <row r="4393" customFormat="1" ht="12" customHeight="1" x14ac:dyDescent="0.75"/>
    <row r="4394" customFormat="1" ht="12" customHeight="1" x14ac:dyDescent="0.75"/>
    <row r="4395" customFormat="1" ht="12" customHeight="1" x14ac:dyDescent="0.75"/>
    <row r="4396" customFormat="1" ht="12" customHeight="1" x14ac:dyDescent="0.75"/>
    <row r="4397" customFormat="1" ht="12" customHeight="1" x14ac:dyDescent="0.75"/>
    <row r="4398" customFormat="1" ht="12" customHeight="1" x14ac:dyDescent="0.75"/>
    <row r="4399" customFormat="1" ht="12" customHeight="1" x14ac:dyDescent="0.75"/>
    <row r="4400" customFormat="1" ht="12" customHeight="1" x14ac:dyDescent="0.75"/>
    <row r="4401" customFormat="1" ht="12" customHeight="1" x14ac:dyDescent="0.75"/>
    <row r="4402" customFormat="1" ht="12" customHeight="1" x14ac:dyDescent="0.75"/>
    <row r="4403" customFormat="1" ht="12" customHeight="1" x14ac:dyDescent="0.75"/>
    <row r="4404" customFormat="1" ht="12" customHeight="1" x14ac:dyDescent="0.75"/>
    <row r="4405" customFormat="1" ht="12" customHeight="1" x14ac:dyDescent="0.75"/>
    <row r="4406" customFormat="1" ht="12" customHeight="1" x14ac:dyDescent="0.75"/>
    <row r="4407" customFormat="1" ht="12" customHeight="1" x14ac:dyDescent="0.75"/>
    <row r="4408" customFormat="1" ht="12" customHeight="1" x14ac:dyDescent="0.75"/>
    <row r="4409" customFormat="1" ht="12" customHeight="1" x14ac:dyDescent="0.75"/>
    <row r="4410" customFormat="1" ht="12" customHeight="1" x14ac:dyDescent="0.75"/>
    <row r="4411" customFormat="1" ht="12" customHeight="1" x14ac:dyDescent="0.75"/>
    <row r="4412" customFormat="1" ht="12" customHeight="1" x14ac:dyDescent="0.75"/>
    <row r="4413" customFormat="1" ht="12" customHeight="1" x14ac:dyDescent="0.75"/>
    <row r="4414" customFormat="1" ht="12" customHeight="1" x14ac:dyDescent="0.75"/>
    <row r="4415" customFormat="1" ht="12" customHeight="1" x14ac:dyDescent="0.75"/>
    <row r="4416" customFormat="1" ht="12" customHeight="1" x14ac:dyDescent="0.75"/>
    <row r="4417" customFormat="1" ht="12" customHeight="1" x14ac:dyDescent="0.75"/>
    <row r="4418" customFormat="1" ht="12" customHeight="1" x14ac:dyDescent="0.75"/>
    <row r="4419" customFormat="1" ht="12" customHeight="1" x14ac:dyDescent="0.75"/>
    <row r="4420" customFormat="1" ht="12" customHeight="1" x14ac:dyDescent="0.75"/>
    <row r="4421" customFormat="1" ht="12" customHeight="1" x14ac:dyDescent="0.75"/>
    <row r="4422" customFormat="1" ht="12" customHeight="1" x14ac:dyDescent="0.75"/>
    <row r="4423" customFormat="1" ht="12" customHeight="1" x14ac:dyDescent="0.75"/>
    <row r="4424" customFormat="1" ht="12" customHeight="1" x14ac:dyDescent="0.75"/>
    <row r="4425" customFormat="1" ht="15" customHeight="1" x14ac:dyDescent="0.75"/>
    <row r="4426" customFormat="1" ht="15" customHeight="1" x14ac:dyDescent="0.75"/>
    <row r="4427" customFormat="1" ht="15" customHeight="1" x14ac:dyDescent="0.75"/>
    <row r="4428" customFormat="1" ht="15" customHeight="1" x14ac:dyDescent="0.75"/>
    <row r="4429" customFormat="1" ht="15" customHeight="1" x14ac:dyDescent="0.75"/>
    <row r="4430" customFormat="1" ht="15" customHeight="1" x14ac:dyDescent="0.75"/>
    <row r="4431" customFormat="1" ht="15" customHeight="1" x14ac:dyDescent="0.75"/>
    <row r="4432" customFormat="1" ht="15" customHeight="1" x14ac:dyDescent="0.75"/>
    <row r="4433" customFormat="1" ht="15" customHeight="1" x14ac:dyDescent="0.75"/>
    <row r="4434" customFormat="1" ht="15" customHeight="1" x14ac:dyDescent="0.75"/>
    <row r="4435" customFormat="1" ht="12" customHeight="1" x14ac:dyDescent="0.75"/>
    <row r="4436" customFormat="1" ht="15" customHeight="1" x14ac:dyDescent="0.75"/>
    <row r="4437" customFormat="1" ht="15" customHeight="1" x14ac:dyDescent="0.75"/>
    <row r="4438" customFormat="1" ht="15" customHeight="1" x14ac:dyDescent="0.75"/>
    <row r="4439" customFormat="1" ht="15" customHeight="1" x14ac:dyDescent="0.75"/>
    <row r="4440" customFormat="1" ht="15" customHeight="1" x14ac:dyDescent="0.75"/>
    <row r="4441" customFormat="1" ht="15" customHeight="1" x14ac:dyDescent="0.75"/>
    <row r="4442" customFormat="1" ht="15" customHeight="1" x14ac:dyDescent="0.75"/>
    <row r="4443" customFormat="1" ht="15" customHeight="1" x14ac:dyDescent="0.75"/>
    <row r="4444" customFormat="1" ht="15" customHeight="1" x14ac:dyDescent="0.75"/>
    <row r="4445" customFormat="1" ht="15" customHeight="1" x14ac:dyDescent="0.75"/>
    <row r="4446" customFormat="1" ht="15" customHeight="1" x14ac:dyDescent="0.75"/>
    <row r="4447" customFormat="1" ht="15" customHeight="1" x14ac:dyDescent="0.75"/>
    <row r="4448" customFormat="1" ht="15" customHeight="1" x14ac:dyDescent="0.75"/>
    <row r="4449" customFormat="1" ht="15" customHeight="1" x14ac:dyDescent="0.75"/>
    <row r="4450" customFormat="1" ht="15" customHeight="1" x14ac:dyDescent="0.75"/>
    <row r="4451" customFormat="1" ht="15" customHeight="1" x14ac:dyDescent="0.75"/>
    <row r="4452" customFormat="1" ht="12" customHeight="1" x14ac:dyDescent="0.75"/>
    <row r="4453" customFormat="1" ht="15" customHeight="1" x14ac:dyDescent="0.75"/>
    <row r="4454" customFormat="1" ht="15" customHeight="1" x14ac:dyDescent="0.75"/>
    <row r="4455" customFormat="1" ht="12" customHeight="1" x14ac:dyDescent="0.75"/>
    <row r="4456" customFormat="1" ht="15" customHeight="1" x14ac:dyDescent="0.75"/>
    <row r="4457" customFormat="1" ht="15" customHeight="1" x14ac:dyDescent="0.75"/>
    <row r="4458" customFormat="1" ht="15" customHeight="1" x14ac:dyDescent="0.75"/>
    <row r="4459" customFormat="1" ht="15" customHeight="1" x14ac:dyDescent="0.75"/>
    <row r="4460" customFormat="1" ht="15" customHeight="1" x14ac:dyDescent="0.75"/>
    <row r="4461" customFormat="1" ht="12" customHeight="1" x14ac:dyDescent="0.75"/>
    <row r="4462" customFormat="1" ht="15" customHeight="1" x14ac:dyDescent="0.75"/>
    <row r="4463" customFormat="1" ht="15" customHeight="1" x14ac:dyDescent="0.75"/>
    <row r="4464" customFormat="1" ht="15" customHeight="1" x14ac:dyDescent="0.75"/>
    <row r="4465" customFormat="1" ht="15" customHeight="1" x14ac:dyDescent="0.75"/>
    <row r="4466" customFormat="1" ht="15" customHeight="1" x14ac:dyDescent="0.75"/>
    <row r="4467" customFormat="1" ht="15" customHeight="1" x14ac:dyDescent="0.75"/>
    <row r="4468" customFormat="1" ht="15" customHeight="1" x14ac:dyDescent="0.75"/>
    <row r="4469" customFormat="1" ht="15" customHeight="1" x14ac:dyDescent="0.75"/>
    <row r="4470" customFormat="1" ht="15" customHeight="1" x14ac:dyDescent="0.75"/>
    <row r="4471" customFormat="1" ht="15" customHeight="1" x14ac:dyDescent="0.75"/>
    <row r="4472" customFormat="1" ht="15" customHeight="1" x14ac:dyDescent="0.75"/>
    <row r="4473" customFormat="1" ht="15" customHeight="1" x14ac:dyDescent="0.75"/>
    <row r="4474" customFormat="1" ht="15" customHeight="1" x14ac:dyDescent="0.75"/>
    <row r="4475" customFormat="1" ht="15" customHeight="1" x14ac:dyDescent="0.75"/>
    <row r="4476" customFormat="1" ht="15" customHeight="1" x14ac:dyDescent="0.75"/>
    <row r="4477" customFormat="1" ht="15" customHeight="1" x14ac:dyDescent="0.75"/>
    <row r="4478" customFormat="1" ht="12" customHeight="1" x14ac:dyDescent="0.75"/>
    <row r="4479" customFormat="1" ht="15" customHeight="1" x14ac:dyDescent="0.75"/>
    <row r="4480" customFormat="1" ht="15" customHeight="1" x14ac:dyDescent="0.75"/>
    <row r="4481" customFormat="1" ht="12" customHeight="1" x14ac:dyDescent="0.75"/>
    <row r="4482" customFormat="1" ht="15" customHeight="1" x14ac:dyDescent="0.75"/>
    <row r="4483" customFormat="1" ht="15" customHeight="1" x14ac:dyDescent="0.75"/>
    <row r="4484" customFormat="1" ht="15" customHeight="1" x14ac:dyDescent="0.75"/>
    <row r="4485" customFormat="1" ht="12" customHeight="1" x14ac:dyDescent="0.75"/>
    <row r="4486" customFormat="1" ht="15" customHeight="1" x14ac:dyDescent="0.75"/>
    <row r="4487" customFormat="1" ht="15" customHeight="1" x14ac:dyDescent="0.75"/>
    <row r="4488" customFormat="1" ht="15" customHeight="1" x14ac:dyDescent="0.75"/>
    <row r="4489" customFormat="1" ht="15" customHeight="1" x14ac:dyDescent="0.75"/>
    <row r="4490" customFormat="1" ht="15" customHeight="1" x14ac:dyDescent="0.75"/>
    <row r="4491" customFormat="1" ht="15" customHeight="1" x14ac:dyDescent="0.75"/>
    <row r="4492" customFormat="1" ht="15" customHeight="1" x14ac:dyDescent="0.75"/>
    <row r="4493" customFormat="1" ht="15" customHeight="1" x14ac:dyDescent="0.75"/>
    <row r="4494" customFormat="1" ht="15" customHeight="1" x14ac:dyDescent="0.75"/>
    <row r="4495" customFormat="1" ht="15" customHeight="1" x14ac:dyDescent="0.75"/>
    <row r="4496" customFormat="1" ht="12" customHeight="1" x14ac:dyDescent="0.75"/>
    <row r="4497" spans="2:32" ht="15" customHeight="1" x14ac:dyDescent="0.75"/>
    <row r="4498" spans="2:32" ht="15" customHeight="1" x14ac:dyDescent="0.75"/>
    <row r="4499" spans="2:32" ht="12" customHeight="1" x14ac:dyDescent="0.75"/>
    <row r="4500" spans="2:32" ht="15" customHeight="1" x14ac:dyDescent="0.75"/>
    <row r="4501" spans="2:32" ht="15" customHeight="1" x14ac:dyDescent="0.75"/>
    <row r="4502" spans="2:32" ht="15" customHeight="1" x14ac:dyDescent="0.75">
      <c r="B4502" s="101"/>
      <c r="C4502" s="101"/>
      <c r="D4502" s="101"/>
      <c r="E4502" s="101"/>
      <c r="F4502" s="101"/>
      <c r="G4502" s="101"/>
      <c r="H4502" s="101"/>
      <c r="I4502" s="101"/>
      <c r="J4502" s="101"/>
      <c r="K4502" s="101"/>
      <c r="L4502" s="101"/>
      <c r="M4502" s="101"/>
      <c r="N4502" s="101"/>
      <c r="O4502" s="101"/>
      <c r="P4502" s="101"/>
      <c r="Q4502" s="101"/>
      <c r="R4502" s="101"/>
      <c r="S4502" s="101"/>
      <c r="T4502" s="101"/>
      <c r="U4502" s="101"/>
      <c r="V4502" s="101"/>
      <c r="W4502" s="101"/>
      <c r="X4502" s="101"/>
      <c r="Y4502" s="101"/>
      <c r="Z4502" s="101"/>
      <c r="AA4502" s="101"/>
      <c r="AB4502" s="101"/>
      <c r="AC4502" s="101"/>
      <c r="AD4502" s="101"/>
      <c r="AE4502" s="101"/>
      <c r="AF4502" s="101"/>
    </row>
    <row r="4503" spans="2:32" ht="15" customHeight="1" x14ac:dyDescent="0.75"/>
    <row r="4504" spans="2:32" ht="15" customHeight="1" x14ac:dyDescent="0.75"/>
    <row r="4505" spans="2:32" ht="15" customHeight="1" x14ac:dyDescent="0.75"/>
    <row r="4506" spans="2:32" ht="15" customHeight="1" x14ac:dyDescent="0.75"/>
    <row r="4507" spans="2:32" ht="15" customHeight="1" x14ac:dyDescent="0.75"/>
    <row r="4508" spans="2:32" ht="15" customHeight="1" x14ac:dyDescent="0.75"/>
    <row r="4509" spans="2:32" ht="15" customHeight="1" x14ac:dyDescent="0.75"/>
    <row r="4510" spans="2:32" ht="15" customHeight="1" x14ac:dyDescent="0.7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373AB-5C43-4FAF-BB3E-330A3B437C33}"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328125" defaultRowHeight="14.75" x14ac:dyDescent="0.75"/>
  <cols>
    <col min="1" max="1" width="19.40625" customWidth="1"/>
    <col min="2" max="27" width="7.7265625" customWidth="1"/>
    <col min="28" max="28" width="7.1328125" customWidth="1"/>
  </cols>
  <sheetData>
    <row r="1" spans="1:54" ht="16.5" customHeight="1" thickBot="1" x14ac:dyDescent="0.9">
      <c r="A1" s="111" t="s">
        <v>60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</row>
    <row r="2" spans="1:54" ht="16.5" customHeight="1" x14ac:dyDescent="0.75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75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75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75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75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75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75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75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75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75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75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75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75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75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75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75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75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75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9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75">
      <c r="A21" s="113" t="s">
        <v>70</v>
      </c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</row>
    <row r="22" spans="1:54" s="63" customFormat="1" ht="12.75" customHeight="1" x14ac:dyDescent="0.75">
      <c r="A22" s="114"/>
      <c r="B22" s="114"/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</row>
    <row r="23" spans="1:54" s="63" customFormat="1" ht="12.75" customHeight="1" x14ac:dyDescent="0.75">
      <c r="A23" s="114" t="s">
        <v>71</v>
      </c>
      <c r="B23" s="114"/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</row>
    <row r="24" spans="1:54" s="63" customFormat="1" ht="12.75" customHeight="1" x14ac:dyDescent="0.75">
      <c r="A24" s="107" t="s">
        <v>72</v>
      </c>
      <c r="B24" s="107"/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</row>
    <row r="25" spans="1:54" s="63" customFormat="1" ht="12.75" customHeight="1" x14ac:dyDescent="0.75">
      <c r="A25" s="107" t="s">
        <v>73</v>
      </c>
      <c r="B25" s="107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</row>
    <row r="26" spans="1:54" s="63" customFormat="1" ht="27.75" customHeight="1" x14ac:dyDescent="0.75">
      <c r="A26" s="108" t="s">
        <v>74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</row>
    <row r="27" spans="1:54" s="63" customFormat="1" ht="12.75" customHeight="1" x14ac:dyDescent="0.75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</row>
    <row r="28" spans="1:54" s="63" customFormat="1" ht="12.75" customHeight="1" x14ac:dyDescent="0.75">
      <c r="A28" s="109" t="s">
        <v>75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</row>
    <row r="29" spans="1:54" s="63" customFormat="1" ht="25.5" customHeight="1" x14ac:dyDescent="0.75">
      <c r="A29" s="110" t="s">
        <v>76</v>
      </c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</row>
    <row r="33" customFormat="1" x14ac:dyDescent="0.75"/>
    <row r="34" customFormat="1" x14ac:dyDescent="0.75"/>
    <row r="35" customFormat="1" x14ac:dyDescent="0.75"/>
    <row r="36" customFormat="1" x14ac:dyDescent="0.75"/>
    <row r="37" customFormat="1" x14ac:dyDescent="0.75"/>
    <row r="38" customFormat="1" x14ac:dyDescent="0.75"/>
    <row r="39" customFormat="1" x14ac:dyDescent="0.75"/>
    <row r="40" customFormat="1" x14ac:dyDescent="0.75"/>
    <row r="41" customFormat="1" x14ac:dyDescent="0.75"/>
    <row r="42" customFormat="1" x14ac:dyDescent="0.75"/>
    <row r="43" customFormat="1" x14ac:dyDescent="0.75"/>
    <row r="44" customFormat="1" x14ac:dyDescent="0.75"/>
    <row r="45" customFormat="1" x14ac:dyDescent="0.75"/>
    <row r="46" customFormat="1" x14ac:dyDescent="0.75"/>
    <row r="47" customFormat="1" x14ac:dyDescent="0.75"/>
    <row r="48" customFormat="1" x14ac:dyDescent="0.75"/>
    <row r="49" customFormat="1" x14ac:dyDescent="0.75"/>
    <row r="50" customFormat="1" x14ac:dyDescent="0.75"/>
    <row r="51" customFormat="1" x14ac:dyDescent="0.75"/>
    <row r="52" customFormat="1" x14ac:dyDescent="0.75"/>
    <row r="53" customFormat="1" x14ac:dyDescent="0.75"/>
    <row r="54" customFormat="1" x14ac:dyDescent="0.75"/>
    <row r="55" customFormat="1" x14ac:dyDescent="0.75"/>
    <row r="56" customFormat="1" x14ac:dyDescent="0.75"/>
    <row r="57" customFormat="1" x14ac:dyDescent="0.75"/>
    <row r="58" customFormat="1" x14ac:dyDescent="0.75"/>
    <row r="59" customFormat="1" x14ac:dyDescent="0.75"/>
    <row r="60" customFormat="1" x14ac:dyDescent="0.75"/>
    <row r="61" customFormat="1" x14ac:dyDescent="0.75"/>
  </sheetData>
  <mergeCells count="11">
    <mergeCell ref="A24:Q24"/>
    <mergeCell ref="A1:AB1"/>
    <mergeCell ref="AC1:BB1"/>
    <mergeCell ref="A21:Q21"/>
    <mergeCell ref="A22:Q22"/>
    <mergeCell ref="A23:Q23"/>
    <mergeCell ref="A25:Q25"/>
    <mergeCell ref="A26:Q26"/>
    <mergeCell ref="A27:Q27"/>
    <mergeCell ref="A28:Q28"/>
    <mergeCell ref="A29:Q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>
      <selection activeCell="G28" sqref="G28"/>
    </sheetView>
  </sheetViews>
  <sheetFormatPr defaultColWidth="9.1328125" defaultRowHeight="14.75" x14ac:dyDescent="0.75"/>
  <cols>
    <col min="1" max="1" width="30.1328125" style="3" customWidth="1"/>
    <col min="2" max="2" width="29.86328125" style="3" customWidth="1"/>
    <col min="3" max="3" width="25.26953125" style="3" customWidth="1"/>
    <col min="4" max="4" width="22.7265625" style="3" customWidth="1"/>
    <col min="5" max="5" width="25.1328125" style="3" customWidth="1"/>
    <col min="6" max="14" width="9.1328125" style="3"/>
    <col min="15" max="15" width="15.40625" style="3" customWidth="1"/>
    <col min="16" max="16" width="22.54296875" style="3" customWidth="1"/>
    <col min="17" max="16384" width="9.1328125" style="3"/>
  </cols>
  <sheetData>
    <row r="1" spans="1:16" customFormat="1" ht="15.5" thickBot="1" x14ac:dyDescent="0.9">
      <c r="A1" s="6" t="s">
        <v>48</v>
      </c>
      <c r="B1" s="33"/>
      <c r="C1" s="33"/>
      <c r="D1" s="33"/>
      <c r="E1" s="33"/>
    </row>
    <row r="2" spans="1:16" s="2" customFormat="1" ht="59" x14ac:dyDescent="0.7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/>
      <c r="P2" s="73"/>
    </row>
    <row r="3" spans="1:16" ht="15.5" thickBot="1" x14ac:dyDescent="0.9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 x14ac:dyDescent="0.75">
      <c r="P4" s="73"/>
    </row>
    <row r="5" spans="1:16" ht="15.5" thickBot="1" x14ac:dyDescent="0.9">
      <c r="A5" s="10" t="s">
        <v>51</v>
      </c>
      <c r="P5" s="73"/>
    </row>
    <row r="6" spans="1:16" ht="29.5" x14ac:dyDescent="0.7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5.5" thickBot="1" x14ac:dyDescent="0.9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75">
      <c r="A10" s="10" t="s">
        <v>52</v>
      </c>
      <c r="B10" s="34"/>
      <c r="C10" s="34"/>
      <c r="D10" s="34"/>
      <c r="E10" s="34"/>
    </row>
    <row r="11" spans="1:16" s="9" customFormat="1" x14ac:dyDescent="0.75">
      <c r="A11" s="15" t="s">
        <v>29</v>
      </c>
      <c r="B11" s="14"/>
      <c r="C11" s="15"/>
    </row>
    <row r="12" spans="1:16" s="9" customFormat="1" x14ac:dyDescent="0.75">
      <c r="A12" s="9" t="s">
        <v>30</v>
      </c>
      <c r="B12" s="16" t="s">
        <v>31</v>
      </c>
    </row>
    <row r="13" spans="1:16" s="9" customFormat="1" x14ac:dyDescent="0.75">
      <c r="A13" s="9" t="s">
        <v>32</v>
      </c>
      <c r="B13" s="16" t="s">
        <v>33</v>
      </c>
    </row>
    <row r="14" spans="1:16" s="9" customFormat="1" ht="15.5" thickBot="1" x14ac:dyDescent="0.9">
      <c r="A14" s="9" t="s">
        <v>34</v>
      </c>
      <c r="B14" s="16" t="s">
        <v>35</v>
      </c>
    </row>
    <row r="15" spans="1:16" s="9" customFormat="1" x14ac:dyDescent="0.75">
      <c r="A15" s="17" t="s">
        <v>22</v>
      </c>
    </row>
    <row r="16" spans="1:16" s="9" customFormat="1" ht="15.5" thickBot="1" x14ac:dyDescent="0.9">
      <c r="A16" s="18">
        <v>24</v>
      </c>
    </row>
    <row r="18" spans="1:5" x14ac:dyDescent="0.75">
      <c r="A18" s="10" t="s">
        <v>17</v>
      </c>
      <c r="B18" s="34"/>
      <c r="C18" s="34"/>
      <c r="D18" s="34"/>
      <c r="E18" s="34"/>
    </row>
    <row r="19" spans="1:5" x14ac:dyDescent="0.75">
      <c r="A19" s="15" t="s">
        <v>6</v>
      </c>
      <c r="B19" s="15" t="s">
        <v>7</v>
      </c>
      <c r="C19" s="15" t="s">
        <v>8</v>
      </c>
    </row>
    <row r="20" spans="1:5" x14ac:dyDescent="0.75">
      <c r="A20" t="s">
        <v>18</v>
      </c>
      <c r="B20" t="s">
        <v>19</v>
      </c>
      <c r="C20" s="9">
        <v>33</v>
      </c>
    </row>
    <row r="21" spans="1:5" ht="15.5" thickBot="1" x14ac:dyDescent="0.9">
      <c r="A21" t="s">
        <v>20</v>
      </c>
      <c r="B21" t="s">
        <v>21</v>
      </c>
      <c r="C21" s="9">
        <v>35</v>
      </c>
    </row>
    <row r="22" spans="1:5" ht="15.5" thickBot="1" x14ac:dyDescent="0.9">
      <c r="A22"/>
      <c r="B22" s="11" t="s">
        <v>22</v>
      </c>
      <c r="C22" s="12">
        <v>34</v>
      </c>
    </row>
    <row r="23" spans="1:5" x14ac:dyDescent="0.75">
      <c r="A23" t="s">
        <v>23</v>
      </c>
    </row>
    <row r="24" spans="1:5" x14ac:dyDescent="0.75">
      <c r="A24" t="s">
        <v>24</v>
      </c>
    </row>
    <row r="26" spans="1:5" x14ac:dyDescent="0.75">
      <c r="A26" s="10" t="s">
        <v>9</v>
      </c>
      <c r="B26" s="34"/>
      <c r="C26" s="34"/>
      <c r="D26" s="34"/>
      <c r="E26" s="34"/>
    </row>
    <row r="27" spans="1:5" ht="15.5" thickBot="1" x14ac:dyDescent="0.9">
      <c r="A27" s="15" t="s">
        <v>6</v>
      </c>
      <c r="B27" s="15" t="s">
        <v>7</v>
      </c>
      <c r="C27" s="15" t="s">
        <v>8</v>
      </c>
    </row>
    <row r="28" spans="1:5" ht="15.5" thickBot="1" x14ac:dyDescent="0.9">
      <c r="A28" t="s">
        <v>10</v>
      </c>
      <c r="B28" s="13" t="s">
        <v>11</v>
      </c>
      <c r="C28" s="12">
        <v>33</v>
      </c>
    </row>
    <row r="30" spans="1:5" ht="15.5" thickBot="1" x14ac:dyDescent="0.9">
      <c r="A30" s="10" t="s">
        <v>54</v>
      </c>
      <c r="B30" s="34"/>
      <c r="C30" s="34"/>
      <c r="D30" s="34"/>
      <c r="E30" s="34"/>
    </row>
    <row r="31" spans="1:5" ht="29.5" x14ac:dyDescent="0.7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7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7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7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7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7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7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7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7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7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7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5" thickBot="1" x14ac:dyDescent="0.9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75">
      <c r="A43"/>
      <c r="B43"/>
      <c r="C43"/>
      <c r="D43"/>
      <c r="E43"/>
    </row>
    <row r="44" spans="1:5" x14ac:dyDescent="0.75">
      <c r="A44" s="1" t="s">
        <v>43</v>
      </c>
      <c r="B44"/>
      <c r="C44"/>
      <c r="D44"/>
    </row>
    <row r="45" spans="1:5" x14ac:dyDescent="0.75">
      <c r="A45" s="28">
        <f>AVERAGE(E33:E42)</f>
        <v>5.8060812902328285E-2</v>
      </c>
      <c r="B45"/>
      <c r="C45"/>
      <c r="D45"/>
    </row>
    <row r="46" spans="1:5" ht="15.5" thickBot="1" x14ac:dyDescent="0.9">
      <c r="A46"/>
      <c r="B46"/>
      <c r="C46"/>
      <c r="D46"/>
    </row>
    <row r="47" spans="1:5" ht="29.5" x14ac:dyDescent="0.75">
      <c r="A47" s="36" t="s">
        <v>44</v>
      </c>
      <c r="B47"/>
      <c r="C47"/>
      <c r="D47"/>
    </row>
    <row r="48" spans="1:5" ht="15.5" thickBot="1" x14ac:dyDescent="0.9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B21"/>
  <sheetViews>
    <sheetView workbookViewId="0">
      <selection activeCell="B21" sqref="B21"/>
    </sheetView>
  </sheetViews>
  <sheetFormatPr defaultRowHeight="14.75" x14ac:dyDescent="0.75"/>
  <cols>
    <col min="1" max="1" width="25.1328125" customWidth="1"/>
  </cols>
  <sheetData>
    <row r="2" spans="1:2" x14ac:dyDescent="0.75">
      <c r="A2" t="s">
        <v>605</v>
      </c>
      <c r="B2" s="37">
        <f>'Table 44'!B79*1000</f>
        <v>642293.94500000007</v>
      </c>
    </row>
    <row r="3" spans="1:2" x14ac:dyDescent="0.75">
      <c r="A3" t="s">
        <v>606</v>
      </c>
      <c r="B3" s="37">
        <f>'Table 45'!B77*1000</f>
        <v>14814711.913999999</v>
      </c>
    </row>
    <row r="4" spans="1:2" x14ac:dyDescent="0.75">
      <c r="A4" t="s">
        <v>604</v>
      </c>
      <c r="B4" s="37">
        <f>1/(B2/B3)</f>
        <v>23.06531461074259</v>
      </c>
    </row>
    <row r="5" spans="1:2" x14ac:dyDescent="0.75">
      <c r="B5" s="37"/>
    </row>
    <row r="6" spans="1:2" x14ac:dyDescent="0.75">
      <c r="B6" s="37"/>
    </row>
    <row r="7" spans="1:2" x14ac:dyDescent="0.75">
      <c r="A7" t="s">
        <v>607</v>
      </c>
      <c r="B7" s="37">
        <f>SUM('Table 49'!C220,'Table 49'!C231)*1000</f>
        <v>432742.79800000001</v>
      </c>
    </row>
    <row r="8" spans="1:2" x14ac:dyDescent="0.75">
      <c r="A8" t="s">
        <v>608</v>
      </c>
      <c r="B8" s="37">
        <f>SUM('Table 49'!C146,'Table 49'!C157)*10^6</f>
        <v>8342662.0000000009</v>
      </c>
    </row>
    <row r="9" spans="1:2" x14ac:dyDescent="0.75">
      <c r="A9" t="s">
        <v>604</v>
      </c>
      <c r="B9" s="37">
        <f>1/(B7/B8)</f>
        <v>19.278569253046243</v>
      </c>
    </row>
    <row r="10" spans="1:2" x14ac:dyDescent="0.75">
      <c r="B10" s="37"/>
    </row>
    <row r="11" spans="1:2" x14ac:dyDescent="0.75">
      <c r="A11" t="s">
        <v>609</v>
      </c>
      <c r="B11" s="37">
        <f>'Table 49'!C242*1000</f>
        <v>279162.04800000001</v>
      </c>
    </row>
    <row r="12" spans="1:2" x14ac:dyDescent="0.75">
      <c r="A12" t="s">
        <v>610</v>
      </c>
      <c r="B12" s="37">
        <f>'Table 49'!C168*10^6</f>
        <v>5303351</v>
      </c>
    </row>
    <row r="13" spans="1:2" x14ac:dyDescent="0.75">
      <c r="A13" t="s">
        <v>604</v>
      </c>
      <c r="B13" s="37">
        <f>1/(B11/B12)</f>
        <v>18.997392510890304</v>
      </c>
    </row>
    <row r="15" spans="1:2" x14ac:dyDescent="0.75">
      <c r="A15" t="s">
        <v>611</v>
      </c>
      <c r="B15">
        <v>6000</v>
      </c>
    </row>
    <row r="16" spans="1:2" x14ac:dyDescent="0.75">
      <c r="A16" t="s">
        <v>612</v>
      </c>
      <c r="B16">
        <v>73000</v>
      </c>
    </row>
    <row r="17" spans="1:2" x14ac:dyDescent="0.75">
      <c r="A17" t="s">
        <v>613</v>
      </c>
      <c r="B17">
        <f>1/(B15/B16)</f>
        <v>12.166666666666668</v>
      </c>
    </row>
    <row r="19" spans="1:2" x14ac:dyDescent="0.75">
      <c r="A19" t="s">
        <v>614</v>
      </c>
      <c r="B19">
        <v>14</v>
      </c>
    </row>
    <row r="20" spans="1:2" x14ac:dyDescent="0.75">
      <c r="A20" t="s">
        <v>615</v>
      </c>
      <c r="B20">
        <v>237</v>
      </c>
    </row>
    <row r="21" spans="1:2" x14ac:dyDescent="0.75">
      <c r="A21" t="s">
        <v>613</v>
      </c>
      <c r="B21">
        <f>1/(B19/B20)</f>
        <v>16.928571428571427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B4" sqref="B4"/>
    </sheetView>
  </sheetViews>
  <sheetFormatPr defaultRowHeight="14.75" x14ac:dyDescent="0.75"/>
  <cols>
    <col min="1" max="1" width="14.54296875" customWidth="1"/>
    <col min="2" max="2" width="19" customWidth="1"/>
    <col min="3" max="3" width="15.54296875" customWidth="1"/>
  </cols>
  <sheetData>
    <row r="1" spans="1:3" ht="29.5" x14ac:dyDescent="0.75">
      <c r="A1" s="69" t="s">
        <v>94</v>
      </c>
      <c r="B1" s="3" t="s">
        <v>88</v>
      </c>
      <c r="C1" s="3" t="s">
        <v>89</v>
      </c>
    </row>
    <row r="2" spans="1:3" x14ac:dyDescent="0.75">
      <c r="A2" t="s">
        <v>48</v>
      </c>
      <c r="B2" s="70">
        <v>17</v>
      </c>
      <c r="C2" s="70">
        <f>B2</f>
        <v>17</v>
      </c>
    </row>
    <row r="3" spans="1:3" x14ac:dyDescent="0.75">
      <c r="A3" t="s">
        <v>51</v>
      </c>
      <c r="B3" s="74">
        <f>'Freight and Buses'!B17</f>
        <v>12.166666666666668</v>
      </c>
      <c r="C3" s="74">
        <f>'Freight and Buses'!B13</f>
        <v>18.997392510890304</v>
      </c>
    </row>
    <row r="4" spans="1:3" x14ac:dyDescent="0.75">
      <c r="A4" t="s">
        <v>52</v>
      </c>
      <c r="B4" s="37">
        <f>ROUND(Calculations!A16,0)</f>
        <v>24</v>
      </c>
      <c r="C4" s="37">
        <f>B4</f>
        <v>24</v>
      </c>
    </row>
    <row r="5" spans="1:3" x14ac:dyDescent="0.75">
      <c r="A5" t="s">
        <v>17</v>
      </c>
      <c r="B5">
        <f>ROUND(Calculations!C22,0)</f>
        <v>34</v>
      </c>
      <c r="C5">
        <f>B5</f>
        <v>34</v>
      </c>
    </row>
    <row r="6" spans="1:3" x14ac:dyDescent="0.75">
      <c r="A6" t="s">
        <v>9</v>
      </c>
      <c r="B6">
        <f>ROUND(Calculations!C28,0)</f>
        <v>33</v>
      </c>
      <c r="C6">
        <f>B6</f>
        <v>33</v>
      </c>
    </row>
    <row r="7" spans="1:3" x14ac:dyDescent="0.7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Table_38._Light-Duty_Vehicle_Sa</vt:lpstr>
      <vt:lpstr>Table 44</vt:lpstr>
      <vt:lpstr>Table 45</vt:lpstr>
      <vt:lpstr>Table 49</vt:lpstr>
      <vt:lpstr>Sheet1</vt:lpstr>
      <vt:lpstr>NTS 1-20</vt:lpstr>
      <vt:lpstr>Calculations</vt:lpstr>
      <vt:lpstr>Freight and Buses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2024-06-07T21:10:34Z</dcterms:modified>
</cp:coreProperties>
</file>