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AADTbVT\"/>
    </mc:Choice>
  </mc:AlternateContent>
  <xr:revisionPtr revIDLastSave="0" documentId="8_{05DF6CD4-E0BB-4697-88E1-83C25ED17E8E}" xr6:coauthVersionLast="47" xr6:coauthVersionMax="47" xr10:uidLastSave="{00000000-0000-0000-0000-000000000000}"/>
  <bookViews>
    <workbookView xWindow="735" yWindow="405" windowWidth="20115" windowHeight="1405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<sst xmlns="http://schemas.openxmlformats.org/spreadsheetml/2006/main" count="47076" uniqueCount="1879">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</sst>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105</v>
      </c>
      <c r="C1" s="35">
        <v>45355</v>
      </c>
      <c r="E1" s="74" t="s">
        <v>130</v>
      </c>
      <c r="F1" s="74" t="s">
        <v>130</v>
      </c>
    </row>
    <row r="2" spans="1:6">
      <c r="B2" t="str">
        <f>LOOKUP(B1,E2:F51,F2:F51)</f>
        <v>NE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workbookViewId="0">
      <selection activeCell="S18" sqref="S18"/>
    </sheetView>
  </sheetViews>
  <sheetFormatPr defaultRowHeight="15"/>
  <cols>
    <col min="11" max="11" width="16.42578125" bestFit="1" customWidth="1"/>
  </cols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>
        <v>0</v>
      </c>
      <c r="B2" t="s">
        <v>38</v>
      </c>
      <c r="C2">
        <v>1431</v>
      </c>
      <c r="D2">
        <v>159</v>
      </c>
      <c r="E2">
        <v>414543</v>
      </c>
      <c r="F2">
        <v>1766</v>
      </c>
      <c r="G2">
        <v>991</v>
      </c>
      <c r="H2">
        <v>134</v>
      </c>
      <c r="I2">
        <v>12</v>
      </c>
      <c r="J2" t="s">
        <v>132</v>
      </c>
      <c r="K2" t="s">
        <v>1743</v>
      </c>
    </row>
    <row r="3" spans="1:11">
      <c r="A3">
        <v>1</v>
      </c>
      <c r="B3" t="s">
        <v>39</v>
      </c>
      <c r="C3">
        <v>3</v>
      </c>
      <c r="D3">
        <v>1217</v>
      </c>
      <c r="E3">
        <v>857</v>
      </c>
      <c r="F3">
        <v>6485</v>
      </c>
      <c r="G3">
        <v>0</v>
      </c>
      <c r="H3">
        <v>62</v>
      </c>
      <c r="I3">
        <v>1</v>
      </c>
      <c r="J3" t="s">
        <v>132</v>
      </c>
      <c r="K3" t="s">
        <v>1743</v>
      </c>
    </row>
    <row r="4" spans="1:11">
      <c r="A4">
        <v>2</v>
      </c>
      <c r="B4" t="s">
        <v>40</v>
      </c>
      <c r="C4">
        <v>0</v>
      </c>
      <c r="D4">
        <v>0</v>
      </c>
      <c r="E4">
        <v>0</v>
      </c>
      <c r="F4">
        <v>32</v>
      </c>
      <c r="G4">
        <v>0</v>
      </c>
      <c r="H4">
        <v>0</v>
      </c>
      <c r="I4">
        <v>0</v>
      </c>
      <c r="J4" t="s">
        <v>132</v>
      </c>
      <c r="K4" t="s">
        <v>1743</v>
      </c>
    </row>
    <row r="5" spans="1:11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1743</v>
      </c>
    </row>
    <row r="6" spans="1:11">
      <c r="A6">
        <v>4</v>
      </c>
      <c r="B6" t="s">
        <v>42</v>
      </c>
      <c r="C6">
        <v>0</v>
      </c>
      <c r="D6">
        <v>0</v>
      </c>
      <c r="E6">
        <v>45698</v>
      </c>
      <c r="F6">
        <v>10776</v>
      </c>
      <c r="G6">
        <v>0</v>
      </c>
      <c r="H6">
        <v>0</v>
      </c>
      <c r="I6">
        <v>0</v>
      </c>
      <c r="J6" t="s">
        <v>132</v>
      </c>
      <c r="K6" t="s">
        <v>1743</v>
      </c>
    </row>
    <row r="7" spans="1:11">
      <c r="A7">
        <v>5</v>
      </c>
      <c r="B7" t="s">
        <v>43</v>
      </c>
      <c r="C7">
        <v>0</v>
      </c>
      <c r="D7">
        <v>0</v>
      </c>
      <c r="E7">
        <v>24699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1743</v>
      </c>
    </row>
    <row r="8" spans="1:11">
      <c r="A8">
        <v>0</v>
      </c>
      <c r="B8" t="s">
        <v>38</v>
      </c>
      <c r="C8">
        <v>17015</v>
      </c>
      <c r="D8">
        <v>1897</v>
      </c>
      <c r="E8">
        <v>4930062</v>
      </c>
      <c r="F8">
        <v>21000</v>
      </c>
      <c r="G8">
        <v>11790</v>
      </c>
      <c r="H8">
        <v>1588</v>
      </c>
      <c r="I8">
        <v>148</v>
      </c>
      <c r="J8" t="s">
        <v>348</v>
      </c>
      <c r="K8" t="s">
        <v>1743</v>
      </c>
    </row>
    <row r="9" spans="1:11">
      <c r="A9">
        <v>1</v>
      </c>
      <c r="B9" t="s">
        <v>39</v>
      </c>
      <c r="C9">
        <v>2</v>
      </c>
      <c r="D9">
        <v>794</v>
      </c>
      <c r="E9">
        <v>559</v>
      </c>
      <c r="F9">
        <v>4231</v>
      </c>
      <c r="G9">
        <v>0</v>
      </c>
      <c r="H9">
        <v>40</v>
      </c>
      <c r="I9">
        <v>0</v>
      </c>
      <c r="J9" t="s">
        <v>348</v>
      </c>
      <c r="K9" t="s">
        <v>1743</v>
      </c>
    </row>
    <row r="10" spans="1:11">
      <c r="A10">
        <v>2</v>
      </c>
      <c r="B10" t="s">
        <v>40</v>
      </c>
      <c r="C10">
        <v>0</v>
      </c>
      <c r="D10">
        <v>0</v>
      </c>
      <c r="E10">
        <v>0</v>
      </c>
      <c r="F10">
        <v>24</v>
      </c>
      <c r="G10">
        <v>0</v>
      </c>
      <c r="H10">
        <v>0</v>
      </c>
      <c r="I10">
        <v>0</v>
      </c>
      <c r="J10" t="s">
        <v>348</v>
      </c>
      <c r="K10" t="s">
        <v>1743</v>
      </c>
    </row>
    <row r="11" spans="1:11">
      <c r="A11">
        <v>3</v>
      </c>
      <c r="B11" t="s">
        <v>41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t="s">
        <v>348</v>
      </c>
      <c r="K11" t="s">
        <v>1743</v>
      </c>
    </row>
    <row r="12" spans="1:11">
      <c r="A12">
        <v>4</v>
      </c>
      <c r="B12" t="s">
        <v>42</v>
      </c>
      <c r="C12">
        <v>0</v>
      </c>
      <c r="D12">
        <v>0</v>
      </c>
      <c r="E12">
        <v>219653</v>
      </c>
      <c r="F12">
        <v>51798</v>
      </c>
      <c r="G12">
        <v>0</v>
      </c>
      <c r="H12">
        <v>0</v>
      </c>
      <c r="I12">
        <v>0</v>
      </c>
      <c r="J12" t="s">
        <v>348</v>
      </c>
      <c r="K12" t="s">
        <v>1743</v>
      </c>
    </row>
    <row r="13" spans="1:11">
      <c r="A13">
        <v>5</v>
      </c>
      <c r="B13" t="s">
        <v>43</v>
      </c>
      <c r="C13">
        <v>0</v>
      </c>
      <c r="D13">
        <v>0</v>
      </c>
      <c r="E13">
        <v>165746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1743</v>
      </c>
    </row>
    <row r="14" spans="1:11">
      <c r="A14">
        <v>0</v>
      </c>
      <c r="B14" t="s">
        <v>38</v>
      </c>
      <c r="C14">
        <v>7293</v>
      </c>
      <c r="D14">
        <v>813</v>
      </c>
      <c r="E14">
        <v>2113206</v>
      </c>
      <c r="F14">
        <v>9001</v>
      </c>
      <c r="G14">
        <v>5053</v>
      </c>
      <c r="H14">
        <v>681</v>
      </c>
      <c r="I14">
        <v>63</v>
      </c>
      <c r="J14" t="s">
        <v>349</v>
      </c>
      <c r="K14" t="s">
        <v>1743</v>
      </c>
    </row>
    <row r="15" spans="1:11">
      <c r="A15">
        <v>1</v>
      </c>
      <c r="B15" t="s">
        <v>39</v>
      </c>
      <c r="C15">
        <v>4</v>
      </c>
      <c r="D15">
        <v>1700</v>
      </c>
      <c r="E15">
        <v>1197</v>
      </c>
      <c r="F15">
        <v>9061</v>
      </c>
      <c r="G15">
        <v>0</v>
      </c>
      <c r="H15">
        <v>86</v>
      </c>
      <c r="I15">
        <v>1</v>
      </c>
      <c r="J15" t="s">
        <v>349</v>
      </c>
      <c r="K15" t="s">
        <v>1743</v>
      </c>
    </row>
    <row r="16" spans="1:11">
      <c r="A16">
        <v>2</v>
      </c>
      <c r="B16" t="s">
        <v>40</v>
      </c>
      <c r="C16">
        <v>0</v>
      </c>
      <c r="D16">
        <v>0</v>
      </c>
      <c r="E16">
        <v>0</v>
      </c>
      <c r="F16">
        <v>24</v>
      </c>
      <c r="G16">
        <v>0</v>
      </c>
      <c r="H16">
        <v>0</v>
      </c>
      <c r="I16">
        <v>0</v>
      </c>
      <c r="J16" t="s">
        <v>349</v>
      </c>
      <c r="K16" t="s">
        <v>1743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 t="s">
        <v>349</v>
      </c>
      <c r="K17" t="s">
        <v>1743</v>
      </c>
    </row>
    <row r="18" spans="1:11">
      <c r="A18">
        <v>4</v>
      </c>
      <c r="B18" t="s">
        <v>42</v>
      </c>
      <c r="C18">
        <v>0</v>
      </c>
      <c r="D18">
        <v>0</v>
      </c>
      <c r="E18">
        <v>173973</v>
      </c>
      <c r="F18">
        <v>41026</v>
      </c>
      <c r="G18">
        <v>0</v>
      </c>
      <c r="H18">
        <v>0</v>
      </c>
      <c r="I18">
        <v>0</v>
      </c>
      <c r="J18" t="s">
        <v>349</v>
      </c>
      <c r="K18" t="s">
        <v>1743</v>
      </c>
    </row>
    <row r="19" spans="1:11">
      <c r="A19">
        <v>5</v>
      </c>
      <c r="B19" t="s">
        <v>43</v>
      </c>
      <c r="C19">
        <v>0</v>
      </c>
      <c r="D19">
        <v>0</v>
      </c>
      <c r="E19">
        <v>90761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1743</v>
      </c>
    </row>
    <row r="20" spans="1:11">
      <c r="A20">
        <v>0</v>
      </c>
      <c r="B20" t="s">
        <v>38</v>
      </c>
      <c r="C20">
        <v>20147</v>
      </c>
      <c r="D20">
        <v>2246</v>
      </c>
      <c r="E20">
        <v>5837516</v>
      </c>
      <c r="F20">
        <v>24865</v>
      </c>
      <c r="G20">
        <v>13960</v>
      </c>
      <c r="H20">
        <v>1880</v>
      </c>
      <c r="I20">
        <v>175</v>
      </c>
      <c r="J20" t="s">
        <v>350</v>
      </c>
      <c r="K20" t="s">
        <v>1743</v>
      </c>
    </row>
    <row r="21" spans="1:11">
      <c r="A21">
        <v>1</v>
      </c>
      <c r="B21" t="s">
        <v>39</v>
      </c>
      <c r="C21">
        <v>3</v>
      </c>
      <c r="D21">
        <v>1198</v>
      </c>
      <c r="E21">
        <v>843</v>
      </c>
      <c r="F21">
        <v>6384</v>
      </c>
      <c r="G21">
        <v>0</v>
      </c>
      <c r="H21">
        <v>61</v>
      </c>
      <c r="I21">
        <v>1</v>
      </c>
      <c r="J21" t="s">
        <v>350</v>
      </c>
      <c r="K21" t="s">
        <v>1743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154</v>
      </c>
      <c r="G22">
        <v>0</v>
      </c>
      <c r="H22">
        <v>0</v>
      </c>
      <c r="I22">
        <v>0</v>
      </c>
      <c r="J22" t="s">
        <v>350</v>
      </c>
      <c r="K22" t="s">
        <v>1743</v>
      </c>
    </row>
    <row r="23" spans="1:11">
      <c r="A23">
        <v>3</v>
      </c>
      <c r="B23" t="s">
        <v>41</v>
      </c>
      <c r="C23">
        <v>34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 t="s">
        <v>350</v>
      </c>
      <c r="K23" t="s">
        <v>1743</v>
      </c>
    </row>
    <row r="24" spans="1:11">
      <c r="A24">
        <v>4</v>
      </c>
      <c r="B24" t="s">
        <v>42</v>
      </c>
      <c r="C24">
        <v>0</v>
      </c>
      <c r="D24">
        <v>0</v>
      </c>
      <c r="E24">
        <v>116612</v>
      </c>
      <c r="F24">
        <v>27499</v>
      </c>
      <c r="G24">
        <v>0</v>
      </c>
      <c r="H24">
        <v>0</v>
      </c>
      <c r="I24">
        <v>0</v>
      </c>
      <c r="J24" t="s">
        <v>350</v>
      </c>
      <c r="K24" t="s">
        <v>1743</v>
      </c>
    </row>
    <row r="25" spans="1:11">
      <c r="A25">
        <v>5</v>
      </c>
      <c r="B25" t="s">
        <v>43</v>
      </c>
      <c r="C25">
        <v>0</v>
      </c>
      <c r="D25">
        <v>0</v>
      </c>
      <c r="E25">
        <v>188595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1743</v>
      </c>
    </row>
    <row r="26" spans="1:11">
      <c r="A26">
        <v>0</v>
      </c>
      <c r="B26" t="s">
        <v>38</v>
      </c>
      <c r="C26">
        <v>118719</v>
      </c>
      <c r="D26">
        <v>13233</v>
      </c>
      <c r="E26">
        <v>34398455</v>
      </c>
      <c r="F26">
        <v>146521</v>
      </c>
      <c r="G26">
        <v>82259</v>
      </c>
      <c r="H26">
        <v>11078</v>
      </c>
      <c r="I26">
        <v>1032</v>
      </c>
      <c r="J26" t="s">
        <v>351</v>
      </c>
      <c r="K26" t="s">
        <v>1743</v>
      </c>
    </row>
    <row r="27" spans="1:11">
      <c r="A27">
        <v>1</v>
      </c>
      <c r="B27" t="s">
        <v>39</v>
      </c>
      <c r="C27">
        <v>30</v>
      </c>
      <c r="D27">
        <v>14233</v>
      </c>
      <c r="E27">
        <v>10020</v>
      </c>
      <c r="F27">
        <v>75852</v>
      </c>
      <c r="G27">
        <v>0</v>
      </c>
      <c r="H27">
        <v>723</v>
      </c>
      <c r="I27">
        <v>9</v>
      </c>
      <c r="J27" t="s">
        <v>351</v>
      </c>
      <c r="K27" t="s">
        <v>1743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717</v>
      </c>
      <c r="G28">
        <v>0</v>
      </c>
      <c r="H28">
        <v>0</v>
      </c>
      <c r="I28">
        <v>0</v>
      </c>
      <c r="J28" t="s">
        <v>351</v>
      </c>
      <c r="K28" t="s">
        <v>1743</v>
      </c>
    </row>
    <row r="29" spans="1:11">
      <c r="A29">
        <v>3</v>
      </c>
      <c r="B29" t="s">
        <v>41</v>
      </c>
      <c r="C29">
        <v>421</v>
      </c>
      <c r="D29">
        <v>0</v>
      </c>
      <c r="E29">
        <v>0</v>
      </c>
      <c r="F29">
        <v>20</v>
      </c>
      <c r="G29">
        <v>0</v>
      </c>
      <c r="H29">
        <v>0</v>
      </c>
      <c r="I29">
        <v>0</v>
      </c>
      <c r="J29" t="s">
        <v>351</v>
      </c>
      <c r="K29" t="s">
        <v>1743</v>
      </c>
    </row>
    <row r="30" spans="1:11">
      <c r="A30">
        <v>4</v>
      </c>
      <c r="B30" t="s">
        <v>42</v>
      </c>
      <c r="C30">
        <v>0</v>
      </c>
      <c r="D30">
        <v>0</v>
      </c>
      <c r="E30">
        <v>705565</v>
      </c>
      <c r="F30">
        <v>166386</v>
      </c>
      <c r="G30">
        <v>0</v>
      </c>
      <c r="H30">
        <v>0</v>
      </c>
      <c r="I30">
        <v>0</v>
      </c>
      <c r="J30" t="s">
        <v>351</v>
      </c>
      <c r="K30" t="s">
        <v>1743</v>
      </c>
    </row>
    <row r="31" spans="1:11">
      <c r="A31">
        <v>5</v>
      </c>
      <c r="B31" t="s">
        <v>43</v>
      </c>
      <c r="C31">
        <v>0</v>
      </c>
      <c r="D31">
        <v>0</v>
      </c>
      <c r="E31">
        <v>947004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1743</v>
      </c>
    </row>
    <row r="32" spans="1:11">
      <c r="A32">
        <v>0</v>
      </c>
      <c r="B32" t="s">
        <v>38</v>
      </c>
      <c r="C32">
        <v>13702</v>
      </c>
      <c r="D32">
        <v>1527</v>
      </c>
      <c r="E32">
        <v>3970033</v>
      </c>
      <c r="F32">
        <v>16910</v>
      </c>
      <c r="G32">
        <v>9494</v>
      </c>
      <c r="H32">
        <v>1279</v>
      </c>
      <c r="I32">
        <v>119</v>
      </c>
      <c r="J32" t="s">
        <v>352</v>
      </c>
      <c r="K32" t="s">
        <v>1743</v>
      </c>
    </row>
    <row r="33" spans="1:11">
      <c r="A33">
        <v>1</v>
      </c>
      <c r="B33" t="s">
        <v>39</v>
      </c>
      <c r="C33">
        <v>4</v>
      </c>
      <c r="D33">
        <v>1937</v>
      </c>
      <c r="E33">
        <v>1363</v>
      </c>
      <c r="F33">
        <v>10321</v>
      </c>
      <c r="G33">
        <v>0</v>
      </c>
      <c r="H33">
        <v>98</v>
      </c>
      <c r="I33">
        <v>1</v>
      </c>
      <c r="J33" t="s">
        <v>352</v>
      </c>
      <c r="K33" t="s">
        <v>1743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212</v>
      </c>
      <c r="G34">
        <v>0</v>
      </c>
      <c r="H34">
        <v>0</v>
      </c>
      <c r="I34">
        <v>0</v>
      </c>
      <c r="J34" t="s">
        <v>352</v>
      </c>
      <c r="K34" t="s">
        <v>1743</v>
      </c>
    </row>
    <row r="35" spans="1:11">
      <c r="A35">
        <v>3</v>
      </c>
      <c r="B35" t="s">
        <v>41</v>
      </c>
      <c r="C35">
        <v>56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 t="s">
        <v>352</v>
      </c>
      <c r="K35" t="s">
        <v>1743</v>
      </c>
    </row>
    <row r="36" spans="1:11">
      <c r="A36">
        <v>4</v>
      </c>
      <c r="B36" t="s">
        <v>42</v>
      </c>
      <c r="C36">
        <v>0</v>
      </c>
      <c r="D36">
        <v>0</v>
      </c>
      <c r="E36">
        <v>73078</v>
      </c>
      <c r="F36">
        <v>17233</v>
      </c>
      <c r="G36">
        <v>0</v>
      </c>
      <c r="H36">
        <v>0</v>
      </c>
      <c r="I36">
        <v>0</v>
      </c>
      <c r="J36" t="s">
        <v>352</v>
      </c>
      <c r="K36" t="s">
        <v>1743</v>
      </c>
    </row>
    <row r="37" spans="1:11">
      <c r="A37">
        <v>5</v>
      </c>
      <c r="B37" t="s">
        <v>43</v>
      </c>
      <c r="C37">
        <v>0</v>
      </c>
      <c r="D37">
        <v>0</v>
      </c>
      <c r="E37">
        <v>166692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1743</v>
      </c>
    </row>
    <row r="38" spans="1:11">
      <c r="A38">
        <v>0</v>
      </c>
      <c r="B38" t="s">
        <v>38</v>
      </c>
      <c r="C38">
        <v>10125</v>
      </c>
      <c r="D38">
        <v>1129</v>
      </c>
      <c r="E38">
        <v>2933683</v>
      </c>
      <c r="F38">
        <v>12496</v>
      </c>
      <c r="G38">
        <v>7015</v>
      </c>
      <c r="H38">
        <v>945</v>
      </c>
      <c r="I38">
        <v>88</v>
      </c>
      <c r="J38" t="s">
        <v>353</v>
      </c>
      <c r="K38" t="s">
        <v>1743</v>
      </c>
    </row>
    <row r="39" spans="1:11">
      <c r="A39">
        <v>1</v>
      </c>
      <c r="B39" t="s">
        <v>39</v>
      </c>
      <c r="C39">
        <v>3</v>
      </c>
      <c r="D39">
        <v>1662</v>
      </c>
      <c r="E39">
        <v>1170</v>
      </c>
      <c r="F39">
        <v>8857</v>
      </c>
      <c r="G39">
        <v>0</v>
      </c>
      <c r="H39">
        <v>84</v>
      </c>
      <c r="I39">
        <v>1</v>
      </c>
      <c r="J39" t="s">
        <v>353</v>
      </c>
      <c r="K39" t="s">
        <v>1743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24</v>
      </c>
      <c r="G40">
        <v>0</v>
      </c>
      <c r="H40">
        <v>0</v>
      </c>
      <c r="I40">
        <v>0</v>
      </c>
      <c r="J40" t="s">
        <v>353</v>
      </c>
      <c r="K40" t="s">
        <v>1743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34</v>
      </c>
      <c r="G41">
        <v>0</v>
      </c>
      <c r="H41">
        <v>0</v>
      </c>
      <c r="I41">
        <v>0</v>
      </c>
      <c r="J41" t="s">
        <v>353</v>
      </c>
      <c r="K41" t="s">
        <v>1743</v>
      </c>
    </row>
    <row r="42" spans="1:11">
      <c r="A42">
        <v>4</v>
      </c>
      <c r="B42" t="s">
        <v>42</v>
      </c>
      <c r="C42">
        <v>0</v>
      </c>
      <c r="D42">
        <v>0</v>
      </c>
      <c r="E42">
        <v>94183</v>
      </c>
      <c r="F42">
        <v>22210</v>
      </c>
      <c r="G42">
        <v>0</v>
      </c>
      <c r="H42">
        <v>0</v>
      </c>
      <c r="I42">
        <v>0</v>
      </c>
      <c r="J42" t="s">
        <v>353</v>
      </c>
      <c r="K42" t="s">
        <v>1743</v>
      </c>
    </row>
    <row r="43" spans="1:11">
      <c r="A43">
        <v>5</v>
      </c>
      <c r="B43" t="s">
        <v>43</v>
      </c>
      <c r="C43">
        <v>0</v>
      </c>
      <c r="D43">
        <v>0</v>
      </c>
      <c r="E43">
        <v>89334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1743</v>
      </c>
    </row>
    <row r="44" spans="1:11">
      <c r="A44">
        <v>0</v>
      </c>
      <c r="B44" t="s">
        <v>38</v>
      </c>
      <c r="C44">
        <v>3477</v>
      </c>
      <c r="D44">
        <v>388</v>
      </c>
      <c r="E44">
        <v>1007424</v>
      </c>
      <c r="F44">
        <v>4291</v>
      </c>
      <c r="G44">
        <v>2409</v>
      </c>
      <c r="H44">
        <v>324</v>
      </c>
      <c r="I44">
        <v>30</v>
      </c>
      <c r="J44" t="s">
        <v>355</v>
      </c>
      <c r="K44" t="s">
        <v>1743</v>
      </c>
    </row>
    <row r="45" spans="1:11">
      <c r="A45">
        <v>1</v>
      </c>
      <c r="B45" t="s">
        <v>39</v>
      </c>
      <c r="C45">
        <v>1</v>
      </c>
      <c r="D45">
        <v>545</v>
      </c>
      <c r="E45">
        <v>384</v>
      </c>
      <c r="F45">
        <v>2903</v>
      </c>
      <c r="G45">
        <v>0</v>
      </c>
      <c r="H45">
        <v>28</v>
      </c>
      <c r="I45">
        <v>0</v>
      </c>
      <c r="J45" t="s">
        <v>355</v>
      </c>
      <c r="K45" t="s">
        <v>1743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24</v>
      </c>
      <c r="G46">
        <v>0</v>
      </c>
      <c r="H46">
        <v>0</v>
      </c>
      <c r="I46">
        <v>0</v>
      </c>
      <c r="J46" t="s">
        <v>355</v>
      </c>
      <c r="K46" t="s">
        <v>1743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 t="s">
        <v>355</v>
      </c>
      <c r="K47" t="s">
        <v>1743</v>
      </c>
    </row>
    <row r="48" spans="1:11">
      <c r="A48">
        <v>4</v>
      </c>
      <c r="B48" t="s">
        <v>42</v>
      </c>
      <c r="C48">
        <v>0</v>
      </c>
      <c r="D48">
        <v>0</v>
      </c>
      <c r="E48">
        <v>52913</v>
      </c>
      <c r="F48">
        <v>12478</v>
      </c>
      <c r="G48">
        <v>0</v>
      </c>
      <c r="H48">
        <v>0</v>
      </c>
      <c r="I48">
        <v>0</v>
      </c>
      <c r="J48" t="s">
        <v>355</v>
      </c>
      <c r="K48" t="s">
        <v>1743</v>
      </c>
    </row>
    <row r="49" spans="1:11">
      <c r="A49">
        <v>5</v>
      </c>
      <c r="B49" t="s">
        <v>43</v>
      </c>
      <c r="C49">
        <v>0</v>
      </c>
      <c r="D49">
        <v>0</v>
      </c>
      <c r="E49">
        <v>31945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1743</v>
      </c>
    </row>
    <row r="50" spans="1:11">
      <c r="A50">
        <v>0</v>
      </c>
      <c r="B50" t="s">
        <v>38</v>
      </c>
      <c r="C50">
        <v>65553</v>
      </c>
      <c r="D50">
        <v>7307</v>
      </c>
      <c r="E50">
        <v>18993712</v>
      </c>
      <c r="F50">
        <v>80904</v>
      </c>
      <c r="G50">
        <v>45421</v>
      </c>
      <c r="H50">
        <v>6117</v>
      </c>
      <c r="I50">
        <v>570</v>
      </c>
      <c r="J50" t="s">
        <v>356</v>
      </c>
      <c r="K50" t="s">
        <v>1743</v>
      </c>
    </row>
    <row r="51" spans="1:11">
      <c r="A51">
        <v>1</v>
      </c>
      <c r="B51" t="s">
        <v>39</v>
      </c>
      <c r="C51">
        <v>18</v>
      </c>
      <c r="D51">
        <v>8494</v>
      </c>
      <c r="E51">
        <v>5980</v>
      </c>
      <c r="F51">
        <v>45267</v>
      </c>
      <c r="G51">
        <v>0</v>
      </c>
      <c r="H51">
        <v>431</v>
      </c>
      <c r="I51">
        <v>5</v>
      </c>
      <c r="J51" t="s">
        <v>356</v>
      </c>
      <c r="K51" t="s">
        <v>1743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569</v>
      </c>
      <c r="G52">
        <v>0</v>
      </c>
      <c r="H52">
        <v>0</v>
      </c>
      <c r="I52">
        <v>0</v>
      </c>
      <c r="J52" t="s">
        <v>356</v>
      </c>
      <c r="K52" t="s">
        <v>1743</v>
      </c>
    </row>
    <row r="53" spans="1:11">
      <c r="A53">
        <v>3</v>
      </c>
      <c r="B53" t="s">
        <v>41</v>
      </c>
      <c r="C53">
        <v>9</v>
      </c>
      <c r="D53">
        <v>0</v>
      </c>
      <c r="E53">
        <v>0</v>
      </c>
      <c r="F53">
        <v>26</v>
      </c>
      <c r="G53">
        <v>0</v>
      </c>
      <c r="H53">
        <v>0</v>
      </c>
      <c r="I53">
        <v>0</v>
      </c>
      <c r="J53" t="s">
        <v>356</v>
      </c>
      <c r="K53" t="s">
        <v>1743</v>
      </c>
    </row>
    <row r="54" spans="1:11">
      <c r="A54">
        <v>4</v>
      </c>
      <c r="B54" t="s">
        <v>42</v>
      </c>
      <c r="C54">
        <v>0</v>
      </c>
      <c r="D54">
        <v>0</v>
      </c>
      <c r="E54">
        <v>763903</v>
      </c>
      <c r="F54">
        <v>180143</v>
      </c>
      <c r="G54">
        <v>0</v>
      </c>
      <c r="H54">
        <v>0</v>
      </c>
      <c r="I54">
        <v>0</v>
      </c>
      <c r="J54" t="s">
        <v>356</v>
      </c>
      <c r="K54" t="s">
        <v>1743</v>
      </c>
    </row>
    <row r="55" spans="1:11">
      <c r="A55">
        <v>5</v>
      </c>
      <c r="B55" t="s">
        <v>43</v>
      </c>
      <c r="C55">
        <v>0</v>
      </c>
      <c r="D55">
        <v>0</v>
      </c>
      <c r="E55">
        <v>575229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1743</v>
      </c>
    </row>
    <row r="56" spans="1:11">
      <c r="A56">
        <v>0</v>
      </c>
      <c r="B56" t="s">
        <v>38</v>
      </c>
      <c r="C56">
        <v>29221</v>
      </c>
      <c r="D56">
        <v>3257</v>
      </c>
      <c r="E56">
        <v>8466565</v>
      </c>
      <c r="F56">
        <v>36064</v>
      </c>
      <c r="G56">
        <v>20247</v>
      </c>
      <c r="H56">
        <v>2727</v>
      </c>
      <c r="I56">
        <v>254</v>
      </c>
      <c r="J56" t="s">
        <v>357</v>
      </c>
      <c r="K56" t="s">
        <v>1743</v>
      </c>
    </row>
    <row r="57" spans="1:11">
      <c r="A57">
        <v>1</v>
      </c>
      <c r="B57" t="s">
        <v>39</v>
      </c>
      <c r="C57">
        <v>11</v>
      </c>
      <c r="D57">
        <v>5209</v>
      </c>
      <c r="E57">
        <v>3667</v>
      </c>
      <c r="F57">
        <v>27761</v>
      </c>
      <c r="G57">
        <v>0</v>
      </c>
      <c r="H57">
        <v>265</v>
      </c>
      <c r="I57">
        <v>3</v>
      </c>
      <c r="J57" t="s">
        <v>357</v>
      </c>
      <c r="K57" t="s">
        <v>1743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330</v>
      </c>
      <c r="G58">
        <v>0</v>
      </c>
      <c r="H58">
        <v>0</v>
      </c>
      <c r="I58">
        <v>0</v>
      </c>
      <c r="J58" t="s">
        <v>357</v>
      </c>
      <c r="K58" t="s">
        <v>1743</v>
      </c>
    </row>
    <row r="59" spans="1:11">
      <c r="A59">
        <v>3</v>
      </c>
      <c r="B59" t="s">
        <v>41</v>
      </c>
      <c r="C59">
        <v>39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 t="s">
        <v>357</v>
      </c>
      <c r="K59" t="s">
        <v>1743</v>
      </c>
    </row>
    <row r="60" spans="1:11">
      <c r="A60">
        <v>4</v>
      </c>
      <c r="B60" t="s">
        <v>42</v>
      </c>
      <c r="C60">
        <v>0</v>
      </c>
      <c r="D60">
        <v>0</v>
      </c>
      <c r="E60">
        <v>283941</v>
      </c>
      <c r="F60">
        <v>66959</v>
      </c>
      <c r="G60">
        <v>0</v>
      </c>
      <c r="H60">
        <v>0</v>
      </c>
      <c r="I60">
        <v>0</v>
      </c>
      <c r="J60" t="s">
        <v>357</v>
      </c>
      <c r="K60" t="s">
        <v>1743</v>
      </c>
    </row>
    <row r="61" spans="1:11">
      <c r="A61">
        <v>5</v>
      </c>
      <c r="B61" t="s">
        <v>43</v>
      </c>
      <c r="C61">
        <v>0</v>
      </c>
      <c r="D61">
        <v>0</v>
      </c>
      <c r="E61">
        <v>275071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1743</v>
      </c>
    </row>
    <row r="62" spans="1:11">
      <c r="A62">
        <v>0</v>
      </c>
      <c r="B62" t="s">
        <v>38</v>
      </c>
      <c r="C62">
        <v>3971</v>
      </c>
      <c r="D62">
        <v>443</v>
      </c>
      <c r="E62">
        <v>1150488</v>
      </c>
      <c r="F62">
        <v>4901</v>
      </c>
      <c r="G62">
        <v>2751</v>
      </c>
      <c r="H62">
        <v>371</v>
      </c>
      <c r="I62">
        <v>35</v>
      </c>
      <c r="J62" t="s">
        <v>358</v>
      </c>
      <c r="K62" t="s">
        <v>1743</v>
      </c>
    </row>
    <row r="63" spans="1:11">
      <c r="A63">
        <v>1</v>
      </c>
      <c r="B63" t="s">
        <v>39</v>
      </c>
      <c r="C63">
        <v>1</v>
      </c>
      <c r="D63">
        <v>407</v>
      </c>
      <c r="E63">
        <v>287</v>
      </c>
      <c r="F63">
        <v>2170</v>
      </c>
      <c r="G63">
        <v>0</v>
      </c>
      <c r="H63">
        <v>21</v>
      </c>
      <c r="I63">
        <v>0</v>
      </c>
      <c r="J63" t="s">
        <v>358</v>
      </c>
      <c r="K63" t="s">
        <v>1743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107</v>
      </c>
      <c r="G64">
        <v>0</v>
      </c>
      <c r="H64">
        <v>0</v>
      </c>
      <c r="I64">
        <v>0</v>
      </c>
      <c r="J64" t="s">
        <v>358</v>
      </c>
      <c r="K64" t="s">
        <v>1743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1743</v>
      </c>
    </row>
    <row r="66" spans="1:11">
      <c r="A66">
        <v>4</v>
      </c>
      <c r="B66" t="s">
        <v>42</v>
      </c>
      <c r="C66">
        <v>0</v>
      </c>
      <c r="D66">
        <v>0</v>
      </c>
      <c r="E66">
        <v>11822</v>
      </c>
      <c r="F66">
        <v>2788</v>
      </c>
      <c r="G66">
        <v>0</v>
      </c>
      <c r="H66">
        <v>0</v>
      </c>
      <c r="I66">
        <v>0</v>
      </c>
      <c r="J66" t="s">
        <v>358</v>
      </c>
      <c r="K66" t="s">
        <v>1743</v>
      </c>
    </row>
    <row r="67" spans="1:11">
      <c r="A67">
        <v>5</v>
      </c>
      <c r="B67" t="s">
        <v>43</v>
      </c>
      <c r="C67">
        <v>0</v>
      </c>
      <c r="D67">
        <v>0</v>
      </c>
      <c r="E67">
        <v>38784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1743</v>
      </c>
    </row>
    <row r="68" spans="1:11">
      <c r="A68">
        <v>0</v>
      </c>
      <c r="B68" t="s">
        <v>38</v>
      </c>
      <c r="C68">
        <v>9729</v>
      </c>
      <c r="D68">
        <v>1084</v>
      </c>
      <c r="E68">
        <v>2818823</v>
      </c>
      <c r="F68">
        <v>12007</v>
      </c>
      <c r="G68">
        <v>6741</v>
      </c>
      <c r="H68">
        <v>908</v>
      </c>
      <c r="I68">
        <v>85</v>
      </c>
      <c r="J68" t="s">
        <v>359</v>
      </c>
      <c r="K68" t="s">
        <v>1743</v>
      </c>
    </row>
    <row r="69" spans="1:11">
      <c r="A69">
        <v>1</v>
      </c>
      <c r="B69" t="s">
        <v>39</v>
      </c>
      <c r="C69">
        <v>3</v>
      </c>
      <c r="D69">
        <v>1295</v>
      </c>
      <c r="E69">
        <v>912</v>
      </c>
      <c r="F69">
        <v>6901</v>
      </c>
      <c r="G69">
        <v>0</v>
      </c>
      <c r="H69">
        <v>66</v>
      </c>
      <c r="I69">
        <v>1</v>
      </c>
      <c r="J69" t="s">
        <v>359</v>
      </c>
      <c r="K69" t="s">
        <v>1743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24</v>
      </c>
      <c r="G70">
        <v>0</v>
      </c>
      <c r="H70">
        <v>0</v>
      </c>
      <c r="I70">
        <v>0</v>
      </c>
      <c r="J70" t="s">
        <v>359</v>
      </c>
      <c r="K70" t="s">
        <v>1743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 t="s">
        <v>359</v>
      </c>
      <c r="K71" t="s">
        <v>1743</v>
      </c>
    </row>
    <row r="72" spans="1:11">
      <c r="A72">
        <v>4</v>
      </c>
      <c r="B72" t="s">
        <v>42</v>
      </c>
      <c r="C72">
        <v>0</v>
      </c>
      <c r="D72">
        <v>0</v>
      </c>
      <c r="E72">
        <v>152451</v>
      </c>
      <c r="F72">
        <v>35951</v>
      </c>
      <c r="G72">
        <v>0</v>
      </c>
      <c r="H72">
        <v>0</v>
      </c>
      <c r="I72">
        <v>0</v>
      </c>
      <c r="J72" t="s">
        <v>359</v>
      </c>
      <c r="K72" t="s">
        <v>1743</v>
      </c>
    </row>
    <row r="73" spans="1:11">
      <c r="A73">
        <v>5</v>
      </c>
      <c r="B73" t="s">
        <v>43</v>
      </c>
      <c r="C73">
        <v>0</v>
      </c>
      <c r="D73">
        <v>0</v>
      </c>
      <c r="E73">
        <v>117984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1743</v>
      </c>
    </row>
    <row r="74" spans="1:11">
      <c r="A74">
        <v>0</v>
      </c>
      <c r="B74" t="s">
        <v>38</v>
      </c>
      <c r="C74">
        <v>4919</v>
      </c>
      <c r="D74">
        <v>548</v>
      </c>
      <c r="E74">
        <v>1425123</v>
      </c>
      <c r="F74">
        <v>6070</v>
      </c>
      <c r="G74">
        <v>3408</v>
      </c>
      <c r="H74">
        <v>459</v>
      </c>
      <c r="I74">
        <v>43</v>
      </c>
      <c r="J74" t="s">
        <v>360</v>
      </c>
      <c r="K74" t="s">
        <v>1743</v>
      </c>
    </row>
    <row r="75" spans="1:11">
      <c r="A75">
        <v>1</v>
      </c>
      <c r="B75" t="s">
        <v>39</v>
      </c>
      <c r="C75">
        <v>1</v>
      </c>
      <c r="D75">
        <v>556</v>
      </c>
      <c r="E75">
        <v>391</v>
      </c>
      <c r="F75">
        <v>2963</v>
      </c>
      <c r="G75">
        <v>0</v>
      </c>
      <c r="H75">
        <v>28</v>
      </c>
      <c r="I75">
        <v>0</v>
      </c>
      <c r="J75" t="s">
        <v>360</v>
      </c>
      <c r="K75" t="s">
        <v>1743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24</v>
      </c>
      <c r="G76">
        <v>0</v>
      </c>
      <c r="H76">
        <v>0</v>
      </c>
      <c r="I76">
        <v>0</v>
      </c>
      <c r="J76" t="s">
        <v>360</v>
      </c>
      <c r="K76" t="s">
        <v>1743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 t="s">
        <v>360</v>
      </c>
      <c r="K77" t="s">
        <v>1743</v>
      </c>
    </row>
    <row r="78" spans="1:11">
      <c r="A78">
        <v>4</v>
      </c>
      <c r="B78" t="s">
        <v>42</v>
      </c>
      <c r="C78">
        <v>0</v>
      </c>
      <c r="D78">
        <v>0</v>
      </c>
      <c r="E78">
        <v>76900</v>
      </c>
      <c r="F78">
        <v>18135</v>
      </c>
      <c r="G78">
        <v>0</v>
      </c>
      <c r="H78">
        <v>0</v>
      </c>
      <c r="I78">
        <v>0</v>
      </c>
      <c r="J78" t="s">
        <v>360</v>
      </c>
      <c r="K78" t="s">
        <v>1743</v>
      </c>
    </row>
    <row r="79" spans="1:11">
      <c r="A79">
        <v>5</v>
      </c>
      <c r="B79" t="s">
        <v>43</v>
      </c>
      <c r="C79">
        <v>0</v>
      </c>
      <c r="D79">
        <v>0</v>
      </c>
      <c r="E79">
        <v>59746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1743</v>
      </c>
    </row>
    <row r="80" spans="1:11">
      <c r="A80">
        <v>0</v>
      </c>
      <c r="B80" t="s">
        <v>38</v>
      </c>
      <c r="C80">
        <v>34790</v>
      </c>
      <c r="D80">
        <v>3878</v>
      </c>
      <c r="E80">
        <v>10080309</v>
      </c>
      <c r="F80">
        <v>42937</v>
      </c>
      <c r="G80">
        <v>24106</v>
      </c>
      <c r="H80">
        <v>3246</v>
      </c>
      <c r="I80">
        <v>302</v>
      </c>
      <c r="J80" t="s">
        <v>361</v>
      </c>
      <c r="K80" t="s">
        <v>1743</v>
      </c>
    </row>
    <row r="81" spans="1:11">
      <c r="A81">
        <v>1</v>
      </c>
      <c r="B81" t="s">
        <v>39</v>
      </c>
      <c r="C81">
        <v>10</v>
      </c>
      <c r="D81">
        <v>4845</v>
      </c>
      <c r="E81">
        <v>3411</v>
      </c>
      <c r="F81">
        <v>25821</v>
      </c>
      <c r="G81">
        <v>0</v>
      </c>
      <c r="H81">
        <v>246</v>
      </c>
      <c r="I81">
        <v>3</v>
      </c>
      <c r="J81" t="s">
        <v>361</v>
      </c>
      <c r="K81" t="s">
        <v>1743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311</v>
      </c>
      <c r="G82">
        <v>0</v>
      </c>
      <c r="H82">
        <v>0</v>
      </c>
      <c r="I82">
        <v>0</v>
      </c>
      <c r="J82" t="s">
        <v>361</v>
      </c>
      <c r="K82" t="s">
        <v>1743</v>
      </c>
    </row>
    <row r="83" spans="1:11">
      <c r="A83">
        <v>3</v>
      </c>
      <c r="B83" t="s">
        <v>41</v>
      </c>
      <c r="C83">
        <v>233</v>
      </c>
      <c r="D83">
        <v>0</v>
      </c>
      <c r="E83">
        <v>0</v>
      </c>
      <c r="F83">
        <v>18</v>
      </c>
      <c r="G83">
        <v>0</v>
      </c>
      <c r="H83">
        <v>0</v>
      </c>
      <c r="I83">
        <v>0</v>
      </c>
      <c r="J83" t="s">
        <v>361</v>
      </c>
      <c r="K83" t="s">
        <v>1743</v>
      </c>
    </row>
    <row r="84" spans="1:11">
      <c r="A84">
        <v>4</v>
      </c>
      <c r="B84" t="s">
        <v>42</v>
      </c>
      <c r="C84">
        <v>0</v>
      </c>
      <c r="D84">
        <v>0</v>
      </c>
      <c r="E84">
        <v>230083</v>
      </c>
      <c r="F84">
        <v>54258</v>
      </c>
      <c r="G84">
        <v>0</v>
      </c>
      <c r="H84">
        <v>0</v>
      </c>
      <c r="I84">
        <v>0</v>
      </c>
      <c r="J84" t="s">
        <v>361</v>
      </c>
      <c r="K84" t="s">
        <v>1743</v>
      </c>
    </row>
    <row r="85" spans="1:11">
      <c r="A85">
        <v>5</v>
      </c>
      <c r="B85" t="s">
        <v>43</v>
      </c>
      <c r="C85">
        <v>0</v>
      </c>
      <c r="D85">
        <v>0</v>
      </c>
      <c r="E85">
        <v>329889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1743</v>
      </c>
    </row>
    <row r="86" spans="1:11">
      <c r="A86">
        <v>0</v>
      </c>
      <c r="B86" t="s">
        <v>38</v>
      </c>
      <c r="C86">
        <v>17754</v>
      </c>
      <c r="D86">
        <v>1979</v>
      </c>
      <c r="E86">
        <v>5144116</v>
      </c>
      <c r="F86">
        <v>21912</v>
      </c>
      <c r="G86">
        <v>12301</v>
      </c>
      <c r="H86">
        <v>1657</v>
      </c>
      <c r="I86">
        <v>154</v>
      </c>
      <c r="J86" t="s">
        <v>362</v>
      </c>
      <c r="K86" t="s">
        <v>1743</v>
      </c>
    </row>
    <row r="87" spans="1:11">
      <c r="A87">
        <v>1</v>
      </c>
      <c r="B87" t="s">
        <v>39</v>
      </c>
      <c r="C87">
        <v>6</v>
      </c>
      <c r="D87">
        <v>2946</v>
      </c>
      <c r="E87">
        <v>2074</v>
      </c>
      <c r="F87">
        <v>15700</v>
      </c>
      <c r="G87">
        <v>0</v>
      </c>
      <c r="H87">
        <v>150</v>
      </c>
      <c r="I87">
        <v>2</v>
      </c>
      <c r="J87" t="s">
        <v>362</v>
      </c>
      <c r="K87" t="s">
        <v>1743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34</v>
      </c>
      <c r="G88">
        <v>0</v>
      </c>
      <c r="H88">
        <v>0</v>
      </c>
      <c r="I88">
        <v>0</v>
      </c>
      <c r="J88" t="s">
        <v>362</v>
      </c>
      <c r="K88" t="s">
        <v>1743</v>
      </c>
    </row>
    <row r="89" spans="1:11">
      <c r="A89">
        <v>3</v>
      </c>
      <c r="B89" t="s">
        <v>41</v>
      </c>
      <c r="C89">
        <v>34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 t="s">
        <v>362</v>
      </c>
      <c r="K89" t="s">
        <v>1743</v>
      </c>
    </row>
    <row r="90" spans="1:11">
      <c r="A90">
        <v>4</v>
      </c>
      <c r="B90" t="s">
        <v>42</v>
      </c>
      <c r="C90">
        <v>0</v>
      </c>
      <c r="D90">
        <v>0</v>
      </c>
      <c r="E90">
        <v>198201</v>
      </c>
      <c r="F90">
        <v>46740</v>
      </c>
      <c r="G90">
        <v>0</v>
      </c>
      <c r="H90">
        <v>0</v>
      </c>
      <c r="I90">
        <v>0</v>
      </c>
      <c r="J90" t="s">
        <v>362</v>
      </c>
      <c r="K90" t="s">
        <v>1743</v>
      </c>
    </row>
    <row r="91" spans="1:11">
      <c r="A91">
        <v>5</v>
      </c>
      <c r="B91" t="s">
        <v>43</v>
      </c>
      <c r="C91">
        <v>0</v>
      </c>
      <c r="D91">
        <v>0</v>
      </c>
      <c r="E91">
        <v>193147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1743</v>
      </c>
    </row>
    <row r="92" spans="1:11">
      <c r="A92">
        <v>0</v>
      </c>
      <c r="B92" t="s">
        <v>38</v>
      </c>
      <c r="C92">
        <v>7432</v>
      </c>
      <c r="D92">
        <v>828</v>
      </c>
      <c r="E92">
        <v>2153526</v>
      </c>
      <c r="F92">
        <v>9173</v>
      </c>
      <c r="G92">
        <v>5150</v>
      </c>
      <c r="H92">
        <v>694</v>
      </c>
      <c r="I92">
        <v>65</v>
      </c>
      <c r="J92" t="s">
        <v>363</v>
      </c>
      <c r="K92" t="s">
        <v>1743</v>
      </c>
    </row>
    <row r="93" spans="1:11">
      <c r="A93">
        <v>1</v>
      </c>
      <c r="B93" t="s">
        <v>39</v>
      </c>
      <c r="C93">
        <v>2</v>
      </c>
      <c r="D93">
        <v>932</v>
      </c>
      <c r="E93">
        <v>656</v>
      </c>
      <c r="F93">
        <v>4966</v>
      </c>
      <c r="G93">
        <v>0</v>
      </c>
      <c r="H93">
        <v>47</v>
      </c>
      <c r="I93">
        <v>1</v>
      </c>
      <c r="J93" t="s">
        <v>363</v>
      </c>
      <c r="K93" t="s">
        <v>1743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24</v>
      </c>
      <c r="G94">
        <v>0</v>
      </c>
      <c r="H94">
        <v>0</v>
      </c>
      <c r="I94">
        <v>0</v>
      </c>
      <c r="J94" t="s">
        <v>363</v>
      </c>
      <c r="K94" t="s">
        <v>1743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 t="s">
        <v>363</v>
      </c>
      <c r="K95" t="s">
        <v>1743</v>
      </c>
    </row>
    <row r="96" spans="1:11">
      <c r="A96">
        <v>4</v>
      </c>
      <c r="B96" t="s">
        <v>42</v>
      </c>
      <c r="C96">
        <v>0</v>
      </c>
      <c r="D96">
        <v>0</v>
      </c>
      <c r="E96">
        <v>74107</v>
      </c>
      <c r="F96">
        <v>17476</v>
      </c>
      <c r="G96">
        <v>0</v>
      </c>
      <c r="H96">
        <v>0</v>
      </c>
      <c r="I96">
        <v>0</v>
      </c>
      <c r="J96" t="s">
        <v>363</v>
      </c>
      <c r="K96" t="s">
        <v>1743</v>
      </c>
    </row>
    <row r="97" spans="1:11">
      <c r="A97">
        <v>5</v>
      </c>
      <c r="B97" t="s">
        <v>43</v>
      </c>
      <c r="C97">
        <v>0</v>
      </c>
      <c r="D97">
        <v>0</v>
      </c>
      <c r="E97">
        <v>81109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1743</v>
      </c>
    </row>
    <row r="98" spans="1:11">
      <c r="A98">
        <v>0</v>
      </c>
      <c r="B98" t="s">
        <v>38</v>
      </c>
      <c r="C98">
        <v>13747</v>
      </c>
      <c r="D98">
        <v>1532</v>
      </c>
      <c r="E98">
        <v>3983280</v>
      </c>
      <c r="F98">
        <v>16967</v>
      </c>
      <c r="G98">
        <v>9525</v>
      </c>
      <c r="H98">
        <v>1283</v>
      </c>
      <c r="I98">
        <v>119</v>
      </c>
      <c r="J98" t="s">
        <v>364</v>
      </c>
      <c r="K98" t="s">
        <v>1743</v>
      </c>
    </row>
    <row r="99" spans="1:11">
      <c r="A99">
        <v>1</v>
      </c>
      <c r="B99" t="s">
        <v>39</v>
      </c>
      <c r="C99">
        <v>3</v>
      </c>
      <c r="D99">
        <v>1551</v>
      </c>
      <c r="E99">
        <v>1092</v>
      </c>
      <c r="F99">
        <v>8266</v>
      </c>
      <c r="G99">
        <v>0</v>
      </c>
      <c r="H99">
        <v>79</v>
      </c>
      <c r="I99">
        <v>1</v>
      </c>
      <c r="J99" t="s">
        <v>364</v>
      </c>
      <c r="K99" t="s">
        <v>1743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43</v>
      </c>
      <c r="G100">
        <v>0</v>
      </c>
      <c r="H100">
        <v>0</v>
      </c>
      <c r="I100">
        <v>0</v>
      </c>
      <c r="J100" t="s">
        <v>364</v>
      </c>
      <c r="K100" t="s">
        <v>1743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 t="s">
        <v>364</v>
      </c>
      <c r="K101" t="s">
        <v>1743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148819</v>
      </c>
      <c r="F102">
        <v>35094</v>
      </c>
      <c r="G102">
        <v>0</v>
      </c>
      <c r="H102">
        <v>0</v>
      </c>
      <c r="I102">
        <v>0</v>
      </c>
      <c r="J102" t="s">
        <v>364</v>
      </c>
      <c r="K102" t="s">
        <v>1743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138934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1743</v>
      </c>
    </row>
    <row r="104" spans="1:11">
      <c r="A104">
        <v>0</v>
      </c>
      <c r="B104" t="s">
        <v>38</v>
      </c>
      <c r="C104">
        <v>10999</v>
      </c>
      <c r="D104">
        <v>1226</v>
      </c>
      <c r="E104">
        <v>3186850</v>
      </c>
      <c r="F104">
        <v>13574</v>
      </c>
      <c r="G104">
        <v>7621</v>
      </c>
      <c r="H104">
        <v>1026</v>
      </c>
      <c r="I104">
        <v>96</v>
      </c>
      <c r="J104" t="s">
        <v>365</v>
      </c>
      <c r="K104" t="s">
        <v>1743</v>
      </c>
    </row>
    <row r="105" spans="1:11">
      <c r="A105">
        <v>1</v>
      </c>
      <c r="B105" t="s">
        <v>39</v>
      </c>
      <c r="C105">
        <v>9</v>
      </c>
      <c r="D105">
        <v>4247</v>
      </c>
      <c r="E105">
        <v>2990</v>
      </c>
      <c r="F105">
        <v>22631</v>
      </c>
      <c r="G105">
        <v>0</v>
      </c>
      <c r="H105">
        <v>216</v>
      </c>
      <c r="I105">
        <v>3</v>
      </c>
      <c r="J105" t="s">
        <v>365</v>
      </c>
      <c r="K105" t="s">
        <v>1743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49</v>
      </c>
      <c r="G106">
        <v>0</v>
      </c>
      <c r="H106">
        <v>0</v>
      </c>
      <c r="I106">
        <v>0</v>
      </c>
      <c r="J106" t="s">
        <v>365</v>
      </c>
      <c r="K106" t="s">
        <v>1743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 t="s">
        <v>365</v>
      </c>
      <c r="K107" t="s">
        <v>1743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285415</v>
      </c>
      <c r="F108">
        <v>67306</v>
      </c>
      <c r="G108">
        <v>0</v>
      </c>
      <c r="H108">
        <v>0</v>
      </c>
      <c r="I108">
        <v>0</v>
      </c>
      <c r="J108" t="s">
        <v>365</v>
      </c>
      <c r="K108" t="s">
        <v>1743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120289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1743</v>
      </c>
    </row>
    <row r="110" spans="1:11">
      <c r="A110">
        <v>0</v>
      </c>
      <c r="B110" t="s">
        <v>38</v>
      </c>
      <c r="C110">
        <v>16748</v>
      </c>
      <c r="D110">
        <v>1867</v>
      </c>
      <c r="E110">
        <v>4852545</v>
      </c>
      <c r="F110">
        <v>20670</v>
      </c>
      <c r="G110">
        <v>11604</v>
      </c>
      <c r="H110">
        <v>1563</v>
      </c>
      <c r="I110">
        <v>146</v>
      </c>
      <c r="J110" t="s">
        <v>366</v>
      </c>
      <c r="K110" t="s">
        <v>1743</v>
      </c>
    </row>
    <row r="111" spans="1:11">
      <c r="A111">
        <v>1</v>
      </c>
      <c r="B111" t="s">
        <v>39</v>
      </c>
      <c r="C111">
        <v>4</v>
      </c>
      <c r="D111">
        <v>1941</v>
      </c>
      <c r="E111">
        <v>1367</v>
      </c>
      <c r="F111">
        <v>10345</v>
      </c>
      <c r="G111">
        <v>0</v>
      </c>
      <c r="H111">
        <v>99</v>
      </c>
      <c r="I111">
        <v>1</v>
      </c>
      <c r="J111" t="s">
        <v>366</v>
      </c>
      <c r="K111" t="s">
        <v>1743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125</v>
      </c>
      <c r="G112">
        <v>0</v>
      </c>
      <c r="H112">
        <v>0</v>
      </c>
      <c r="I112">
        <v>0</v>
      </c>
      <c r="J112" t="s">
        <v>366</v>
      </c>
      <c r="K112" t="s">
        <v>1743</v>
      </c>
    </row>
    <row r="113" spans="1:11">
      <c r="A113">
        <v>3</v>
      </c>
      <c r="B113" t="s">
        <v>41</v>
      </c>
      <c r="C113">
        <v>181</v>
      </c>
      <c r="D113">
        <v>0</v>
      </c>
      <c r="E113">
        <v>0</v>
      </c>
      <c r="F113">
        <v>28</v>
      </c>
      <c r="G113">
        <v>0</v>
      </c>
      <c r="H113">
        <v>0</v>
      </c>
      <c r="I113">
        <v>0</v>
      </c>
      <c r="J113" t="s">
        <v>366</v>
      </c>
      <c r="K113" t="s">
        <v>1743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117483</v>
      </c>
      <c r="F114">
        <v>27705</v>
      </c>
      <c r="G114">
        <v>0</v>
      </c>
      <c r="H114">
        <v>0</v>
      </c>
      <c r="I114">
        <v>0</v>
      </c>
      <c r="J114" t="s">
        <v>366</v>
      </c>
      <c r="K114" t="s">
        <v>1743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156909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1743</v>
      </c>
    </row>
    <row r="116" spans="1:11">
      <c r="A116">
        <v>0</v>
      </c>
      <c r="B116" t="s">
        <v>38</v>
      </c>
      <c r="C116">
        <v>15244</v>
      </c>
      <c r="D116">
        <v>1699</v>
      </c>
      <c r="E116">
        <v>4416987</v>
      </c>
      <c r="F116">
        <v>18814</v>
      </c>
      <c r="G116">
        <v>10563</v>
      </c>
      <c r="H116">
        <v>1423</v>
      </c>
      <c r="I116">
        <v>132</v>
      </c>
      <c r="J116" t="s">
        <v>367</v>
      </c>
      <c r="K116" t="s">
        <v>1743</v>
      </c>
    </row>
    <row r="117" spans="1:11">
      <c r="A117">
        <v>1</v>
      </c>
      <c r="B117" t="s">
        <v>39</v>
      </c>
      <c r="C117">
        <v>7</v>
      </c>
      <c r="D117">
        <v>3304</v>
      </c>
      <c r="E117">
        <v>2326</v>
      </c>
      <c r="F117">
        <v>17609</v>
      </c>
      <c r="G117">
        <v>0</v>
      </c>
      <c r="H117">
        <v>168</v>
      </c>
      <c r="I117">
        <v>2</v>
      </c>
      <c r="J117" t="s">
        <v>367</v>
      </c>
      <c r="K117" t="s">
        <v>1743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79</v>
      </c>
      <c r="G118">
        <v>0</v>
      </c>
      <c r="H118">
        <v>0</v>
      </c>
      <c r="I118">
        <v>0</v>
      </c>
      <c r="J118" t="s">
        <v>367</v>
      </c>
      <c r="K118" t="s">
        <v>1743</v>
      </c>
    </row>
    <row r="119" spans="1:11">
      <c r="A119">
        <v>3</v>
      </c>
      <c r="B119" t="s">
        <v>41</v>
      </c>
      <c r="C119">
        <v>43</v>
      </c>
      <c r="D119">
        <v>0</v>
      </c>
      <c r="E119">
        <v>0</v>
      </c>
      <c r="F119">
        <v>12</v>
      </c>
      <c r="G119">
        <v>0</v>
      </c>
      <c r="H119">
        <v>0</v>
      </c>
      <c r="I119">
        <v>0</v>
      </c>
      <c r="J119" t="s">
        <v>367</v>
      </c>
      <c r="K119" t="s">
        <v>1743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162231</v>
      </c>
      <c r="F120">
        <v>38257</v>
      </c>
      <c r="G120">
        <v>0</v>
      </c>
      <c r="H120">
        <v>0</v>
      </c>
      <c r="I120">
        <v>0</v>
      </c>
      <c r="J120" t="s">
        <v>367</v>
      </c>
      <c r="K120" t="s">
        <v>1743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131225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1743</v>
      </c>
    </row>
    <row r="122" spans="1:11">
      <c r="A122">
        <v>0</v>
      </c>
      <c r="B122" t="s">
        <v>38</v>
      </c>
      <c r="C122">
        <v>2977</v>
      </c>
      <c r="D122">
        <v>332</v>
      </c>
      <c r="E122">
        <v>862490</v>
      </c>
      <c r="F122">
        <v>3674</v>
      </c>
      <c r="G122">
        <v>2063</v>
      </c>
      <c r="H122">
        <v>278</v>
      </c>
      <c r="I122">
        <v>26</v>
      </c>
      <c r="J122" t="s">
        <v>368</v>
      </c>
      <c r="K122" t="s">
        <v>1743</v>
      </c>
    </row>
    <row r="123" spans="1:11">
      <c r="A123">
        <v>1</v>
      </c>
      <c r="B123" t="s">
        <v>39</v>
      </c>
      <c r="C123">
        <v>1</v>
      </c>
      <c r="D123">
        <v>653</v>
      </c>
      <c r="E123">
        <v>459</v>
      </c>
      <c r="F123">
        <v>3478</v>
      </c>
      <c r="G123">
        <v>0</v>
      </c>
      <c r="H123">
        <v>33</v>
      </c>
      <c r="I123">
        <v>0</v>
      </c>
      <c r="J123" t="s">
        <v>368</v>
      </c>
      <c r="K123" t="s">
        <v>1743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24</v>
      </c>
      <c r="G124">
        <v>0</v>
      </c>
      <c r="H124">
        <v>0</v>
      </c>
      <c r="I124">
        <v>0</v>
      </c>
      <c r="J124" t="s">
        <v>368</v>
      </c>
      <c r="K124" t="s">
        <v>1743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 t="s">
        <v>368</v>
      </c>
      <c r="K125" t="s">
        <v>1743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98810</v>
      </c>
      <c r="F126">
        <v>23301</v>
      </c>
      <c r="G126">
        <v>0</v>
      </c>
      <c r="H126">
        <v>0</v>
      </c>
      <c r="I126">
        <v>0</v>
      </c>
      <c r="J126" t="s">
        <v>368</v>
      </c>
      <c r="K126" t="s">
        <v>1743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34926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1743</v>
      </c>
    </row>
    <row r="128" spans="1:11">
      <c r="A128">
        <v>0</v>
      </c>
      <c r="B128" t="s">
        <v>38</v>
      </c>
      <c r="C128">
        <v>22502</v>
      </c>
      <c r="D128">
        <v>2508</v>
      </c>
      <c r="E128">
        <v>6519812</v>
      </c>
      <c r="F128">
        <v>27771</v>
      </c>
      <c r="G128">
        <v>15591</v>
      </c>
      <c r="H128">
        <v>2100</v>
      </c>
      <c r="I128">
        <v>196</v>
      </c>
      <c r="J128" t="s">
        <v>369</v>
      </c>
      <c r="K128" t="s">
        <v>1743</v>
      </c>
    </row>
    <row r="129" spans="1:11">
      <c r="A129">
        <v>1</v>
      </c>
      <c r="B129" t="s">
        <v>39</v>
      </c>
      <c r="C129">
        <v>3</v>
      </c>
      <c r="D129">
        <v>1262</v>
      </c>
      <c r="E129">
        <v>889</v>
      </c>
      <c r="F129">
        <v>6727</v>
      </c>
      <c r="G129">
        <v>0</v>
      </c>
      <c r="H129">
        <v>64</v>
      </c>
      <c r="I129">
        <v>1</v>
      </c>
      <c r="J129" t="s">
        <v>369</v>
      </c>
      <c r="K129" t="s">
        <v>1743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126</v>
      </c>
      <c r="G130">
        <v>0</v>
      </c>
      <c r="H130">
        <v>0</v>
      </c>
      <c r="I130">
        <v>0</v>
      </c>
      <c r="J130" t="s">
        <v>369</v>
      </c>
      <c r="K130" t="s">
        <v>1743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 t="s">
        <v>369</v>
      </c>
      <c r="K131" t="s">
        <v>1743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690515</v>
      </c>
      <c r="F132">
        <v>162837</v>
      </c>
      <c r="G132">
        <v>0</v>
      </c>
      <c r="H132">
        <v>0</v>
      </c>
      <c r="I132">
        <v>0</v>
      </c>
      <c r="J132" t="s">
        <v>369</v>
      </c>
      <c r="K132" t="s">
        <v>1743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263346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1743</v>
      </c>
    </row>
    <row r="134" spans="1:11">
      <c r="A134">
        <v>0</v>
      </c>
      <c r="B134" t="s">
        <v>38</v>
      </c>
      <c r="C134">
        <v>15396</v>
      </c>
      <c r="D134">
        <v>1716</v>
      </c>
      <c r="E134">
        <v>4460919</v>
      </c>
      <c r="F134">
        <v>19001</v>
      </c>
      <c r="G134">
        <v>10668</v>
      </c>
      <c r="H134">
        <v>1437</v>
      </c>
      <c r="I134">
        <v>134</v>
      </c>
      <c r="J134" t="s">
        <v>370</v>
      </c>
      <c r="K134" t="s">
        <v>1743</v>
      </c>
    </row>
    <row r="135" spans="1:11">
      <c r="A135">
        <v>1</v>
      </c>
      <c r="B135" t="s">
        <v>39</v>
      </c>
      <c r="C135">
        <v>6</v>
      </c>
      <c r="D135">
        <v>2709</v>
      </c>
      <c r="E135">
        <v>1907</v>
      </c>
      <c r="F135">
        <v>14438</v>
      </c>
      <c r="G135">
        <v>0</v>
      </c>
      <c r="H135">
        <v>138</v>
      </c>
      <c r="I135">
        <v>2</v>
      </c>
      <c r="J135" t="s">
        <v>370</v>
      </c>
      <c r="K135" t="s">
        <v>1743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117</v>
      </c>
      <c r="G136">
        <v>0</v>
      </c>
      <c r="H136">
        <v>0</v>
      </c>
      <c r="I136">
        <v>0</v>
      </c>
      <c r="J136" t="s">
        <v>370</v>
      </c>
      <c r="K136" t="s">
        <v>1743</v>
      </c>
    </row>
    <row r="137" spans="1:11">
      <c r="A137">
        <v>3</v>
      </c>
      <c r="B137" t="s">
        <v>41</v>
      </c>
      <c r="C137">
        <v>34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 t="s">
        <v>370</v>
      </c>
      <c r="K137" t="s">
        <v>1743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546431</v>
      </c>
      <c r="F138">
        <v>128859</v>
      </c>
      <c r="G138">
        <v>0</v>
      </c>
      <c r="H138">
        <v>0</v>
      </c>
      <c r="I138">
        <v>0</v>
      </c>
      <c r="J138" t="s">
        <v>370</v>
      </c>
      <c r="K138" t="s">
        <v>1743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177285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1743</v>
      </c>
    </row>
    <row r="140" spans="1:11">
      <c r="A140">
        <v>0</v>
      </c>
      <c r="B140" t="s">
        <v>38</v>
      </c>
      <c r="C140">
        <v>16647</v>
      </c>
      <c r="D140">
        <v>1856</v>
      </c>
      <c r="E140">
        <v>4823486</v>
      </c>
      <c r="F140">
        <v>20546</v>
      </c>
      <c r="G140">
        <v>11535</v>
      </c>
      <c r="H140">
        <v>1553</v>
      </c>
      <c r="I140">
        <v>145</v>
      </c>
      <c r="J140" t="s">
        <v>371</v>
      </c>
      <c r="K140" t="s">
        <v>1743</v>
      </c>
    </row>
    <row r="141" spans="1:11">
      <c r="A141">
        <v>1</v>
      </c>
      <c r="B141" t="s">
        <v>39</v>
      </c>
      <c r="C141">
        <v>10</v>
      </c>
      <c r="D141">
        <v>4764</v>
      </c>
      <c r="E141">
        <v>3354</v>
      </c>
      <c r="F141">
        <v>25390</v>
      </c>
      <c r="G141">
        <v>0</v>
      </c>
      <c r="H141">
        <v>242</v>
      </c>
      <c r="I141">
        <v>3</v>
      </c>
      <c r="J141" t="s">
        <v>371</v>
      </c>
      <c r="K141" t="s">
        <v>1743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85</v>
      </c>
      <c r="G142">
        <v>0</v>
      </c>
      <c r="H142">
        <v>0</v>
      </c>
      <c r="I142">
        <v>0</v>
      </c>
      <c r="J142" t="s">
        <v>371</v>
      </c>
      <c r="K142" t="s">
        <v>1743</v>
      </c>
    </row>
    <row r="143" spans="1:11">
      <c r="A143">
        <v>3</v>
      </c>
      <c r="B143" t="s">
        <v>41</v>
      </c>
      <c r="C143">
        <v>34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 t="s">
        <v>371</v>
      </c>
      <c r="K143" t="s">
        <v>1743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274289</v>
      </c>
      <c r="F144">
        <v>64683</v>
      </c>
      <c r="G144">
        <v>0</v>
      </c>
      <c r="H144">
        <v>0</v>
      </c>
      <c r="I144">
        <v>0</v>
      </c>
      <c r="J144" t="s">
        <v>371</v>
      </c>
      <c r="K144" t="s">
        <v>1743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174054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1743</v>
      </c>
    </row>
    <row r="146" spans="1:11">
      <c r="A146">
        <v>0</v>
      </c>
      <c r="B146" t="s">
        <v>38</v>
      </c>
      <c r="C146">
        <v>6591</v>
      </c>
      <c r="D146">
        <v>735</v>
      </c>
      <c r="E146">
        <v>1909713</v>
      </c>
      <c r="F146">
        <v>8134</v>
      </c>
      <c r="G146">
        <v>4567</v>
      </c>
      <c r="H146">
        <v>615</v>
      </c>
      <c r="I146">
        <v>57</v>
      </c>
      <c r="J146" t="s">
        <v>372</v>
      </c>
      <c r="K146" t="s">
        <v>1743</v>
      </c>
    </row>
    <row r="147" spans="1:11">
      <c r="A147">
        <v>1</v>
      </c>
      <c r="B147" t="s">
        <v>39</v>
      </c>
      <c r="C147">
        <v>2</v>
      </c>
      <c r="D147">
        <v>1043</v>
      </c>
      <c r="E147">
        <v>734</v>
      </c>
      <c r="F147">
        <v>5556</v>
      </c>
      <c r="G147">
        <v>0</v>
      </c>
      <c r="H147">
        <v>53</v>
      </c>
      <c r="I147">
        <v>1</v>
      </c>
      <c r="J147" t="s">
        <v>372</v>
      </c>
      <c r="K147" t="s">
        <v>1743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24</v>
      </c>
      <c r="G148">
        <v>0</v>
      </c>
      <c r="H148">
        <v>0</v>
      </c>
      <c r="I148">
        <v>0</v>
      </c>
      <c r="J148" t="s">
        <v>372</v>
      </c>
      <c r="K148" t="s">
        <v>1743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 t="s">
        <v>372</v>
      </c>
      <c r="K149" t="s">
        <v>1743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121027</v>
      </c>
      <c r="F150">
        <v>28541</v>
      </c>
      <c r="G150">
        <v>0</v>
      </c>
      <c r="H150">
        <v>0</v>
      </c>
      <c r="I150">
        <v>0</v>
      </c>
      <c r="J150" t="s">
        <v>372</v>
      </c>
      <c r="K150" t="s">
        <v>1743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64144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1743</v>
      </c>
    </row>
    <row r="152" spans="1:11">
      <c r="A152">
        <v>0</v>
      </c>
      <c r="B152" t="s">
        <v>38</v>
      </c>
      <c r="C152">
        <v>3838</v>
      </c>
      <c r="D152">
        <v>428</v>
      </c>
      <c r="E152">
        <v>1111980</v>
      </c>
      <c r="F152">
        <v>4737</v>
      </c>
      <c r="G152">
        <v>2659</v>
      </c>
      <c r="H152">
        <v>358</v>
      </c>
      <c r="I152">
        <v>33</v>
      </c>
      <c r="J152" t="s">
        <v>373</v>
      </c>
      <c r="K152" t="s">
        <v>1743</v>
      </c>
    </row>
    <row r="153" spans="1:11">
      <c r="A153">
        <v>1</v>
      </c>
      <c r="B153" t="s">
        <v>39</v>
      </c>
      <c r="C153">
        <v>2</v>
      </c>
      <c r="D153">
        <v>733</v>
      </c>
      <c r="E153">
        <v>516</v>
      </c>
      <c r="F153">
        <v>3908</v>
      </c>
      <c r="G153">
        <v>0</v>
      </c>
      <c r="H153">
        <v>37</v>
      </c>
      <c r="I153">
        <v>0</v>
      </c>
      <c r="J153" t="s">
        <v>373</v>
      </c>
      <c r="K153" t="s">
        <v>1743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24</v>
      </c>
      <c r="G154">
        <v>0</v>
      </c>
      <c r="H154">
        <v>0</v>
      </c>
      <c r="I154">
        <v>0</v>
      </c>
      <c r="J154" t="s">
        <v>373</v>
      </c>
      <c r="K154" t="s">
        <v>1743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 t="s">
        <v>373</v>
      </c>
      <c r="K155" t="s">
        <v>1743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58037</v>
      </c>
      <c r="F156">
        <v>13686</v>
      </c>
      <c r="G156">
        <v>0</v>
      </c>
      <c r="H156">
        <v>0</v>
      </c>
      <c r="I156">
        <v>0</v>
      </c>
      <c r="J156" t="s">
        <v>373</v>
      </c>
      <c r="K156" t="s">
        <v>1743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60828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1743</v>
      </c>
    </row>
    <row r="158" spans="1:11">
      <c r="A158">
        <v>0</v>
      </c>
      <c r="B158" t="s">
        <v>38</v>
      </c>
      <c r="C158">
        <v>28410</v>
      </c>
      <c r="D158">
        <v>3167</v>
      </c>
      <c r="E158">
        <v>8231732</v>
      </c>
      <c r="F158">
        <v>35063</v>
      </c>
      <c r="G158">
        <v>19685</v>
      </c>
      <c r="H158">
        <v>2651</v>
      </c>
      <c r="I158">
        <v>247</v>
      </c>
      <c r="J158" t="s">
        <v>374</v>
      </c>
      <c r="K158" t="s">
        <v>1743</v>
      </c>
    </row>
    <row r="159" spans="1:11">
      <c r="A159">
        <v>1</v>
      </c>
      <c r="B159" t="s">
        <v>39</v>
      </c>
      <c r="C159">
        <v>10</v>
      </c>
      <c r="D159">
        <v>4705</v>
      </c>
      <c r="E159">
        <v>3313</v>
      </c>
      <c r="F159">
        <v>25075</v>
      </c>
      <c r="G159">
        <v>0</v>
      </c>
      <c r="H159">
        <v>239</v>
      </c>
      <c r="I159">
        <v>3</v>
      </c>
      <c r="J159" t="s">
        <v>374</v>
      </c>
      <c r="K159" t="s">
        <v>1743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204</v>
      </c>
      <c r="G160">
        <v>0</v>
      </c>
      <c r="H160">
        <v>0</v>
      </c>
      <c r="I160">
        <v>0</v>
      </c>
      <c r="J160" t="s">
        <v>374</v>
      </c>
      <c r="K160" t="s">
        <v>1743</v>
      </c>
    </row>
    <row r="161" spans="1:11">
      <c r="A161">
        <v>3</v>
      </c>
      <c r="B161" t="s">
        <v>41</v>
      </c>
      <c r="C161">
        <v>34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 t="s">
        <v>374</v>
      </c>
      <c r="K161" t="s">
        <v>1743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353925</v>
      </c>
      <c r="F162">
        <v>83462</v>
      </c>
      <c r="G162">
        <v>0</v>
      </c>
      <c r="H162">
        <v>0</v>
      </c>
      <c r="I162">
        <v>0</v>
      </c>
      <c r="J162" t="s">
        <v>374</v>
      </c>
      <c r="K162" t="s">
        <v>1743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272257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1743</v>
      </c>
    </row>
    <row r="164" spans="1:11">
      <c r="A164">
        <v>0</v>
      </c>
      <c r="B164" t="s">
        <v>38</v>
      </c>
      <c r="C164">
        <v>1803</v>
      </c>
      <c r="D164">
        <v>201</v>
      </c>
      <c r="E164">
        <v>522354</v>
      </c>
      <c r="F164">
        <v>2225</v>
      </c>
      <c r="G164">
        <v>1249</v>
      </c>
      <c r="H164">
        <v>168</v>
      </c>
      <c r="I164">
        <v>16</v>
      </c>
      <c r="J164" t="s">
        <v>375</v>
      </c>
      <c r="K164" t="s">
        <v>1743</v>
      </c>
    </row>
    <row r="165" spans="1:11">
      <c r="A165">
        <v>1</v>
      </c>
      <c r="B165" t="s">
        <v>39</v>
      </c>
      <c r="C165">
        <v>1</v>
      </c>
      <c r="D165">
        <v>517</v>
      </c>
      <c r="E165">
        <v>364</v>
      </c>
      <c r="F165">
        <v>2756</v>
      </c>
      <c r="G165">
        <v>0</v>
      </c>
      <c r="H165">
        <v>26</v>
      </c>
      <c r="I165">
        <v>0</v>
      </c>
      <c r="J165" t="s">
        <v>375</v>
      </c>
      <c r="K165" t="s">
        <v>1743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24</v>
      </c>
      <c r="G166">
        <v>0</v>
      </c>
      <c r="H166">
        <v>0</v>
      </c>
      <c r="I166">
        <v>0</v>
      </c>
      <c r="J166" t="s">
        <v>375</v>
      </c>
      <c r="K166" t="s">
        <v>1743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 t="s">
        <v>375</v>
      </c>
      <c r="K167" t="s">
        <v>1743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63259</v>
      </c>
      <c r="F168">
        <v>14918</v>
      </c>
      <c r="G168">
        <v>0</v>
      </c>
      <c r="H168">
        <v>0</v>
      </c>
      <c r="I168">
        <v>0</v>
      </c>
      <c r="J168" t="s">
        <v>375</v>
      </c>
      <c r="K168" t="s">
        <v>1743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28009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1743</v>
      </c>
    </row>
    <row r="170" spans="1:11">
      <c r="A170">
        <v>0</v>
      </c>
      <c r="B170" t="s">
        <v>38</v>
      </c>
      <c r="C170">
        <v>5224</v>
      </c>
      <c r="D170">
        <v>582</v>
      </c>
      <c r="E170">
        <v>1513642</v>
      </c>
      <c r="F170">
        <v>6447</v>
      </c>
      <c r="G170">
        <v>3620</v>
      </c>
      <c r="H170">
        <v>487</v>
      </c>
      <c r="I170">
        <v>45</v>
      </c>
      <c r="J170" t="s">
        <v>376</v>
      </c>
      <c r="K170" t="s">
        <v>1743</v>
      </c>
    </row>
    <row r="171" spans="1:11">
      <c r="A171">
        <v>1</v>
      </c>
      <c r="B171" t="s">
        <v>39</v>
      </c>
      <c r="C171">
        <v>5</v>
      </c>
      <c r="D171">
        <v>2441</v>
      </c>
      <c r="E171">
        <v>1718</v>
      </c>
      <c r="F171">
        <v>13006</v>
      </c>
      <c r="G171">
        <v>0</v>
      </c>
      <c r="H171">
        <v>124</v>
      </c>
      <c r="I171">
        <v>1</v>
      </c>
      <c r="J171" t="s">
        <v>376</v>
      </c>
      <c r="K171" t="s">
        <v>1743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24</v>
      </c>
      <c r="G172">
        <v>0</v>
      </c>
      <c r="H172">
        <v>0</v>
      </c>
      <c r="I172">
        <v>0</v>
      </c>
      <c r="J172" t="s">
        <v>376</v>
      </c>
      <c r="K172" t="s">
        <v>1743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 t="s">
        <v>376</v>
      </c>
      <c r="K173" t="s">
        <v>1743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77141</v>
      </c>
      <c r="F174">
        <v>18191</v>
      </c>
      <c r="G174">
        <v>0</v>
      </c>
      <c r="H174">
        <v>0</v>
      </c>
      <c r="I174">
        <v>0</v>
      </c>
      <c r="J174" t="s">
        <v>376</v>
      </c>
      <c r="K174" t="s">
        <v>1743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60293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1743</v>
      </c>
    </row>
    <row r="176" spans="1:11">
      <c r="A176">
        <v>0</v>
      </c>
      <c r="B176" t="s">
        <v>38</v>
      </c>
      <c r="C176">
        <v>3852</v>
      </c>
      <c r="D176">
        <v>429</v>
      </c>
      <c r="E176">
        <v>1116205</v>
      </c>
      <c r="F176">
        <v>4755</v>
      </c>
      <c r="G176">
        <v>2669</v>
      </c>
      <c r="H176">
        <v>359</v>
      </c>
      <c r="I176">
        <v>33</v>
      </c>
      <c r="J176" t="s">
        <v>377</v>
      </c>
      <c r="K176" t="s">
        <v>1743</v>
      </c>
    </row>
    <row r="177" spans="1:11">
      <c r="A177">
        <v>1</v>
      </c>
      <c r="B177" t="s">
        <v>39</v>
      </c>
      <c r="C177">
        <v>1</v>
      </c>
      <c r="D177">
        <v>435</v>
      </c>
      <c r="E177">
        <v>306</v>
      </c>
      <c r="F177">
        <v>2317</v>
      </c>
      <c r="G177">
        <v>0</v>
      </c>
      <c r="H177">
        <v>22</v>
      </c>
      <c r="I177">
        <v>0</v>
      </c>
      <c r="J177" t="s">
        <v>377</v>
      </c>
      <c r="K177" t="s">
        <v>1743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24</v>
      </c>
      <c r="G178">
        <v>0</v>
      </c>
      <c r="H178">
        <v>0</v>
      </c>
      <c r="I178">
        <v>0</v>
      </c>
      <c r="J178" t="s">
        <v>377</v>
      </c>
      <c r="K178" t="s">
        <v>1743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 t="s">
        <v>377</v>
      </c>
      <c r="K179" t="s">
        <v>1743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82231</v>
      </c>
      <c r="F180">
        <v>19392</v>
      </c>
      <c r="G180">
        <v>0</v>
      </c>
      <c r="H180">
        <v>0</v>
      </c>
      <c r="I180">
        <v>0</v>
      </c>
      <c r="J180" t="s">
        <v>377</v>
      </c>
      <c r="K180" t="s">
        <v>1743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42292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1743</v>
      </c>
    </row>
    <row r="182" spans="1:11">
      <c r="A182">
        <v>0</v>
      </c>
      <c r="B182" t="s">
        <v>38</v>
      </c>
      <c r="C182">
        <v>21243</v>
      </c>
      <c r="D182">
        <v>2368</v>
      </c>
      <c r="E182">
        <v>6155081</v>
      </c>
      <c r="F182">
        <v>26218</v>
      </c>
      <c r="G182">
        <v>14719</v>
      </c>
      <c r="H182">
        <v>1982</v>
      </c>
      <c r="I182">
        <v>185</v>
      </c>
      <c r="J182" t="s">
        <v>378</v>
      </c>
      <c r="K182" t="s">
        <v>1743</v>
      </c>
    </row>
    <row r="183" spans="1:11">
      <c r="A183">
        <v>1</v>
      </c>
      <c r="B183" t="s">
        <v>39</v>
      </c>
      <c r="C183">
        <v>8</v>
      </c>
      <c r="D183">
        <v>3664</v>
      </c>
      <c r="E183">
        <v>2580</v>
      </c>
      <c r="F183">
        <v>19528</v>
      </c>
      <c r="G183">
        <v>0</v>
      </c>
      <c r="H183">
        <v>186</v>
      </c>
      <c r="I183">
        <v>2</v>
      </c>
      <c r="J183" t="s">
        <v>378</v>
      </c>
      <c r="K183" t="s">
        <v>1743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144</v>
      </c>
      <c r="G184">
        <v>0</v>
      </c>
      <c r="H184">
        <v>0</v>
      </c>
      <c r="I184">
        <v>0</v>
      </c>
      <c r="J184" t="s">
        <v>378</v>
      </c>
      <c r="K184" t="s">
        <v>1743</v>
      </c>
    </row>
    <row r="185" spans="1:11">
      <c r="A185">
        <v>3</v>
      </c>
      <c r="B185" t="s">
        <v>41</v>
      </c>
      <c r="C185">
        <v>169</v>
      </c>
      <c r="D185">
        <v>0</v>
      </c>
      <c r="E185">
        <v>0</v>
      </c>
      <c r="F185">
        <v>15</v>
      </c>
      <c r="G185">
        <v>0</v>
      </c>
      <c r="H185">
        <v>0</v>
      </c>
      <c r="I185">
        <v>0</v>
      </c>
      <c r="J185" t="s">
        <v>378</v>
      </c>
      <c r="K185" t="s">
        <v>1743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139844</v>
      </c>
      <c r="F186">
        <v>32978</v>
      </c>
      <c r="G186">
        <v>0</v>
      </c>
      <c r="H186">
        <v>0</v>
      </c>
      <c r="I186">
        <v>0</v>
      </c>
      <c r="J186" t="s">
        <v>378</v>
      </c>
      <c r="K186" t="s">
        <v>1743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187114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1743</v>
      </c>
    </row>
    <row r="188" spans="1:11">
      <c r="A188">
        <v>0</v>
      </c>
      <c r="B188" t="s">
        <v>38</v>
      </c>
      <c r="C188">
        <v>5216</v>
      </c>
      <c r="D188">
        <v>581</v>
      </c>
      <c r="E188">
        <v>1511336</v>
      </c>
      <c r="F188">
        <v>6438</v>
      </c>
      <c r="G188">
        <v>3614</v>
      </c>
      <c r="H188">
        <v>487</v>
      </c>
      <c r="I188">
        <v>45</v>
      </c>
      <c r="J188" t="s">
        <v>379</v>
      </c>
      <c r="K188" t="s">
        <v>1743</v>
      </c>
    </row>
    <row r="189" spans="1:11">
      <c r="A189">
        <v>1</v>
      </c>
      <c r="B189" t="s">
        <v>39</v>
      </c>
      <c r="C189">
        <v>3</v>
      </c>
      <c r="D189">
        <v>1382</v>
      </c>
      <c r="E189">
        <v>973</v>
      </c>
      <c r="F189">
        <v>7366</v>
      </c>
      <c r="G189">
        <v>0</v>
      </c>
      <c r="H189">
        <v>70</v>
      </c>
      <c r="I189">
        <v>1</v>
      </c>
      <c r="J189" t="s">
        <v>379</v>
      </c>
      <c r="K189" t="s">
        <v>1743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24</v>
      </c>
      <c r="G190">
        <v>0</v>
      </c>
      <c r="H190">
        <v>0</v>
      </c>
      <c r="I190">
        <v>0</v>
      </c>
      <c r="J190" t="s">
        <v>379</v>
      </c>
      <c r="K190" t="s">
        <v>1743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34</v>
      </c>
      <c r="G191">
        <v>0</v>
      </c>
      <c r="H191">
        <v>0</v>
      </c>
      <c r="I191">
        <v>0</v>
      </c>
      <c r="J191" t="s">
        <v>379</v>
      </c>
      <c r="K191" t="s">
        <v>1743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31408</v>
      </c>
      <c r="F192">
        <v>7407</v>
      </c>
      <c r="G192">
        <v>0</v>
      </c>
      <c r="H192">
        <v>0</v>
      </c>
      <c r="I192">
        <v>0</v>
      </c>
      <c r="J192" t="s">
        <v>379</v>
      </c>
      <c r="K192" t="s">
        <v>1743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55551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1743</v>
      </c>
    </row>
    <row r="194" spans="1:11">
      <c r="A194">
        <v>0</v>
      </c>
      <c r="B194" t="s">
        <v>38</v>
      </c>
      <c r="C194">
        <v>8590</v>
      </c>
      <c r="D194">
        <v>957</v>
      </c>
      <c r="E194">
        <v>2488805</v>
      </c>
      <c r="F194">
        <v>10601</v>
      </c>
      <c r="G194">
        <v>5952</v>
      </c>
      <c r="H194">
        <v>802</v>
      </c>
      <c r="I194">
        <v>75</v>
      </c>
      <c r="J194" t="s">
        <v>380</v>
      </c>
      <c r="K194" t="s">
        <v>1743</v>
      </c>
    </row>
    <row r="195" spans="1:11">
      <c r="A195">
        <v>1</v>
      </c>
      <c r="B195" t="s">
        <v>39</v>
      </c>
      <c r="C195">
        <v>1</v>
      </c>
      <c r="D195">
        <v>602</v>
      </c>
      <c r="E195">
        <v>424</v>
      </c>
      <c r="F195">
        <v>3209</v>
      </c>
      <c r="G195">
        <v>0</v>
      </c>
      <c r="H195">
        <v>31</v>
      </c>
      <c r="I195">
        <v>0</v>
      </c>
      <c r="J195" t="s">
        <v>380</v>
      </c>
      <c r="K195" t="s">
        <v>1743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161</v>
      </c>
      <c r="G196">
        <v>0</v>
      </c>
      <c r="H196">
        <v>0</v>
      </c>
      <c r="I196">
        <v>0</v>
      </c>
      <c r="J196" t="s">
        <v>380</v>
      </c>
      <c r="K196" t="s">
        <v>1743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 t="s">
        <v>380</v>
      </c>
      <c r="K197" t="s">
        <v>1743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41569</v>
      </c>
      <c r="F198">
        <v>9803</v>
      </c>
      <c r="G198">
        <v>0</v>
      </c>
      <c r="H198">
        <v>0</v>
      </c>
      <c r="I198">
        <v>0</v>
      </c>
      <c r="J198" t="s">
        <v>380</v>
      </c>
      <c r="K198" t="s">
        <v>1743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79454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1743</v>
      </c>
    </row>
    <row r="200" spans="1:11">
      <c r="A200">
        <v>0</v>
      </c>
      <c r="B200" t="s">
        <v>38</v>
      </c>
      <c r="C200">
        <v>35384</v>
      </c>
      <c r="D200">
        <v>3944</v>
      </c>
      <c r="E200">
        <v>10252510</v>
      </c>
      <c r="F200">
        <v>43671</v>
      </c>
      <c r="G200">
        <v>24517</v>
      </c>
      <c r="H200">
        <v>3302</v>
      </c>
      <c r="I200">
        <v>308</v>
      </c>
      <c r="J200" t="s">
        <v>381</v>
      </c>
      <c r="K200" t="s">
        <v>1743</v>
      </c>
    </row>
    <row r="201" spans="1:11">
      <c r="A201">
        <v>1</v>
      </c>
      <c r="B201" t="s">
        <v>39</v>
      </c>
      <c r="C201">
        <v>24</v>
      </c>
      <c r="D201">
        <v>11531</v>
      </c>
      <c r="E201">
        <v>8117</v>
      </c>
      <c r="F201">
        <v>61448</v>
      </c>
      <c r="G201">
        <v>0</v>
      </c>
      <c r="H201">
        <v>586</v>
      </c>
      <c r="I201">
        <v>7</v>
      </c>
      <c r="J201" t="s">
        <v>381</v>
      </c>
      <c r="K201" t="s">
        <v>1743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329</v>
      </c>
      <c r="G202">
        <v>0</v>
      </c>
      <c r="H202">
        <v>0</v>
      </c>
      <c r="I202">
        <v>0</v>
      </c>
      <c r="J202" t="s">
        <v>381</v>
      </c>
      <c r="K202" t="s">
        <v>1743</v>
      </c>
    </row>
    <row r="203" spans="1:11">
      <c r="A203">
        <v>3</v>
      </c>
      <c r="B203" t="s">
        <v>41</v>
      </c>
      <c r="C203">
        <v>786</v>
      </c>
      <c r="D203">
        <v>0</v>
      </c>
      <c r="E203">
        <v>0</v>
      </c>
      <c r="F203">
        <v>1</v>
      </c>
      <c r="G203">
        <v>0</v>
      </c>
      <c r="H203">
        <v>0</v>
      </c>
      <c r="I203">
        <v>0</v>
      </c>
      <c r="J203" t="s">
        <v>381</v>
      </c>
      <c r="K203" t="s">
        <v>1743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424132</v>
      </c>
      <c r="F204">
        <v>100019</v>
      </c>
      <c r="G204">
        <v>0</v>
      </c>
      <c r="H204">
        <v>0</v>
      </c>
      <c r="I204">
        <v>0</v>
      </c>
      <c r="J204" t="s">
        <v>381</v>
      </c>
      <c r="K204" t="s">
        <v>1743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352803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1743</v>
      </c>
    </row>
    <row r="206" spans="1:11">
      <c r="A206">
        <v>0</v>
      </c>
      <c r="B206" t="s">
        <v>38</v>
      </c>
      <c r="C206">
        <v>35511</v>
      </c>
      <c r="D206">
        <v>3958</v>
      </c>
      <c r="E206">
        <v>10289073</v>
      </c>
      <c r="F206">
        <v>43827</v>
      </c>
      <c r="G206">
        <v>24605</v>
      </c>
      <c r="H206">
        <v>3314</v>
      </c>
      <c r="I206">
        <v>309</v>
      </c>
      <c r="J206" t="s">
        <v>382</v>
      </c>
      <c r="K206" t="s">
        <v>1743</v>
      </c>
    </row>
    <row r="207" spans="1:11">
      <c r="A207">
        <v>1</v>
      </c>
      <c r="B207" t="s">
        <v>39</v>
      </c>
      <c r="C207">
        <v>12</v>
      </c>
      <c r="D207">
        <v>5856</v>
      </c>
      <c r="E207">
        <v>4122</v>
      </c>
      <c r="F207">
        <v>31206</v>
      </c>
      <c r="G207">
        <v>0</v>
      </c>
      <c r="H207">
        <v>297</v>
      </c>
      <c r="I207">
        <v>4</v>
      </c>
      <c r="J207" t="s">
        <v>382</v>
      </c>
      <c r="K207" t="s">
        <v>1743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63</v>
      </c>
      <c r="G208">
        <v>0</v>
      </c>
      <c r="H208">
        <v>0</v>
      </c>
      <c r="I208">
        <v>0</v>
      </c>
      <c r="J208" t="s">
        <v>382</v>
      </c>
      <c r="K208" t="s">
        <v>1743</v>
      </c>
    </row>
    <row r="209" spans="1:11">
      <c r="A209">
        <v>3</v>
      </c>
      <c r="B209" t="s">
        <v>41</v>
      </c>
      <c r="C209">
        <v>34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 t="s">
        <v>382</v>
      </c>
      <c r="K209" t="s">
        <v>1743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283652</v>
      </c>
      <c r="F210">
        <v>66891</v>
      </c>
      <c r="G210">
        <v>0</v>
      </c>
      <c r="H210">
        <v>0</v>
      </c>
      <c r="I210">
        <v>0</v>
      </c>
      <c r="J210" t="s">
        <v>382</v>
      </c>
      <c r="K210" t="s">
        <v>1743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329985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1743</v>
      </c>
    </row>
    <row r="212" spans="1:11">
      <c r="A212">
        <v>0</v>
      </c>
      <c r="B212" t="s">
        <v>38</v>
      </c>
      <c r="C212">
        <v>10231</v>
      </c>
      <c r="D212">
        <v>1140</v>
      </c>
      <c r="E212">
        <v>2964389</v>
      </c>
      <c r="F212">
        <v>12627</v>
      </c>
      <c r="G212">
        <v>7089</v>
      </c>
      <c r="H212">
        <v>955</v>
      </c>
      <c r="I212">
        <v>89</v>
      </c>
      <c r="J212" t="s">
        <v>383</v>
      </c>
      <c r="K212" t="s">
        <v>1743</v>
      </c>
    </row>
    <row r="213" spans="1:11">
      <c r="A213">
        <v>1</v>
      </c>
      <c r="B213" t="s">
        <v>39</v>
      </c>
      <c r="C213">
        <v>1</v>
      </c>
      <c r="D213">
        <v>401</v>
      </c>
      <c r="E213">
        <v>282</v>
      </c>
      <c r="F213">
        <v>2137</v>
      </c>
      <c r="G213">
        <v>0</v>
      </c>
      <c r="H213">
        <v>20</v>
      </c>
      <c r="I213">
        <v>0</v>
      </c>
      <c r="J213" t="s">
        <v>383</v>
      </c>
      <c r="K213" t="s">
        <v>1743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24</v>
      </c>
      <c r="G214">
        <v>0</v>
      </c>
      <c r="H214">
        <v>0</v>
      </c>
      <c r="I214">
        <v>0</v>
      </c>
      <c r="J214" t="s">
        <v>383</v>
      </c>
      <c r="K214" t="s">
        <v>1743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 t="s">
        <v>383</v>
      </c>
      <c r="K215" t="s">
        <v>1743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180831</v>
      </c>
      <c r="F216">
        <v>42643</v>
      </c>
      <c r="G216">
        <v>0</v>
      </c>
      <c r="H216">
        <v>0</v>
      </c>
      <c r="I216">
        <v>0</v>
      </c>
      <c r="J216" t="s">
        <v>383</v>
      </c>
      <c r="K216" t="s">
        <v>1743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116209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1743</v>
      </c>
    </row>
    <row r="218" spans="1:11">
      <c r="A218">
        <v>0</v>
      </c>
      <c r="B218" t="s">
        <v>38</v>
      </c>
      <c r="C218">
        <v>12045</v>
      </c>
      <c r="D218">
        <v>1343</v>
      </c>
      <c r="E218">
        <v>3490004</v>
      </c>
      <c r="F218">
        <v>14866</v>
      </c>
      <c r="G218">
        <v>8346</v>
      </c>
      <c r="H218">
        <v>1124</v>
      </c>
      <c r="I218">
        <v>105</v>
      </c>
      <c r="J218" t="s">
        <v>384</v>
      </c>
      <c r="K218" t="s">
        <v>1743</v>
      </c>
    </row>
    <row r="219" spans="1:11">
      <c r="A219">
        <v>1</v>
      </c>
      <c r="B219" t="s">
        <v>39</v>
      </c>
      <c r="C219">
        <v>5</v>
      </c>
      <c r="D219">
        <v>2519</v>
      </c>
      <c r="E219">
        <v>1773</v>
      </c>
      <c r="F219">
        <v>13422</v>
      </c>
      <c r="G219">
        <v>0</v>
      </c>
      <c r="H219">
        <v>128</v>
      </c>
      <c r="I219">
        <v>2</v>
      </c>
      <c r="J219" t="s">
        <v>384</v>
      </c>
      <c r="K219" t="s">
        <v>1743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68</v>
      </c>
      <c r="G220">
        <v>0</v>
      </c>
      <c r="H220">
        <v>0</v>
      </c>
      <c r="I220">
        <v>0</v>
      </c>
      <c r="J220" t="s">
        <v>384</v>
      </c>
      <c r="K220" t="s">
        <v>1743</v>
      </c>
    </row>
    <row r="221" spans="1:11">
      <c r="A221">
        <v>3</v>
      </c>
      <c r="B221" t="s">
        <v>41</v>
      </c>
      <c r="C221">
        <v>55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 t="s">
        <v>384</v>
      </c>
      <c r="K221" t="s">
        <v>1743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152781</v>
      </c>
      <c r="F222">
        <v>36029</v>
      </c>
      <c r="G222">
        <v>0</v>
      </c>
      <c r="H222">
        <v>0</v>
      </c>
      <c r="I222">
        <v>0</v>
      </c>
      <c r="J222" t="s">
        <v>384</v>
      </c>
      <c r="K222" t="s">
        <v>1743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127586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1743</v>
      </c>
    </row>
    <row r="224" spans="1:11">
      <c r="A224">
        <v>0</v>
      </c>
      <c r="B224" t="s">
        <v>38</v>
      </c>
      <c r="C224">
        <v>33804</v>
      </c>
      <c r="D224">
        <v>3768</v>
      </c>
      <c r="E224">
        <v>9794636</v>
      </c>
      <c r="F224">
        <v>41721</v>
      </c>
      <c r="G224">
        <v>23422</v>
      </c>
      <c r="H224">
        <v>3154</v>
      </c>
      <c r="I224">
        <v>294</v>
      </c>
      <c r="J224" t="s">
        <v>385</v>
      </c>
      <c r="K224" t="s">
        <v>1743</v>
      </c>
    </row>
    <row r="225" spans="1:11">
      <c r="A225">
        <v>1</v>
      </c>
      <c r="B225" t="s">
        <v>39</v>
      </c>
      <c r="C225">
        <v>16</v>
      </c>
      <c r="D225">
        <v>7802</v>
      </c>
      <c r="E225">
        <v>5492</v>
      </c>
      <c r="F225">
        <v>41577</v>
      </c>
      <c r="G225">
        <v>0</v>
      </c>
      <c r="H225">
        <v>396</v>
      </c>
      <c r="I225">
        <v>5</v>
      </c>
      <c r="J225" t="s">
        <v>385</v>
      </c>
      <c r="K225" t="s">
        <v>1743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135</v>
      </c>
      <c r="G226">
        <v>0</v>
      </c>
      <c r="H226">
        <v>0</v>
      </c>
      <c r="I226">
        <v>0</v>
      </c>
      <c r="J226" t="s">
        <v>385</v>
      </c>
      <c r="K226" t="s">
        <v>1743</v>
      </c>
    </row>
    <row r="227" spans="1:11">
      <c r="A227">
        <v>3</v>
      </c>
      <c r="B227" t="s">
        <v>41</v>
      </c>
      <c r="C227">
        <v>176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 t="s">
        <v>385</v>
      </c>
      <c r="K227" t="s">
        <v>1743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269406</v>
      </c>
      <c r="F228">
        <v>63531</v>
      </c>
      <c r="G228">
        <v>0</v>
      </c>
      <c r="H228">
        <v>0</v>
      </c>
      <c r="I228">
        <v>0</v>
      </c>
      <c r="J228" t="s">
        <v>385</v>
      </c>
      <c r="K228" t="s">
        <v>1743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333034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1743</v>
      </c>
    </row>
    <row r="230" spans="1:11">
      <c r="A230">
        <v>0</v>
      </c>
      <c r="B230" t="s">
        <v>38</v>
      </c>
      <c r="C230">
        <v>3191</v>
      </c>
      <c r="D230">
        <v>356</v>
      </c>
      <c r="E230">
        <v>924711</v>
      </c>
      <c r="F230">
        <v>3939</v>
      </c>
      <c r="G230">
        <v>2211</v>
      </c>
      <c r="H230">
        <v>298</v>
      </c>
      <c r="I230">
        <v>28</v>
      </c>
      <c r="J230" t="s">
        <v>386</v>
      </c>
      <c r="K230" t="s">
        <v>1743</v>
      </c>
    </row>
    <row r="231" spans="1:11">
      <c r="A231">
        <v>1</v>
      </c>
      <c r="B231" t="s">
        <v>39</v>
      </c>
      <c r="C231">
        <v>1</v>
      </c>
      <c r="D231">
        <v>321</v>
      </c>
      <c r="E231">
        <v>226</v>
      </c>
      <c r="F231">
        <v>1713</v>
      </c>
      <c r="G231">
        <v>0</v>
      </c>
      <c r="H231">
        <v>16</v>
      </c>
      <c r="I231">
        <v>0</v>
      </c>
      <c r="J231" t="s">
        <v>386</v>
      </c>
      <c r="K231" t="s">
        <v>1743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24</v>
      </c>
      <c r="G232">
        <v>0</v>
      </c>
      <c r="H232">
        <v>0</v>
      </c>
      <c r="I232">
        <v>0</v>
      </c>
      <c r="J232" t="s">
        <v>386</v>
      </c>
      <c r="K232" t="s">
        <v>1743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 t="s">
        <v>386</v>
      </c>
      <c r="K233" t="s">
        <v>1743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35172</v>
      </c>
      <c r="F234">
        <v>8294</v>
      </c>
      <c r="G234">
        <v>0</v>
      </c>
      <c r="H234">
        <v>0</v>
      </c>
      <c r="I234">
        <v>0</v>
      </c>
      <c r="J234" t="s">
        <v>386</v>
      </c>
      <c r="K234" t="s">
        <v>1743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26997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1743</v>
      </c>
    </row>
    <row r="236" spans="1:11">
      <c r="A236">
        <v>0</v>
      </c>
      <c r="B236" t="s">
        <v>38</v>
      </c>
      <c r="C236">
        <v>14774</v>
      </c>
      <c r="D236">
        <v>1647</v>
      </c>
      <c r="E236">
        <v>4280848</v>
      </c>
      <c r="F236">
        <v>18234</v>
      </c>
      <c r="G236">
        <v>10237</v>
      </c>
      <c r="H236">
        <v>1379</v>
      </c>
      <c r="I236">
        <v>128</v>
      </c>
      <c r="J236" t="s">
        <v>387</v>
      </c>
      <c r="K236" t="s">
        <v>1743</v>
      </c>
    </row>
    <row r="237" spans="1:11">
      <c r="A237">
        <v>1</v>
      </c>
      <c r="B237" t="s">
        <v>39</v>
      </c>
      <c r="C237">
        <v>5</v>
      </c>
      <c r="D237">
        <v>2324</v>
      </c>
      <c r="E237">
        <v>1636</v>
      </c>
      <c r="F237">
        <v>12387</v>
      </c>
      <c r="G237">
        <v>0</v>
      </c>
      <c r="H237">
        <v>118</v>
      </c>
      <c r="I237">
        <v>1</v>
      </c>
      <c r="J237" t="s">
        <v>387</v>
      </c>
      <c r="K237" t="s">
        <v>1743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  <c r="J238" t="s">
        <v>387</v>
      </c>
      <c r="K238" t="s">
        <v>1743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 t="s">
        <v>387</v>
      </c>
      <c r="K239" t="s">
        <v>1743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409232</v>
      </c>
      <c r="F240">
        <v>96505</v>
      </c>
      <c r="G240">
        <v>0</v>
      </c>
      <c r="H240">
        <v>0</v>
      </c>
      <c r="I240">
        <v>0</v>
      </c>
      <c r="J240" t="s">
        <v>387</v>
      </c>
      <c r="K240" t="s">
        <v>1743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142099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1743</v>
      </c>
    </row>
    <row r="242" spans="1:11">
      <c r="A242">
        <v>0</v>
      </c>
      <c r="B242" t="s">
        <v>38</v>
      </c>
      <c r="C242">
        <v>2717</v>
      </c>
      <c r="D242">
        <v>303</v>
      </c>
      <c r="E242">
        <v>787213</v>
      </c>
      <c r="F242">
        <v>3353</v>
      </c>
      <c r="G242">
        <v>1883</v>
      </c>
      <c r="H242">
        <v>254</v>
      </c>
      <c r="I242">
        <v>24</v>
      </c>
      <c r="J242" t="s">
        <v>388</v>
      </c>
      <c r="K242" t="s">
        <v>1743</v>
      </c>
    </row>
    <row r="243" spans="1:11">
      <c r="A243">
        <v>1</v>
      </c>
      <c r="B243" t="s">
        <v>39</v>
      </c>
      <c r="C243">
        <v>1</v>
      </c>
      <c r="D243">
        <v>377</v>
      </c>
      <c r="E243">
        <v>265</v>
      </c>
      <c r="F243">
        <v>2008</v>
      </c>
      <c r="G243">
        <v>0</v>
      </c>
      <c r="H243">
        <v>19</v>
      </c>
      <c r="I243">
        <v>0</v>
      </c>
      <c r="J243" t="s">
        <v>388</v>
      </c>
      <c r="K243" t="s">
        <v>1743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24</v>
      </c>
      <c r="G244">
        <v>0</v>
      </c>
      <c r="H244">
        <v>0</v>
      </c>
      <c r="I244">
        <v>0</v>
      </c>
      <c r="J244" t="s">
        <v>388</v>
      </c>
      <c r="K244" t="s">
        <v>1743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 t="s">
        <v>388</v>
      </c>
      <c r="K245" t="s">
        <v>1743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49201</v>
      </c>
      <c r="F246">
        <v>11603</v>
      </c>
      <c r="G246">
        <v>0</v>
      </c>
      <c r="H246">
        <v>0</v>
      </c>
      <c r="I246">
        <v>0</v>
      </c>
      <c r="J246" t="s">
        <v>388</v>
      </c>
      <c r="K246" t="s">
        <v>1743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40321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1743</v>
      </c>
    </row>
    <row r="248" spans="1:11">
      <c r="A248">
        <v>0</v>
      </c>
      <c r="B248" t="s">
        <v>38</v>
      </c>
      <c r="C248">
        <v>17686</v>
      </c>
      <c r="D248">
        <v>1971</v>
      </c>
      <c r="E248">
        <v>5124458</v>
      </c>
      <c r="F248">
        <v>21828</v>
      </c>
      <c r="G248">
        <v>12254</v>
      </c>
      <c r="H248">
        <v>1650</v>
      </c>
      <c r="I248">
        <v>154</v>
      </c>
      <c r="J248" t="s">
        <v>389</v>
      </c>
      <c r="K248" t="s">
        <v>1743</v>
      </c>
    </row>
    <row r="249" spans="1:11">
      <c r="A249">
        <v>1</v>
      </c>
      <c r="B249" t="s">
        <v>39</v>
      </c>
      <c r="C249">
        <v>9</v>
      </c>
      <c r="D249">
        <v>4173</v>
      </c>
      <c r="E249">
        <v>2938</v>
      </c>
      <c r="F249">
        <v>22238</v>
      </c>
      <c r="G249">
        <v>0</v>
      </c>
      <c r="H249">
        <v>212</v>
      </c>
      <c r="I249">
        <v>3</v>
      </c>
      <c r="J249" t="s">
        <v>389</v>
      </c>
      <c r="K249" t="s">
        <v>1743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79</v>
      </c>
      <c r="G250">
        <v>0</v>
      </c>
      <c r="H250">
        <v>0</v>
      </c>
      <c r="I250">
        <v>0</v>
      </c>
      <c r="J250" t="s">
        <v>389</v>
      </c>
      <c r="K250" t="s">
        <v>1743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34</v>
      </c>
      <c r="G251">
        <v>0</v>
      </c>
      <c r="H251">
        <v>0</v>
      </c>
      <c r="I251">
        <v>0</v>
      </c>
      <c r="J251" t="s">
        <v>389</v>
      </c>
      <c r="K251" t="s">
        <v>1743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238465</v>
      </c>
      <c r="F252">
        <v>56235</v>
      </c>
      <c r="G252">
        <v>0</v>
      </c>
      <c r="H252">
        <v>0</v>
      </c>
      <c r="I252">
        <v>0</v>
      </c>
      <c r="J252" t="s">
        <v>389</v>
      </c>
      <c r="K252" t="s">
        <v>1743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182414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1743</v>
      </c>
    </row>
    <row r="254" spans="1:11">
      <c r="A254">
        <v>0</v>
      </c>
      <c r="B254" t="s">
        <v>38</v>
      </c>
      <c r="C254">
        <v>67614</v>
      </c>
      <c r="D254">
        <v>7537</v>
      </c>
      <c r="E254">
        <v>19590794</v>
      </c>
      <c r="F254">
        <v>83448</v>
      </c>
      <c r="G254">
        <v>46848</v>
      </c>
      <c r="H254">
        <v>6309</v>
      </c>
      <c r="I254">
        <v>588</v>
      </c>
      <c r="J254" t="s">
        <v>390</v>
      </c>
      <c r="K254" t="s">
        <v>1743</v>
      </c>
    </row>
    <row r="255" spans="1:11">
      <c r="A255">
        <v>1</v>
      </c>
      <c r="B255" t="s">
        <v>39</v>
      </c>
      <c r="C255">
        <v>21</v>
      </c>
      <c r="D255">
        <v>10013</v>
      </c>
      <c r="E255">
        <v>7049</v>
      </c>
      <c r="F255">
        <v>53361</v>
      </c>
      <c r="G255">
        <v>0</v>
      </c>
      <c r="H255">
        <v>508</v>
      </c>
      <c r="I255">
        <v>6</v>
      </c>
      <c r="J255" t="s">
        <v>390</v>
      </c>
      <c r="K255" t="s">
        <v>1743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544</v>
      </c>
      <c r="G256">
        <v>0</v>
      </c>
      <c r="H256">
        <v>0</v>
      </c>
      <c r="I256">
        <v>0</v>
      </c>
      <c r="J256" t="s">
        <v>390</v>
      </c>
      <c r="K256" t="s">
        <v>1743</v>
      </c>
    </row>
    <row r="257" spans="1:11">
      <c r="A257">
        <v>3</v>
      </c>
      <c r="B257" t="s">
        <v>41</v>
      </c>
      <c r="C257">
        <v>67</v>
      </c>
      <c r="D257">
        <v>0</v>
      </c>
      <c r="E257">
        <v>0</v>
      </c>
      <c r="F257">
        <v>14</v>
      </c>
      <c r="G257">
        <v>0</v>
      </c>
      <c r="H257">
        <v>0</v>
      </c>
      <c r="I257">
        <v>0</v>
      </c>
      <c r="J257" t="s">
        <v>390</v>
      </c>
      <c r="K257" t="s">
        <v>1743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524737</v>
      </c>
      <c r="F258">
        <v>123743</v>
      </c>
      <c r="G258">
        <v>0</v>
      </c>
      <c r="H258">
        <v>0</v>
      </c>
      <c r="I258">
        <v>0</v>
      </c>
      <c r="J258" t="s">
        <v>390</v>
      </c>
      <c r="K258" t="s">
        <v>1743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698440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1743</v>
      </c>
    </row>
    <row r="260" spans="1:11">
      <c r="A260">
        <v>0</v>
      </c>
      <c r="B260" t="s">
        <v>38</v>
      </c>
      <c r="C260">
        <v>7546</v>
      </c>
      <c r="D260">
        <v>841</v>
      </c>
      <c r="E260">
        <v>2186564</v>
      </c>
      <c r="F260">
        <v>9314</v>
      </c>
      <c r="G260">
        <v>5229</v>
      </c>
      <c r="H260">
        <v>704</v>
      </c>
      <c r="I260">
        <v>66</v>
      </c>
      <c r="J260" t="s">
        <v>395</v>
      </c>
      <c r="K260" t="s">
        <v>1743</v>
      </c>
    </row>
    <row r="261" spans="1:11">
      <c r="A261">
        <v>1</v>
      </c>
      <c r="B261" t="s">
        <v>39</v>
      </c>
      <c r="C261">
        <v>2</v>
      </c>
      <c r="D261">
        <v>906</v>
      </c>
      <c r="E261">
        <v>638</v>
      </c>
      <c r="F261">
        <v>4830</v>
      </c>
      <c r="G261">
        <v>0</v>
      </c>
      <c r="H261">
        <v>46</v>
      </c>
      <c r="I261">
        <v>1</v>
      </c>
      <c r="J261" t="s">
        <v>395</v>
      </c>
      <c r="K261" t="s">
        <v>1743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78</v>
      </c>
      <c r="G262">
        <v>0</v>
      </c>
      <c r="H262">
        <v>0</v>
      </c>
      <c r="I262">
        <v>0</v>
      </c>
      <c r="J262" t="s">
        <v>395</v>
      </c>
      <c r="K262" t="s">
        <v>1743</v>
      </c>
    </row>
    <row r="263" spans="1:11">
      <c r="A263">
        <v>3</v>
      </c>
      <c r="B263" t="s">
        <v>41</v>
      </c>
      <c r="C263">
        <v>30</v>
      </c>
      <c r="D263">
        <v>0</v>
      </c>
      <c r="E263">
        <v>0</v>
      </c>
      <c r="F263">
        <v>4</v>
      </c>
      <c r="G263">
        <v>0</v>
      </c>
      <c r="H263">
        <v>0</v>
      </c>
      <c r="I263">
        <v>0</v>
      </c>
      <c r="J263" t="s">
        <v>395</v>
      </c>
      <c r="K263" t="s">
        <v>1743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60457</v>
      </c>
      <c r="F264">
        <v>14257</v>
      </c>
      <c r="G264">
        <v>0</v>
      </c>
      <c r="H264">
        <v>0</v>
      </c>
      <c r="I264">
        <v>0</v>
      </c>
      <c r="J264" t="s">
        <v>395</v>
      </c>
      <c r="K264" t="s">
        <v>1743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77248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1743</v>
      </c>
    </row>
    <row r="266" spans="1:11">
      <c r="A266">
        <v>0</v>
      </c>
      <c r="B266" t="s">
        <v>38</v>
      </c>
      <c r="C266">
        <v>25558</v>
      </c>
      <c r="D266">
        <v>2849</v>
      </c>
      <c r="E266">
        <v>7405243</v>
      </c>
      <c r="F266">
        <v>31543</v>
      </c>
      <c r="G266">
        <v>17709</v>
      </c>
      <c r="H266">
        <v>2385</v>
      </c>
      <c r="I266">
        <v>222</v>
      </c>
      <c r="J266" t="s">
        <v>396</v>
      </c>
      <c r="K266" t="s">
        <v>1743</v>
      </c>
    </row>
    <row r="267" spans="1:11">
      <c r="A267">
        <v>1</v>
      </c>
      <c r="B267" t="s">
        <v>39</v>
      </c>
      <c r="C267">
        <v>11</v>
      </c>
      <c r="D267">
        <v>5006</v>
      </c>
      <c r="E267">
        <v>3524</v>
      </c>
      <c r="F267">
        <v>26678</v>
      </c>
      <c r="G267">
        <v>0</v>
      </c>
      <c r="H267">
        <v>254</v>
      </c>
      <c r="I267">
        <v>3</v>
      </c>
      <c r="J267" t="s">
        <v>396</v>
      </c>
      <c r="K267" t="s">
        <v>1743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171</v>
      </c>
      <c r="G268">
        <v>0</v>
      </c>
      <c r="H268">
        <v>0</v>
      </c>
      <c r="I268">
        <v>0</v>
      </c>
      <c r="J268" t="s">
        <v>396</v>
      </c>
      <c r="K268" t="s">
        <v>1743</v>
      </c>
    </row>
    <row r="269" spans="1:11">
      <c r="A269">
        <v>3</v>
      </c>
      <c r="B269" t="s">
        <v>41</v>
      </c>
      <c r="C269">
        <v>19</v>
      </c>
      <c r="D269">
        <v>0</v>
      </c>
      <c r="E269">
        <v>0</v>
      </c>
      <c r="F269">
        <v>19</v>
      </c>
      <c r="G269">
        <v>0</v>
      </c>
      <c r="H269">
        <v>0</v>
      </c>
      <c r="I269">
        <v>0</v>
      </c>
      <c r="J269" t="s">
        <v>396</v>
      </c>
      <c r="K269" t="s">
        <v>1743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216250</v>
      </c>
      <c r="F270">
        <v>50996</v>
      </c>
      <c r="G270">
        <v>0</v>
      </c>
      <c r="H270">
        <v>0</v>
      </c>
      <c r="I270">
        <v>0</v>
      </c>
      <c r="J270" t="s">
        <v>396</v>
      </c>
      <c r="K270" t="s">
        <v>1743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236966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1743</v>
      </c>
    </row>
    <row r="272" spans="1:11">
      <c r="A272">
        <v>0</v>
      </c>
      <c r="B272" t="s">
        <v>38</v>
      </c>
      <c r="C272">
        <v>1617</v>
      </c>
      <c r="D272">
        <v>180</v>
      </c>
      <c r="E272">
        <v>468468</v>
      </c>
      <c r="F272">
        <v>1995</v>
      </c>
      <c r="G272">
        <v>1120</v>
      </c>
      <c r="H272">
        <v>151</v>
      </c>
      <c r="I272">
        <v>14</v>
      </c>
      <c r="J272" t="s">
        <v>397</v>
      </c>
      <c r="K272" t="s">
        <v>1743</v>
      </c>
    </row>
    <row r="273" spans="1:11">
      <c r="A273">
        <v>1</v>
      </c>
      <c r="B273" t="s">
        <v>39</v>
      </c>
      <c r="C273">
        <v>0</v>
      </c>
      <c r="D273">
        <v>196</v>
      </c>
      <c r="E273">
        <v>138</v>
      </c>
      <c r="F273">
        <v>1043</v>
      </c>
      <c r="G273">
        <v>0</v>
      </c>
      <c r="H273">
        <v>10</v>
      </c>
      <c r="I273">
        <v>0</v>
      </c>
      <c r="J273" t="s">
        <v>397</v>
      </c>
      <c r="K273" t="s">
        <v>1743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24</v>
      </c>
      <c r="G274">
        <v>0</v>
      </c>
      <c r="H274">
        <v>0</v>
      </c>
      <c r="I274">
        <v>0</v>
      </c>
      <c r="J274" t="s">
        <v>397</v>
      </c>
      <c r="K274" t="s">
        <v>1743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 t="s">
        <v>397</v>
      </c>
      <c r="K275" t="s">
        <v>1743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27856</v>
      </c>
      <c r="F276">
        <v>6569</v>
      </c>
      <c r="G276">
        <v>0</v>
      </c>
      <c r="H276">
        <v>0</v>
      </c>
      <c r="I276">
        <v>0</v>
      </c>
      <c r="J276" t="s">
        <v>397</v>
      </c>
      <c r="K276" t="s">
        <v>1743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18947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1743</v>
      </c>
    </row>
    <row r="278" spans="1:11">
      <c r="A278">
        <v>0</v>
      </c>
      <c r="B278" t="s">
        <v>38</v>
      </c>
      <c r="C278">
        <v>23410</v>
      </c>
      <c r="D278">
        <v>2609</v>
      </c>
      <c r="E278">
        <v>6783021</v>
      </c>
      <c r="F278">
        <v>28892</v>
      </c>
      <c r="G278">
        <v>16221</v>
      </c>
      <c r="H278">
        <v>2185</v>
      </c>
      <c r="I278">
        <v>203</v>
      </c>
      <c r="J278" t="s">
        <v>398</v>
      </c>
      <c r="K278" t="s">
        <v>1743</v>
      </c>
    </row>
    <row r="279" spans="1:11">
      <c r="A279">
        <v>1</v>
      </c>
      <c r="B279" t="s">
        <v>39</v>
      </c>
      <c r="C279">
        <v>7</v>
      </c>
      <c r="D279">
        <v>3412</v>
      </c>
      <c r="E279">
        <v>2402</v>
      </c>
      <c r="F279">
        <v>18184</v>
      </c>
      <c r="G279">
        <v>0</v>
      </c>
      <c r="H279">
        <v>173</v>
      </c>
      <c r="I279">
        <v>2</v>
      </c>
      <c r="J279" t="s">
        <v>398</v>
      </c>
      <c r="K279" t="s">
        <v>1743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169</v>
      </c>
      <c r="G280">
        <v>0</v>
      </c>
      <c r="H280">
        <v>0</v>
      </c>
      <c r="I280">
        <v>0</v>
      </c>
      <c r="J280" t="s">
        <v>398</v>
      </c>
      <c r="K280" t="s">
        <v>1743</v>
      </c>
    </row>
    <row r="281" spans="1:11">
      <c r="A281">
        <v>3</v>
      </c>
      <c r="B281" t="s">
        <v>41</v>
      </c>
      <c r="C281">
        <v>37</v>
      </c>
      <c r="D281">
        <v>0</v>
      </c>
      <c r="E281">
        <v>0</v>
      </c>
      <c r="F281">
        <v>3</v>
      </c>
      <c r="G281">
        <v>0</v>
      </c>
      <c r="H281">
        <v>0</v>
      </c>
      <c r="I281">
        <v>0</v>
      </c>
      <c r="J281" t="s">
        <v>398</v>
      </c>
      <c r="K281" t="s">
        <v>1743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212952</v>
      </c>
      <c r="F282">
        <v>50218</v>
      </c>
      <c r="G282">
        <v>0</v>
      </c>
      <c r="H282">
        <v>0</v>
      </c>
      <c r="I282">
        <v>0</v>
      </c>
      <c r="J282" t="s">
        <v>398</v>
      </c>
      <c r="K282" t="s">
        <v>1743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226092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1743</v>
      </c>
    </row>
    <row r="284" spans="1:11">
      <c r="A284">
        <v>0</v>
      </c>
      <c r="B284" t="s">
        <v>38</v>
      </c>
      <c r="C284">
        <v>15896</v>
      </c>
      <c r="D284">
        <v>1772</v>
      </c>
      <c r="E284">
        <v>4605782</v>
      </c>
      <c r="F284">
        <v>19618</v>
      </c>
      <c r="G284">
        <v>11014</v>
      </c>
      <c r="H284">
        <v>1483</v>
      </c>
      <c r="I284">
        <v>138</v>
      </c>
      <c r="J284" t="s">
        <v>399</v>
      </c>
      <c r="K284" t="s">
        <v>1743</v>
      </c>
    </row>
    <row r="285" spans="1:11">
      <c r="A285">
        <v>1</v>
      </c>
      <c r="B285" t="s">
        <v>39</v>
      </c>
      <c r="C285">
        <v>4</v>
      </c>
      <c r="D285">
        <v>2109</v>
      </c>
      <c r="E285">
        <v>1485</v>
      </c>
      <c r="F285">
        <v>11240</v>
      </c>
      <c r="G285">
        <v>0</v>
      </c>
      <c r="H285">
        <v>107</v>
      </c>
      <c r="I285">
        <v>1</v>
      </c>
      <c r="J285" t="s">
        <v>399</v>
      </c>
      <c r="K285" t="s">
        <v>1743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33</v>
      </c>
      <c r="G286">
        <v>0</v>
      </c>
      <c r="H286">
        <v>0</v>
      </c>
      <c r="I286">
        <v>0</v>
      </c>
      <c r="J286" t="s">
        <v>399</v>
      </c>
      <c r="K286" t="s">
        <v>1743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 t="s">
        <v>399</v>
      </c>
      <c r="K287" t="s">
        <v>1743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545931</v>
      </c>
      <c r="F288">
        <v>128741</v>
      </c>
      <c r="G288">
        <v>0</v>
      </c>
      <c r="H288">
        <v>0</v>
      </c>
      <c r="I288">
        <v>0</v>
      </c>
      <c r="J288" t="s">
        <v>399</v>
      </c>
      <c r="K288" t="s">
        <v>1743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174965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1743</v>
      </c>
    </row>
    <row r="290" spans="1:11">
      <c r="A290">
        <v>0</v>
      </c>
      <c r="B290" t="s">
        <v>38</v>
      </c>
      <c r="C290">
        <v>4252</v>
      </c>
      <c r="D290">
        <v>474</v>
      </c>
      <c r="E290">
        <v>1232077</v>
      </c>
      <c r="F290">
        <v>5248</v>
      </c>
      <c r="G290">
        <v>2946</v>
      </c>
      <c r="H290">
        <v>397</v>
      </c>
      <c r="I290">
        <v>37</v>
      </c>
      <c r="J290" t="s">
        <v>400</v>
      </c>
      <c r="K290" t="s">
        <v>1743</v>
      </c>
    </row>
    <row r="291" spans="1:11">
      <c r="A291">
        <v>1</v>
      </c>
      <c r="B291" t="s">
        <v>39</v>
      </c>
      <c r="C291">
        <v>1</v>
      </c>
      <c r="D291">
        <v>445</v>
      </c>
      <c r="E291">
        <v>314</v>
      </c>
      <c r="F291">
        <v>2373</v>
      </c>
      <c r="G291">
        <v>0</v>
      </c>
      <c r="H291">
        <v>23</v>
      </c>
      <c r="I291">
        <v>0</v>
      </c>
      <c r="J291" t="s">
        <v>400</v>
      </c>
      <c r="K291" t="s">
        <v>1743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24</v>
      </c>
      <c r="G292">
        <v>0</v>
      </c>
      <c r="H292">
        <v>0</v>
      </c>
      <c r="I292">
        <v>0</v>
      </c>
      <c r="J292" t="s">
        <v>400</v>
      </c>
      <c r="K292" t="s">
        <v>1743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 t="s">
        <v>400</v>
      </c>
      <c r="K293" t="s">
        <v>1743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57518</v>
      </c>
      <c r="F294">
        <v>13564</v>
      </c>
      <c r="G294">
        <v>0</v>
      </c>
      <c r="H294">
        <v>0</v>
      </c>
      <c r="I294">
        <v>0</v>
      </c>
      <c r="J294" t="s">
        <v>400</v>
      </c>
      <c r="K294" t="s">
        <v>1743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51632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1743</v>
      </c>
    </row>
    <row r="296" spans="1:11">
      <c r="A296">
        <v>0</v>
      </c>
      <c r="B296" t="s">
        <v>38</v>
      </c>
      <c r="C296">
        <v>1599</v>
      </c>
      <c r="D296">
        <v>178</v>
      </c>
      <c r="E296">
        <v>463442</v>
      </c>
      <c r="F296">
        <v>1974</v>
      </c>
      <c r="G296">
        <v>1108</v>
      </c>
      <c r="H296">
        <v>149</v>
      </c>
      <c r="I296">
        <v>14</v>
      </c>
      <c r="J296" t="s">
        <v>401</v>
      </c>
      <c r="K296" t="s">
        <v>1743</v>
      </c>
    </row>
    <row r="297" spans="1:11">
      <c r="A297">
        <v>1</v>
      </c>
      <c r="B297" t="s">
        <v>39</v>
      </c>
      <c r="C297">
        <v>1</v>
      </c>
      <c r="D297">
        <v>579</v>
      </c>
      <c r="E297">
        <v>408</v>
      </c>
      <c r="F297">
        <v>3085</v>
      </c>
      <c r="G297">
        <v>0</v>
      </c>
      <c r="H297">
        <v>29</v>
      </c>
      <c r="I297">
        <v>0</v>
      </c>
      <c r="J297" t="s">
        <v>401</v>
      </c>
      <c r="K297" t="s">
        <v>1743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24</v>
      </c>
      <c r="G298">
        <v>0</v>
      </c>
      <c r="H298">
        <v>0</v>
      </c>
      <c r="I298">
        <v>0</v>
      </c>
      <c r="J298" t="s">
        <v>401</v>
      </c>
      <c r="K298" t="s">
        <v>1743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 t="s">
        <v>401</v>
      </c>
      <c r="K299" t="s">
        <v>1743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24588</v>
      </c>
      <c r="F300">
        <v>5798</v>
      </c>
      <c r="G300">
        <v>0</v>
      </c>
      <c r="H300">
        <v>0</v>
      </c>
      <c r="I300">
        <v>0</v>
      </c>
      <c r="J300" t="s">
        <v>401</v>
      </c>
      <c r="K300" t="s">
        <v>1743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26824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topLeftCell="A277" workbookViewId="0">
      <selection activeCell="A2" sqref="A2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1742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1742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1742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1742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1742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1742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1742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1742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24</v>
      </c>
      <c r="G10">
        <v>0</v>
      </c>
      <c r="H10">
        <v>0</v>
      </c>
      <c r="I10">
        <v>0</v>
      </c>
      <c r="J10" t="s">
        <v>348</v>
      </c>
      <c r="K10" t="s">
        <v>1742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1742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1742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1742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1742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1742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24</v>
      </c>
      <c r="G16">
        <v>0</v>
      </c>
      <c r="H16">
        <v>0</v>
      </c>
      <c r="I16">
        <v>0</v>
      </c>
      <c r="J16" t="s">
        <v>349</v>
      </c>
      <c r="K16" t="s">
        <v>1742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1742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1742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1742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1742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1742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24</v>
      </c>
      <c r="G22">
        <v>0</v>
      </c>
      <c r="H22">
        <v>0</v>
      </c>
      <c r="I22">
        <v>0</v>
      </c>
      <c r="J22" t="s">
        <v>350</v>
      </c>
      <c r="K22" t="s">
        <v>1742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1742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1742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1742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1742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1742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1742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1742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1742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1742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1742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1742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24</v>
      </c>
      <c r="G34">
        <v>0</v>
      </c>
      <c r="H34">
        <v>0</v>
      </c>
      <c r="I34">
        <v>0</v>
      </c>
      <c r="J34" t="s">
        <v>352</v>
      </c>
      <c r="K34" t="s">
        <v>1742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1742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1742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1742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1742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1742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24</v>
      </c>
      <c r="G40">
        <v>0</v>
      </c>
      <c r="H40">
        <v>0</v>
      </c>
      <c r="I40">
        <v>0</v>
      </c>
      <c r="J40" t="s">
        <v>353</v>
      </c>
      <c r="K40" t="s">
        <v>1742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34</v>
      </c>
      <c r="G41">
        <v>0</v>
      </c>
      <c r="H41">
        <v>0</v>
      </c>
      <c r="I41">
        <v>0</v>
      </c>
      <c r="J41" t="s">
        <v>353</v>
      </c>
      <c r="K41" t="s">
        <v>1742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1742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1742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1742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1742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1742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34</v>
      </c>
      <c r="G47">
        <v>0</v>
      </c>
      <c r="H47">
        <v>0</v>
      </c>
      <c r="I47">
        <v>0</v>
      </c>
      <c r="J47" t="s">
        <v>355</v>
      </c>
      <c r="K47" t="s">
        <v>1742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1742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1742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1742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1742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1742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1742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1742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1742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1742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1742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24</v>
      </c>
      <c r="G58">
        <v>0</v>
      </c>
      <c r="H58">
        <v>0</v>
      </c>
      <c r="I58">
        <v>0</v>
      </c>
      <c r="J58" t="s">
        <v>357</v>
      </c>
      <c r="K58" t="s">
        <v>1742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1742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1742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1742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1742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1742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1742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1742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1742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1742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1742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1742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24</v>
      </c>
      <c r="G70">
        <v>0</v>
      </c>
      <c r="H70">
        <v>0</v>
      </c>
      <c r="I70">
        <v>0</v>
      </c>
      <c r="J70" t="s">
        <v>359</v>
      </c>
      <c r="K70" t="s">
        <v>1742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1742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1742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1742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1742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1742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24</v>
      </c>
      <c r="G76">
        <v>0</v>
      </c>
      <c r="H76">
        <v>0</v>
      </c>
      <c r="I76">
        <v>0</v>
      </c>
      <c r="J76" t="s">
        <v>360</v>
      </c>
      <c r="K76" t="s">
        <v>1742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1742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1742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1742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1742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1742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1742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1742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1742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1742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1742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1742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1742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1742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1742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1742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1742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1742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24</v>
      </c>
      <c r="G94">
        <v>0</v>
      </c>
      <c r="H94">
        <v>0</v>
      </c>
      <c r="I94">
        <v>0</v>
      </c>
      <c r="J94" t="s">
        <v>363</v>
      </c>
      <c r="K94" t="s">
        <v>1742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1742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1742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1742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1742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1742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1742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1742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1742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1742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1742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1742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24</v>
      </c>
      <c r="G106">
        <v>0</v>
      </c>
      <c r="H106">
        <v>0</v>
      </c>
      <c r="I106">
        <v>0</v>
      </c>
      <c r="J106" t="s">
        <v>365</v>
      </c>
      <c r="K106" t="s">
        <v>1742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1742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1742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1742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1742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1742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24</v>
      </c>
      <c r="G112">
        <v>0</v>
      </c>
      <c r="H112">
        <v>0</v>
      </c>
      <c r="I112">
        <v>0</v>
      </c>
      <c r="J112" t="s">
        <v>366</v>
      </c>
      <c r="K112" t="s">
        <v>1742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1742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1742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1742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1742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1742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  <c r="J118" t="s">
        <v>367</v>
      </c>
      <c r="K118" t="s">
        <v>1742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1742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1742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1742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1742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1742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24</v>
      </c>
      <c r="G124">
        <v>0</v>
      </c>
      <c r="H124">
        <v>0</v>
      </c>
      <c r="I124">
        <v>0</v>
      </c>
      <c r="J124" t="s">
        <v>368</v>
      </c>
      <c r="K124" t="s">
        <v>1742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34</v>
      </c>
      <c r="G125">
        <v>0</v>
      </c>
      <c r="H125">
        <v>0</v>
      </c>
      <c r="I125">
        <v>0</v>
      </c>
      <c r="J125" t="s">
        <v>368</v>
      </c>
      <c r="K125" t="s">
        <v>1742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1742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1742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1742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1742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24</v>
      </c>
      <c r="G130">
        <v>0</v>
      </c>
      <c r="H130">
        <v>0</v>
      </c>
      <c r="I130">
        <v>0</v>
      </c>
      <c r="J130" t="s">
        <v>369</v>
      </c>
      <c r="K130" t="s">
        <v>1742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1742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1742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1742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1742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1742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24</v>
      </c>
      <c r="G136">
        <v>0</v>
      </c>
      <c r="H136">
        <v>0</v>
      </c>
      <c r="I136">
        <v>0</v>
      </c>
      <c r="J136" t="s">
        <v>370</v>
      </c>
      <c r="K136" t="s">
        <v>1742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1742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1742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1742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1742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1742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24</v>
      </c>
      <c r="G142">
        <v>0</v>
      </c>
      <c r="H142">
        <v>0</v>
      </c>
      <c r="I142">
        <v>0</v>
      </c>
      <c r="J142" t="s">
        <v>371</v>
      </c>
      <c r="K142" t="s">
        <v>1742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1742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1742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1742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1742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1742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24</v>
      </c>
      <c r="G148">
        <v>0</v>
      </c>
      <c r="H148">
        <v>0</v>
      </c>
      <c r="I148">
        <v>0</v>
      </c>
      <c r="J148" t="s">
        <v>372</v>
      </c>
      <c r="K148" t="s">
        <v>1742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1742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1742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1742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1742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1742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24</v>
      </c>
      <c r="G154">
        <v>0</v>
      </c>
      <c r="H154">
        <v>0</v>
      </c>
      <c r="I154">
        <v>0</v>
      </c>
      <c r="J154" t="s">
        <v>373</v>
      </c>
      <c r="K154" t="s">
        <v>1742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1742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1742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1742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1742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1742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24</v>
      </c>
      <c r="G160">
        <v>0</v>
      </c>
      <c r="H160">
        <v>0</v>
      </c>
      <c r="I160">
        <v>0</v>
      </c>
      <c r="J160" t="s">
        <v>374</v>
      </c>
      <c r="K160" t="s">
        <v>1742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1742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1742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1742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1742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1742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24</v>
      </c>
      <c r="G166">
        <v>0</v>
      </c>
      <c r="H166">
        <v>0</v>
      </c>
      <c r="I166">
        <v>0</v>
      </c>
      <c r="J166" t="s">
        <v>375</v>
      </c>
      <c r="K166" t="s">
        <v>1742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1742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1742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1742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1742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1742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24</v>
      </c>
      <c r="G172">
        <v>0</v>
      </c>
      <c r="H172">
        <v>0</v>
      </c>
      <c r="I172">
        <v>0</v>
      </c>
      <c r="J172" t="s">
        <v>376</v>
      </c>
      <c r="K172" t="s">
        <v>1742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1742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1742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1742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1742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1742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24</v>
      </c>
      <c r="G178">
        <v>0</v>
      </c>
      <c r="H178">
        <v>0</v>
      </c>
      <c r="I178">
        <v>0</v>
      </c>
      <c r="J178" t="s">
        <v>377</v>
      </c>
      <c r="K178" t="s">
        <v>1742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34</v>
      </c>
      <c r="G179">
        <v>0</v>
      </c>
      <c r="H179">
        <v>0</v>
      </c>
      <c r="I179">
        <v>0</v>
      </c>
      <c r="J179" t="s">
        <v>377</v>
      </c>
      <c r="K179" t="s">
        <v>1742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1742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1742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1742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1742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24</v>
      </c>
      <c r="G184">
        <v>0</v>
      </c>
      <c r="H184">
        <v>0</v>
      </c>
      <c r="I184">
        <v>0</v>
      </c>
      <c r="J184" t="s">
        <v>378</v>
      </c>
      <c r="K184" t="s">
        <v>1742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1742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1742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1742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1742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1742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24</v>
      </c>
      <c r="G190">
        <v>0</v>
      </c>
      <c r="H190">
        <v>0</v>
      </c>
      <c r="I190">
        <v>0</v>
      </c>
      <c r="J190" t="s">
        <v>379</v>
      </c>
      <c r="K190" t="s">
        <v>1742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1742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1742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1742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1742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1742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24</v>
      </c>
      <c r="G196">
        <v>0</v>
      </c>
      <c r="H196">
        <v>0</v>
      </c>
      <c r="I196">
        <v>0</v>
      </c>
      <c r="J196" t="s">
        <v>380</v>
      </c>
      <c r="K196" t="s">
        <v>1742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1742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1742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1742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1742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1742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1742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1742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1742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1742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1742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1742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24</v>
      </c>
      <c r="G208">
        <v>0</v>
      </c>
      <c r="H208">
        <v>0</v>
      </c>
      <c r="I208">
        <v>0</v>
      </c>
      <c r="J208" t="s">
        <v>382</v>
      </c>
      <c r="K208" t="s">
        <v>1742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1742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1742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1742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1742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1742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24</v>
      </c>
      <c r="G214">
        <v>0</v>
      </c>
      <c r="H214">
        <v>0</v>
      </c>
      <c r="I214">
        <v>0</v>
      </c>
      <c r="J214" t="s">
        <v>383</v>
      </c>
      <c r="K214" t="s">
        <v>1742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1742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1742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1742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1742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1742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24</v>
      </c>
      <c r="G220">
        <v>0</v>
      </c>
      <c r="H220">
        <v>0</v>
      </c>
      <c r="I220">
        <v>0</v>
      </c>
      <c r="J220" t="s">
        <v>384</v>
      </c>
      <c r="K220" t="s">
        <v>1742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1742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1742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1742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1742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1742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1742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1742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1742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1742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1742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1742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24</v>
      </c>
      <c r="G232">
        <v>0</v>
      </c>
      <c r="H232">
        <v>0</v>
      </c>
      <c r="I232">
        <v>0</v>
      </c>
      <c r="J232" t="s">
        <v>386</v>
      </c>
      <c r="K232" t="s">
        <v>1742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34</v>
      </c>
      <c r="G233">
        <v>0</v>
      </c>
      <c r="H233">
        <v>0</v>
      </c>
      <c r="I233">
        <v>0</v>
      </c>
      <c r="J233" t="s">
        <v>386</v>
      </c>
      <c r="K233" t="s">
        <v>1742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1742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1742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1742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1742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24</v>
      </c>
      <c r="G238">
        <v>0</v>
      </c>
      <c r="H238">
        <v>0</v>
      </c>
      <c r="I238">
        <v>0</v>
      </c>
      <c r="J238" t="s">
        <v>387</v>
      </c>
      <c r="K238" t="s">
        <v>1742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1742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1742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1742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1742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1742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24</v>
      </c>
      <c r="G244">
        <v>0</v>
      </c>
      <c r="H244">
        <v>0</v>
      </c>
      <c r="I244">
        <v>0</v>
      </c>
      <c r="J244" t="s">
        <v>388</v>
      </c>
      <c r="K244" t="s">
        <v>1742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1742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1742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1742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1742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1742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1742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1742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1742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1742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1742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1742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1742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1742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1742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1742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1742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1742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24</v>
      </c>
      <c r="G262">
        <v>0</v>
      </c>
      <c r="H262">
        <v>0</v>
      </c>
      <c r="I262">
        <v>0</v>
      </c>
      <c r="J262" t="s">
        <v>395</v>
      </c>
      <c r="K262" t="s">
        <v>1742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1742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1742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1742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1742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1742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24</v>
      </c>
      <c r="G268">
        <v>0</v>
      </c>
      <c r="H268">
        <v>0</v>
      </c>
      <c r="I268">
        <v>0</v>
      </c>
      <c r="J268" t="s">
        <v>396</v>
      </c>
      <c r="K268" t="s">
        <v>1742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1742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1742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1742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1742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1742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1742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34</v>
      </c>
      <c r="G275">
        <v>0</v>
      </c>
      <c r="H275">
        <v>0</v>
      </c>
      <c r="I275">
        <v>0</v>
      </c>
      <c r="J275" t="s">
        <v>397</v>
      </c>
      <c r="K275" t="s">
        <v>1742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1742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1742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1742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1742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1742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1742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1742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1742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1742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1742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24</v>
      </c>
      <c r="G286">
        <v>0</v>
      </c>
      <c r="H286">
        <v>0</v>
      </c>
      <c r="I286">
        <v>0</v>
      </c>
      <c r="J286" t="s">
        <v>399</v>
      </c>
      <c r="K286" t="s">
        <v>1742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1742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1742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1742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1742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1742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1742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1742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1742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1742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1742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1742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1742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1742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1742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5"/>
  <cols>
    <col min="2" max="10" width="8.425781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2578125" defaultRowHeight="1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6232000000000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86920000000000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109298000000000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84112711512712.844</v>
      </c>
      <c r="F21" s="26">
        <f t="shared" ref="F21" si="0">IFERROR(F101*F117*F132/F86,0)</f>
        <v>296150962211.5318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663365698234.13904</v>
      </c>
      <c r="F22" s="33">
        <f t="shared" si="1"/>
        <v>4345569799752.3945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5301203185129.2432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1188240815083.2153</v>
      </c>
      <c r="F25" s="93">
        <f t="shared" si="1"/>
        <v>280204932100.6828</v>
      </c>
      <c r="G25" s="22"/>
    </row>
    <row r="26" spans="2:9">
      <c r="D26" s="23" t="s">
        <v>43</v>
      </c>
      <c r="E26" s="28">
        <f t="shared" si="1"/>
        <v>111726453827.60324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9502666043171.0293</v>
      </c>
      <c r="F27" s="29">
        <f t="shared" si="1"/>
        <v>10903082157800.281</v>
      </c>
      <c r="G27" s="20"/>
    </row>
    <row r="28" spans="2:9">
      <c r="D28" s="21" t="s">
        <v>50</v>
      </c>
      <c r="E28" s="33">
        <f t="shared" si="1"/>
        <v>30083502844.605057</v>
      </c>
      <c r="F28" s="33">
        <f t="shared" si="1"/>
        <v>29270875239167.469</v>
      </c>
      <c r="G28" s="22"/>
    </row>
    <row r="29" spans="2:9">
      <c r="D29" s="21" t="s">
        <v>73</v>
      </c>
      <c r="E29" s="33"/>
      <c r="F29" s="33"/>
      <c r="G29" s="22">
        <f t="shared" si="1"/>
        <v>22894360322105.242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4935064680060.6328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95608794025873.453</v>
      </c>
      <c r="F32" s="95">
        <f t="shared" ref="F32:G32" si="2">SUM(F21:F31)</f>
        <v>50030947771092.992</v>
      </c>
      <c r="G32" s="95">
        <f t="shared" si="2"/>
        <v>28195563507234.484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0.87975915154782136</v>
      </c>
      <c r="F37" s="97">
        <f t="shared" ref="F37:G37" si="3">F21/F$32</f>
        <v>5.91935542709512E-3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6.9383334973833095E-3</v>
      </c>
      <c r="F38" s="113">
        <f t="shared" ref="F38:G47" si="5">F22/F$32</f>
        <v>8.6857634990940319E-2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0.188015507608814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1.2428153991375063E-2</v>
      </c>
      <c r="F41" s="37">
        <f t="shared" si="5"/>
        <v>5.6006321004092655E-3</v>
      </c>
      <c r="G41" s="99">
        <f t="shared" si="5"/>
        <v>0</v>
      </c>
    </row>
    <row r="42" spans="3:41">
      <c r="D42" s="23" t="s">
        <v>43</v>
      </c>
      <c r="E42" s="116">
        <f t="shared" si="4"/>
        <v>1.1685792605789804E-3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9.9391129654866656E-2</v>
      </c>
      <c r="F43" s="97">
        <f t="shared" si="5"/>
        <v>0.21792675620868193</v>
      </c>
      <c r="G43" s="98">
        <f t="shared" si="5"/>
        <v>0</v>
      </c>
    </row>
    <row r="44" spans="3:41">
      <c r="D44" s="21" t="s">
        <v>50</v>
      </c>
      <c r="E44" s="37">
        <f t="shared" si="4"/>
        <v>3.146520479744146E-4</v>
      </c>
      <c r="F44" s="113">
        <f t="shared" si="5"/>
        <v>0.58505538158283044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0.81198449239118609</v>
      </c>
    </row>
    <row r="46" spans="3:41">
      <c r="D46" s="21" t="s">
        <v>55</v>
      </c>
      <c r="E46" s="37">
        <f t="shared" si="4"/>
        <v>0</v>
      </c>
      <c r="F46" s="113">
        <f t="shared" si="5"/>
        <v>9.8640239690042944E-2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0.99999999999999978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96155915745873.781</v>
      </c>
      <c r="F53" s="92">
        <f>F37*$E$12</f>
        <v>514510373723.10785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758345974597.00098</v>
      </c>
      <c r="F54" s="103">
        <f t="shared" ref="F54:F62" si="8">F38*$E$12</f>
        <v>7549665633412.5322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1171712643418.1289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1358372374949.3115</v>
      </c>
      <c r="F57" s="103">
        <f t="shared" si="8"/>
        <v>486806942167.57336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127723376022.7614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10863251689017.615</v>
      </c>
      <c r="F59" s="92">
        <f t="shared" si="8"/>
        <v>18942193649658.633</v>
      </c>
      <c r="G59" s="102">
        <f t="shared" si="9"/>
        <v>0</v>
      </c>
    </row>
    <row r="60" spans="3:41">
      <c r="D60" s="21" t="s">
        <v>50</v>
      </c>
      <c r="E60" s="103">
        <f t="shared" si="7"/>
        <v>34390839539.507568</v>
      </c>
      <c r="F60" s="103">
        <f t="shared" si="8"/>
        <v>50853013767179.625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5060287356581.8721</v>
      </c>
    </row>
    <row r="62" spans="3:41">
      <c r="D62" s="21" t="s">
        <v>55</v>
      </c>
      <c r="E62" s="103">
        <f t="shared" si="7"/>
        <v>0</v>
      </c>
      <c r="F62" s="103">
        <f t="shared" si="8"/>
        <v>8573809633858.5322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0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12135.992089660704</v>
      </c>
      <c r="F69" s="107">
        <f t="shared" si="10"/>
        <v>18443.438733598101</v>
      </c>
      <c r="G69" s="108">
        <f t="shared" si="10"/>
        <v>0</v>
      </c>
    </row>
    <row r="70" spans="2:41">
      <c r="D70" s="21" t="s">
        <v>51</v>
      </c>
      <c r="E70" s="78">
        <f t="shared" si="10"/>
        <v>19068.231730928841</v>
      </c>
      <c r="F70" s="120">
        <f t="shared" si="10"/>
        <v>28978.57555354336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224698.5081314095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221.77679591128265</v>
      </c>
      <c r="F73" s="78">
        <f t="shared" si="10"/>
        <v>337.04098665392161</v>
      </c>
      <c r="G73" s="109">
        <f t="shared" si="10"/>
        <v>0</v>
      </c>
    </row>
    <row r="74" spans="2:41">
      <c r="D74" s="23" t="s">
        <v>43</v>
      </c>
      <c r="E74" s="122">
        <f t="shared" si="10"/>
        <v>2392.6744012490449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10952.801451680409</v>
      </c>
      <c r="F75" s="107">
        <f t="shared" si="10"/>
        <v>16645.307696552693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38232.490528128546</v>
      </c>
      <c r="F76" s="120">
        <f t="shared" si="10"/>
        <v>58103.086379658525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218394.35663061068</v>
      </c>
    </row>
    <row r="78" spans="2:41">
      <c r="D78" s="21" t="s">
        <v>55</v>
      </c>
      <c r="E78" s="78">
        <f t="shared" si="10"/>
        <v>0</v>
      </c>
      <c r="F78" s="120">
        <f t="shared" si="10"/>
        <v>32142.24378393919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1513642</v>
      </c>
      <c r="F101" s="76">
        <f>SUMIFS('all_csv_SYVbT-passenger'!F:F,'all_csv_SYVbT-passenger'!$B:$B,$D101,'all_csv_SYVbT-passenger'!$J:$J,About!$B$2)</f>
        <v>6447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1718</v>
      </c>
      <c r="F102" s="78">
        <f>SUMIFS('all_csv_SYVbT-passenger'!F:F,'all_csv_SYVbT-passenger'!$B:$B,$D102,'all_csv_SYVbT-passenger'!$J:$J,About!$B$2)</f>
        <v>13006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24</v>
      </c>
      <c r="G103" s="79">
        <f>F103</f>
        <v>24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77141</v>
      </c>
      <c r="F105" s="78">
        <f>SUMIFS('all_csv_SYVbT-passenger'!F:F,'all_csv_SYVbT-passenger'!$B:$B,$D105,'all_csv_SYVbT-passenger'!$J:$J,About!$B$2)</f>
        <v>18191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60293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95429</v>
      </c>
      <c r="F107" s="76">
        <f>SUMIFS('all_csv_SYVbT-freight'!F:F,'all_csv_SYVbT-freight'!$B:$B,$D107,'all_csv_SYVbT-freight'!$J:$J,About!$B$2)</f>
        <v>77890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367</v>
      </c>
      <c r="F108" s="78">
        <f>SUMIFS('all_csv_SYVbT-freight'!F:F,'all_csv_SYVbT-freight'!$B:$B,$D108,'all_csv_SYVbT-freight'!$J:$J,About!$B$2)</f>
        <v>37931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24</v>
      </c>
      <c r="G109" s="79">
        <f>F109</f>
        <v>24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265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7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96155915745873.766</v>
      </c>
      <c r="F149" s="26">
        <f t="shared" si="18"/>
        <v>514510373723.10785</v>
      </c>
      <c r="G149" s="20"/>
    </row>
    <row r="150" spans="2:7">
      <c r="D150" s="21" t="s">
        <v>51</v>
      </c>
      <c r="E150" s="33">
        <f t="shared" si="18"/>
        <v>758345974597.00098</v>
      </c>
      <c r="F150" s="33">
        <f t="shared" si="18"/>
        <v>7549665633412.5322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1171712643418.1289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1358372374949.3115</v>
      </c>
      <c r="F153" s="93">
        <f t="shared" si="18"/>
        <v>486806942167.57336</v>
      </c>
      <c r="G153" s="22"/>
    </row>
    <row r="154" spans="2:7">
      <c r="D154" s="23" t="s">
        <v>43</v>
      </c>
      <c r="E154" s="28">
        <f t="shared" si="18"/>
        <v>127723376022.7614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10863251689017.615</v>
      </c>
      <c r="F155" s="29">
        <f t="shared" si="18"/>
        <v>18942193649658.633</v>
      </c>
      <c r="G155" s="20"/>
    </row>
    <row r="156" spans="2:7">
      <c r="D156" s="21" t="s">
        <v>50</v>
      </c>
      <c r="E156" s="33">
        <f t="shared" si="18"/>
        <v>34390839539.507568</v>
      </c>
      <c r="F156" s="33">
        <f t="shared" si="18"/>
        <v>50853013767179.625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5060287356581.8721</v>
      </c>
    </row>
    <row r="158" spans="2:7">
      <c r="D158" s="21" t="s">
        <v>55</v>
      </c>
      <c r="E158" s="33">
        <f t="shared" si="18"/>
        <v>0</v>
      </c>
      <c r="F158" s="33">
        <f t="shared" si="18"/>
        <v>8573809633858.5322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109297999999999.95</v>
      </c>
      <c r="F160" s="95">
        <f>SUM(F149:F159)</f>
        <v>86920000000000</v>
      </c>
      <c r="G160" s="95">
        <f t="shared" ref="G160" si="19">SUM(G149:G159)</f>
        <v>6232000000000.001</v>
      </c>
    </row>
    <row r="161" spans="5:7">
      <c r="E161" s="37">
        <f>E160/E13</f>
        <v>0.99999999999999956</v>
      </c>
      <c r="F161" s="37">
        <f>F160/SUM(E12,E14)</f>
        <v>1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5"/>
  <cols>
    <col min="14" max="14" width="9.140625" style="153"/>
    <col min="15" max="23" width="0" hidden="1" customWidth="1"/>
    <col min="24" max="24" width="11.42578125" style="153" customWidth="1"/>
    <col min="25" max="45" width="0" hidden="1" customWidth="1"/>
    <col min="46" max="46" width="13.5703125" style="153" customWidth="1"/>
  </cols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5"/>
  <cols>
    <col min="12" max="12" width="11.28515625" customWidth="1"/>
    <col min="13" max="13" width="11.140625" bestFit="1" customWidth="1"/>
    <col min="14" max="14" width="11.7109375" customWidth="1"/>
    <col min="25" max="25" width="12.7109375" customWidth="1"/>
    <col min="29" max="29" width="11.140625" customWidth="1"/>
    <col min="40" max="40" width="11.140625" customWidth="1"/>
  </cols>
  <sheetData>
    <row r="1" spans="1:59" ht="90.7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5"/>
  <cols>
    <col min="2" max="2" width="18.28515625" customWidth="1"/>
    <col min="3" max="3" width="9.85546875" bestFit="1" customWidth="1"/>
    <col min="4" max="4" width="11.42578125" customWidth="1"/>
    <col min="5" max="5" width="22.42578125" bestFit="1" customWidth="1"/>
    <col min="6" max="6" width="15.28515625" bestFit="1" customWidth="1"/>
    <col min="7" max="7" width="16.85546875" bestFit="1" customWidth="1"/>
    <col min="8" max="8" width="15.85546875" customWidth="1"/>
    <col min="9" max="9" width="18.5703125" customWidth="1"/>
    <col min="10" max="10" width="16.42578125" bestFit="1" customWidth="1"/>
    <col min="11" max="11" width="17.85546875" bestFit="1" customWidth="1"/>
    <col min="12" max="12" width="9.7109375" bestFit="1" customWidth="1"/>
    <col min="13" max="13" width="14.28515625" bestFit="1" customWidth="1"/>
    <col min="14" max="20" width="14.28515625" customWidth="1"/>
    <col min="21" max="21" width="18.140625" bestFit="1" customWidth="1"/>
    <col min="22" max="22" width="19.425781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workbookViewId="0">
      <selection activeCell="B5" sqref="B5"/>
    </sheetView>
  </sheetViews>
  <sheetFormatPr defaultRowHeight="15"/>
  <sheetData>
    <row r="1" spans="1:2" ht="60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12135.992089660704</v>
      </c>
    </row>
    <row r="3" spans="1:2">
      <c r="A3" t="s">
        <v>39</v>
      </c>
      <c r="B3" s="8">
        <f>'BAADTbVT-passengers'!D3</f>
        <v>28978.57555354336</v>
      </c>
    </row>
    <row r="4" spans="1:2">
      <c r="A4" t="s">
        <v>40</v>
      </c>
      <c r="B4" s="8">
        <f>'BAADTbVT-passengers'!D4</f>
        <v>224698.5081314095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221.77679591128265</v>
      </c>
    </row>
    <row r="7" spans="1:2">
      <c r="A7" t="s">
        <v>43</v>
      </c>
      <c r="B7" s="8">
        <f>'BAADTbVT-passengers'!D7</f>
        <v>2392.6744012490449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10952.801451680409</v>
      </c>
    </row>
    <row r="3" spans="1:2">
      <c r="A3" t="s">
        <v>39</v>
      </c>
      <c r="B3" s="8">
        <f>'BAADTbVT-freight'!D3</f>
        <v>58103.086379658525</v>
      </c>
    </row>
    <row r="4" spans="1:2">
      <c r="A4" t="s">
        <v>40</v>
      </c>
      <c r="B4" s="8">
        <f>'BAADTbVT-freight'!D4</f>
        <v>218394.35663061068</v>
      </c>
    </row>
    <row r="5" spans="1:2">
      <c r="A5" t="s">
        <v>41</v>
      </c>
      <c r="B5" s="8">
        <f>'BAADTbVT-freight'!D5</f>
        <v>32142.24378393919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12135.992089660704</v>
      </c>
      <c r="C2" s="8">
        <f t="shared" ref="C2:L3" si="0">$B2</f>
        <v>12135.992089660704</v>
      </c>
      <c r="D2" s="8">
        <f t="shared" si="0"/>
        <v>12135.992089660704</v>
      </c>
      <c r="E2" s="8">
        <f t="shared" si="0"/>
        <v>12135.992089660704</v>
      </c>
      <c r="F2" s="8">
        <f t="shared" si="0"/>
        <v>12135.992089660704</v>
      </c>
      <c r="G2" s="8">
        <f t="shared" si="0"/>
        <v>12135.992089660704</v>
      </c>
      <c r="H2" s="8">
        <f t="shared" si="0"/>
        <v>12135.992089660704</v>
      </c>
      <c r="I2" s="8">
        <f t="shared" si="0"/>
        <v>12135.992089660704</v>
      </c>
      <c r="J2" s="8">
        <f t="shared" si="0"/>
        <v>12135.992089660704</v>
      </c>
      <c r="K2" s="8">
        <f t="shared" si="0"/>
        <v>12135.992089660704</v>
      </c>
      <c r="L2" s="8">
        <f t="shared" si="0"/>
        <v>12135.992089660704</v>
      </c>
      <c r="M2" s="8">
        <f t="shared" ref="M2:V3" si="1">$B2</f>
        <v>12135.992089660704</v>
      </c>
      <c r="N2" s="8">
        <f t="shared" si="1"/>
        <v>12135.992089660704</v>
      </c>
      <c r="O2" s="8">
        <f t="shared" si="1"/>
        <v>12135.992089660704</v>
      </c>
      <c r="P2" s="8">
        <f t="shared" si="1"/>
        <v>12135.992089660704</v>
      </c>
      <c r="Q2" s="8">
        <f t="shared" si="1"/>
        <v>12135.992089660704</v>
      </c>
      <c r="R2" s="8">
        <f t="shared" si="1"/>
        <v>12135.992089660704</v>
      </c>
      <c r="S2" s="8">
        <f t="shared" si="1"/>
        <v>12135.992089660704</v>
      </c>
      <c r="T2" s="8">
        <f t="shared" si="1"/>
        <v>12135.992089660704</v>
      </c>
      <c r="U2" s="8">
        <f t="shared" si="1"/>
        <v>12135.992089660704</v>
      </c>
      <c r="V2" s="8">
        <f t="shared" si="1"/>
        <v>12135.992089660704</v>
      </c>
      <c r="W2" s="8">
        <f t="shared" ref="W2:AH3" si="2">$B2</f>
        <v>12135.992089660704</v>
      </c>
      <c r="X2" s="8">
        <f t="shared" si="2"/>
        <v>12135.992089660704</v>
      </c>
      <c r="Y2" s="8">
        <f t="shared" si="2"/>
        <v>12135.992089660704</v>
      </c>
      <c r="Z2" s="8">
        <f t="shared" si="2"/>
        <v>12135.992089660704</v>
      </c>
      <c r="AA2" s="8">
        <f t="shared" si="2"/>
        <v>12135.992089660704</v>
      </c>
      <c r="AB2" s="8">
        <f t="shared" si="2"/>
        <v>12135.992089660704</v>
      </c>
      <c r="AC2" s="8">
        <f t="shared" si="2"/>
        <v>12135.992089660704</v>
      </c>
      <c r="AD2" s="8">
        <f t="shared" si="2"/>
        <v>12135.992089660704</v>
      </c>
      <c r="AE2" s="8">
        <f t="shared" si="2"/>
        <v>12135.992089660704</v>
      </c>
      <c r="AF2" s="8">
        <f t="shared" si="2"/>
        <v>12135.992089660704</v>
      </c>
      <c r="AG2" s="8">
        <f t="shared" si="2"/>
        <v>12135.992089660704</v>
      </c>
      <c r="AH2" s="8">
        <f t="shared" si="2"/>
        <v>12135.992089660704</v>
      </c>
    </row>
    <row r="3" spans="1:34">
      <c r="A3" t="s">
        <v>39</v>
      </c>
      <c r="B3" s="8">
        <f>'Scale to SEDS'!F70</f>
        <v>28978.57555354336</v>
      </c>
      <c r="C3" s="8">
        <f t="shared" si="0"/>
        <v>28978.57555354336</v>
      </c>
      <c r="D3" s="8">
        <f t="shared" si="0"/>
        <v>28978.57555354336</v>
      </c>
      <c r="E3" s="8">
        <f t="shared" si="0"/>
        <v>28978.57555354336</v>
      </c>
      <c r="F3" s="8">
        <f t="shared" si="0"/>
        <v>28978.57555354336</v>
      </c>
      <c r="G3" s="8">
        <f t="shared" si="0"/>
        <v>28978.57555354336</v>
      </c>
      <c r="H3" s="8">
        <f t="shared" si="0"/>
        <v>28978.57555354336</v>
      </c>
      <c r="I3" s="8">
        <f t="shared" si="0"/>
        <v>28978.57555354336</v>
      </c>
      <c r="J3" s="8">
        <f t="shared" si="0"/>
        <v>28978.57555354336</v>
      </c>
      <c r="K3" s="8">
        <f t="shared" si="0"/>
        <v>28978.57555354336</v>
      </c>
      <c r="L3" s="8">
        <f t="shared" si="0"/>
        <v>28978.57555354336</v>
      </c>
      <c r="M3" s="8">
        <f t="shared" si="1"/>
        <v>28978.57555354336</v>
      </c>
      <c r="N3" s="8">
        <f t="shared" si="1"/>
        <v>28978.57555354336</v>
      </c>
      <c r="O3" s="8">
        <f t="shared" si="1"/>
        <v>28978.57555354336</v>
      </c>
      <c r="P3" s="8">
        <f t="shared" si="1"/>
        <v>28978.57555354336</v>
      </c>
      <c r="Q3" s="8">
        <f t="shared" si="1"/>
        <v>28978.57555354336</v>
      </c>
      <c r="R3" s="8">
        <f t="shared" si="1"/>
        <v>28978.57555354336</v>
      </c>
      <c r="S3" s="8">
        <f t="shared" si="1"/>
        <v>28978.57555354336</v>
      </c>
      <c r="T3" s="8">
        <f t="shared" si="1"/>
        <v>28978.57555354336</v>
      </c>
      <c r="U3" s="8">
        <f t="shared" si="1"/>
        <v>28978.57555354336</v>
      </c>
      <c r="V3" s="8">
        <f t="shared" si="1"/>
        <v>28978.57555354336</v>
      </c>
      <c r="W3" s="8">
        <f t="shared" si="2"/>
        <v>28978.57555354336</v>
      </c>
      <c r="X3" s="8">
        <f t="shared" si="2"/>
        <v>28978.57555354336</v>
      </c>
      <c r="Y3" s="8">
        <f t="shared" si="2"/>
        <v>28978.57555354336</v>
      </c>
      <c r="Z3" s="8">
        <f t="shared" si="2"/>
        <v>28978.57555354336</v>
      </c>
      <c r="AA3" s="8">
        <f t="shared" si="2"/>
        <v>28978.57555354336</v>
      </c>
      <c r="AB3" s="8">
        <f t="shared" si="2"/>
        <v>28978.57555354336</v>
      </c>
      <c r="AC3" s="8">
        <f t="shared" si="2"/>
        <v>28978.57555354336</v>
      </c>
      <c r="AD3" s="8">
        <f t="shared" si="2"/>
        <v>28978.57555354336</v>
      </c>
      <c r="AE3" s="8">
        <f t="shared" si="2"/>
        <v>28978.57555354336</v>
      </c>
      <c r="AF3" s="8">
        <f t="shared" si="2"/>
        <v>28978.57555354336</v>
      </c>
      <c r="AG3" s="8">
        <f t="shared" si="2"/>
        <v>28978.57555354336</v>
      </c>
      <c r="AH3" s="8">
        <f t="shared" si="2"/>
        <v>28978.57555354336</v>
      </c>
    </row>
    <row r="4" spans="1:34">
      <c r="A4" t="s">
        <v>40</v>
      </c>
      <c r="B4" s="8">
        <f>'Scale to SEDS'!G71</f>
        <v>224698.5081314095</v>
      </c>
      <c r="C4" s="8">
        <f t="shared" ref="C4:AH4" si="3">$B$4</f>
        <v>224698.5081314095</v>
      </c>
      <c r="D4" s="8">
        <f t="shared" si="3"/>
        <v>224698.5081314095</v>
      </c>
      <c r="E4" s="8">
        <f t="shared" si="3"/>
        <v>224698.5081314095</v>
      </c>
      <c r="F4" s="8">
        <f t="shared" si="3"/>
        <v>224698.5081314095</v>
      </c>
      <c r="G4" s="8">
        <f t="shared" si="3"/>
        <v>224698.5081314095</v>
      </c>
      <c r="H4" s="8">
        <f t="shared" si="3"/>
        <v>224698.5081314095</v>
      </c>
      <c r="I4" s="8">
        <f t="shared" si="3"/>
        <v>224698.5081314095</v>
      </c>
      <c r="J4" s="8">
        <f t="shared" si="3"/>
        <v>224698.5081314095</v>
      </c>
      <c r="K4" s="8">
        <f t="shared" si="3"/>
        <v>224698.5081314095</v>
      </c>
      <c r="L4" s="8">
        <f t="shared" si="3"/>
        <v>224698.5081314095</v>
      </c>
      <c r="M4" s="8">
        <f t="shared" si="3"/>
        <v>224698.5081314095</v>
      </c>
      <c r="N4" s="8">
        <f t="shared" si="3"/>
        <v>224698.5081314095</v>
      </c>
      <c r="O4" s="8">
        <f t="shared" si="3"/>
        <v>224698.5081314095</v>
      </c>
      <c r="P4" s="8">
        <f t="shared" si="3"/>
        <v>224698.5081314095</v>
      </c>
      <c r="Q4" s="8">
        <f t="shared" si="3"/>
        <v>224698.5081314095</v>
      </c>
      <c r="R4" s="8">
        <f t="shared" si="3"/>
        <v>224698.5081314095</v>
      </c>
      <c r="S4" s="8">
        <f t="shared" si="3"/>
        <v>224698.5081314095</v>
      </c>
      <c r="T4" s="8">
        <f t="shared" si="3"/>
        <v>224698.5081314095</v>
      </c>
      <c r="U4" s="8">
        <f t="shared" si="3"/>
        <v>224698.5081314095</v>
      </c>
      <c r="V4" s="8">
        <f t="shared" si="3"/>
        <v>224698.5081314095</v>
      </c>
      <c r="W4" s="8">
        <f t="shared" si="3"/>
        <v>224698.5081314095</v>
      </c>
      <c r="X4" s="8">
        <f t="shared" si="3"/>
        <v>224698.5081314095</v>
      </c>
      <c r="Y4" s="8">
        <f t="shared" si="3"/>
        <v>224698.5081314095</v>
      </c>
      <c r="Z4" s="8">
        <f t="shared" si="3"/>
        <v>224698.5081314095</v>
      </c>
      <c r="AA4" s="8">
        <f t="shared" si="3"/>
        <v>224698.5081314095</v>
      </c>
      <c r="AB4" s="8">
        <f t="shared" si="3"/>
        <v>224698.5081314095</v>
      </c>
      <c r="AC4" s="8">
        <f t="shared" si="3"/>
        <v>224698.5081314095</v>
      </c>
      <c r="AD4" s="8">
        <f t="shared" si="3"/>
        <v>224698.5081314095</v>
      </c>
      <c r="AE4" s="8">
        <f t="shared" si="3"/>
        <v>224698.5081314095</v>
      </c>
      <c r="AF4" s="8">
        <f t="shared" si="3"/>
        <v>224698.5081314095</v>
      </c>
      <c r="AG4" s="8">
        <f t="shared" si="3"/>
        <v>224698.5081314095</v>
      </c>
      <c r="AH4" s="8">
        <f t="shared" si="3"/>
        <v>224698.5081314095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221.77679591128265</v>
      </c>
      <c r="C6" s="8">
        <f t="shared" si="4"/>
        <v>221.77679591128265</v>
      </c>
      <c r="D6" s="8">
        <f t="shared" si="4"/>
        <v>221.77679591128265</v>
      </c>
      <c r="E6" s="8">
        <f t="shared" si="4"/>
        <v>221.77679591128265</v>
      </c>
      <c r="F6" s="8">
        <f t="shared" si="4"/>
        <v>221.77679591128265</v>
      </c>
      <c r="G6" s="8">
        <f t="shared" si="4"/>
        <v>221.77679591128265</v>
      </c>
      <c r="H6" s="8">
        <f t="shared" si="4"/>
        <v>221.77679591128265</v>
      </c>
      <c r="I6" s="8">
        <f t="shared" si="4"/>
        <v>221.77679591128265</v>
      </c>
      <c r="J6" s="8">
        <f t="shared" si="4"/>
        <v>221.77679591128265</v>
      </c>
      <c r="K6" s="8">
        <f t="shared" si="4"/>
        <v>221.77679591128265</v>
      </c>
      <c r="L6" s="8">
        <f t="shared" si="4"/>
        <v>221.77679591128265</v>
      </c>
      <c r="M6" s="8">
        <f t="shared" si="5"/>
        <v>221.77679591128265</v>
      </c>
      <c r="N6" s="8">
        <f t="shared" si="5"/>
        <v>221.77679591128265</v>
      </c>
      <c r="O6" s="8">
        <f t="shared" si="5"/>
        <v>221.77679591128265</v>
      </c>
      <c r="P6" s="8">
        <f t="shared" si="5"/>
        <v>221.77679591128265</v>
      </c>
      <c r="Q6" s="8">
        <f t="shared" si="5"/>
        <v>221.77679591128265</v>
      </c>
      <c r="R6" s="8">
        <f t="shared" si="5"/>
        <v>221.77679591128265</v>
      </c>
      <c r="S6" s="8">
        <f t="shared" si="5"/>
        <v>221.77679591128265</v>
      </c>
      <c r="T6" s="8">
        <f t="shared" si="5"/>
        <v>221.77679591128265</v>
      </c>
      <c r="U6" s="8">
        <f t="shared" si="5"/>
        <v>221.77679591128265</v>
      </c>
      <c r="V6" s="8">
        <f t="shared" si="5"/>
        <v>221.77679591128265</v>
      </c>
      <c r="W6" s="8">
        <f t="shared" si="6"/>
        <v>221.77679591128265</v>
      </c>
      <c r="X6" s="8">
        <f t="shared" si="6"/>
        <v>221.77679591128265</v>
      </c>
      <c r="Y6" s="8">
        <f t="shared" si="6"/>
        <v>221.77679591128265</v>
      </c>
      <c r="Z6" s="8">
        <f t="shared" si="6"/>
        <v>221.77679591128265</v>
      </c>
      <c r="AA6" s="8">
        <f t="shared" si="6"/>
        <v>221.77679591128265</v>
      </c>
      <c r="AB6" s="8">
        <f t="shared" si="6"/>
        <v>221.77679591128265</v>
      </c>
      <c r="AC6" s="8">
        <f t="shared" si="6"/>
        <v>221.77679591128265</v>
      </c>
      <c r="AD6" s="8">
        <f t="shared" si="6"/>
        <v>221.77679591128265</v>
      </c>
      <c r="AE6" s="8">
        <f t="shared" si="6"/>
        <v>221.77679591128265</v>
      </c>
      <c r="AF6" s="8">
        <f t="shared" si="6"/>
        <v>221.77679591128265</v>
      </c>
      <c r="AG6" s="8">
        <f t="shared" si="6"/>
        <v>221.77679591128265</v>
      </c>
      <c r="AH6" s="8">
        <f t="shared" si="6"/>
        <v>221.77679591128265</v>
      </c>
    </row>
    <row r="7" spans="1:34">
      <c r="A7" t="s">
        <v>43</v>
      </c>
      <c r="B7" s="8">
        <f>'Scale to SEDS'!E74</f>
        <v>2392.6744012490449</v>
      </c>
      <c r="C7" s="8">
        <f t="shared" si="4"/>
        <v>2392.6744012490449</v>
      </c>
      <c r="D7" s="8">
        <f t="shared" si="4"/>
        <v>2392.6744012490449</v>
      </c>
      <c r="E7" s="8">
        <f t="shared" si="4"/>
        <v>2392.6744012490449</v>
      </c>
      <c r="F7" s="8">
        <f t="shared" si="4"/>
        <v>2392.6744012490449</v>
      </c>
      <c r="G7" s="8">
        <f t="shared" si="4"/>
        <v>2392.6744012490449</v>
      </c>
      <c r="H7" s="8">
        <f t="shared" si="4"/>
        <v>2392.6744012490449</v>
      </c>
      <c r="I7" s="8">
        <f t="shared" si="4"/>
        <v>2392.6744012490449</v>
      </c>
      <c r="J7" s="8">
        <f t="shared" si="4"/>
        <v>2392.6744012490449</v>
      </c>
      <c r="K7" s="8">
        <f t="shared" si="4"/>
        <v>2392.6744012490449</v>
      </c>
      <c r="L7" s="8">
        <f t="shared" si="4"/>
        <v>2392.6744012490449</v>
      </c>
      <c r="M7" s="8">
        <f t="shared" si="5"/>
        <v>2392.6744012490449</v>
      </c>
      <c r="N7" s="8">
        <f t="shared" si="5"/>
        <v>2392.6744012490449</v>
      </c>
      <c r="O7" s="8">
        <f t="shared" si="5"/>
        <v>2392.6744012490449</v>
      </c>
      <c r="P7" s="8">
        <f t="shared" si="5"/>
        <v>2392.6744012490449</v>
      </c>
      <c r="Q7" s="8">
        <f t="shared" si="5"/>
        <v>2392.6744012490449</v>
      </c>
      <c r="R7" s="8">
        <f t="shared" si="5"/>
        <v>2392.6744012490449</v>
      </c>
      <c r="S7" s="8">
        <f t="shared" si="5"/>
        <v>2392.6744012490449</v>
      </c>
      <c r="T7" s="8">
        <f t="shared" si="5"/>
        <v>2392.6744012490449</v>
      </c>
      <c r="U7" s="8">
        <f t="shared" si="5"/>
        <v>2392.6744012490449</v>
      </c>
      <c r="V7" s="8">
        <f t="shared" si="5"/>
        <v>2392.6744012490449</v>
      </c>
      <c r="W7" s="8">
        <f t="shared" si="6"/>
        <v>2392.6744012490449</v>
      </c>
      <c r="X7" s="8">
        <f t="shared" si="6"/>
        <v>2392.6744012490449</v>
      </c>
      <c r="Y7" s="8">
        <f t="shared" si="6"/>
        <v>2392.6744012490449</v>
      </c>
      <c r="Z7" s="8">
        <f t="shared" si="6"/>
        <v>2392.6744012490449</v>
      </c>
      <c r="AA7" s="8">
        <f t="shared" si="6"/>
        <v>2392.6744012490449</v>
      </c>
      <c r="AB7" s="8">
        <f t="shared" si="6"/>
        <v>2392.6744012490449</v>
      </c>
      <c r="AC7" s="8">
        <f t="shared" si="6"/>
        <v>2392.6744012490449</v>
      </c>
      <c r="AD7" s="8">
        <f t="shared" si="6"/>
        <v>2392.6744012490449</v>
      </c>
      <c r="AE7" s="8">
        <f t="shared" si="6"/>
        <v>2392.6744012490449</v>
      </c>
      <c r="AF7" s="8">
        <f t="shared" si="6"/>
        <v>2392.6744012490449</v>
      </c>
      <c r="AG7" s="8">
        <f t="shared" si="6"/>
        <v>2392.6744012490449</v>
      </c>
      <c r="AH7" s="8">
        <f t="shared" si="6"/>
        <v>2392.6744012490449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10952.801451680409</v>
      </c>
      <c r="C2" s="8">
        <f t="shared" ref="C2:AH2" si="0">B2</f>
        <v>10952.801451680409</v>
      </c>
      <c r="D2" s="8">
        <f t="shared" si="0"/>
        <v>10952.801451680409</v>
      </c>
      <c r="E2" s="8">
        <f t="shared" si="0"/>
        <v>10952.801451680409</v>
      </c>
      <c r="F2" s="8">
        <f t="shared" si="0"/>
        <v>10952.801451680409</v>
      </c>
      <c r="G2" s="8">
        <f t="shared" si="0"/>
        <v>10952.801451680409</v>
      </c>
      <c r="H2" s="8">
        <f t="shared" si="0"/>
        <v>10952.801451680409</v>
      </c>
      <c r="I2" s="8">
        <f t="shared" si="0"/>
        <v>10952.801451680409</v>
      </c>
      <c r="J2" s="8">
        <f t="shared" si="0"/>
        <v>10952.801451680409</v>
      </c>
      <c r="K2" s="8">
        <f t="shared" si="0"/>
        <v>10952.801451680409</v>
      </c>
      <c r="L2" s="8">
        <f t="shared" si="0"/>
        <v>10952.801451680409</v>
      </c>
      <c r="M2" s="8">
        <f t="shared" si="0"/>
        <v>10952.801451680409</v>
      </c>
      <c r="N2" s="8">
        <f t="shared" si="0"/>
        <v>10952.801451680409</v>
      </c>
      <c r="O2" s="8">
        <f t="shared" si="0"/>
        <v>10952.801451680409</v>
      </c>
      <c r="P2" s="8">
        <f t="shared" si="0"/>
        <v>10952.801451680409</v>
      </c>
      <c r="Q2" s="8">
        <f t="shared" si="0"/>
        <v>10952.801451680409</v>
      </c>
      <c r="R2" s="8">
        <f t="shared" si="0"/>
        <v>10952.801451680409</v>
      </c>
      <c r="S2" s="8">
        <f t="shared" si="0"/>
        <v>10952.801451680409</v>
      </c>
      <c r="T2" s="8">
        <f t="shared" si="0"/>
        <v>10952.801451680409</v>
      </c>
      <c r="U2" s="8">
        <f t="shared" si="0"/>
        <v>10952.801451680409</v>
      </c>
      <c r="V2" s="8">
        <f t="shared" si="0"/>
        <v>10952.801451680409</v>
      </c>
      <c r="W2" s="8">
        <f t="shared" si="0"/>
        <v>10952.801451680409</v>
      </c>
      <c r="X2" s="8">
        <f t="shared" si="0"/>
        <v>10952.801451680409</v>
      </c>
      <c r="Y2" s="8">
        <f t="shared" si="0"/>
        <v>10952.801451680409</v>
      </c>
      <c r="Z2" s="8">
        <f t="shared" si="0"/>
        <v>10952.801451680409</v>
      </c>
      <c r="AA2" s="8">
        <f t="shared" si="0"/>
        <v>10952.801451680409</v>
      </c>
      <c r="AB2" s="8">
        <f t="shared" si="0"/>
        <v>10952.801451680409</v>
      </c>
      <c r="AC2" s="8">
        <f t="shared" si="0"/>
        <v>10952.801451680409</v>
      </c>
      <c r="AD2" s="8">
        <f t="shared" si="0"/>
        <v>10952.801451680409</v>
      </c>
      <c r="AE2" s="8">
        <f t="shared" si="0"/>
        <v>10952.801451680409</v>
      </c>
      <c r="AF2" s="8">
        <f t="shared" si="0"/>
        <v>10952.801451680409</v>
      </c>
      <c r="AG2" s="8">
        <f t="shared" si="0"/>
        <v>10952.801451680409</v>
      </c>
      <c r="AH2" s="8">
        <f t="shared" si="0"/>
        <v>10952.801451680409</v>
      </c>
    </row>
    <row r="3" spans="1:34">
      <c r="A3" t="s">
        <v>39</v>
      </c>
      <c r="B3" s="8">
        <f>'Scale to SEDS'!F76</f>
        <v>58103.086379658525</v>
      </c>
      <c r="C3" s="8">
        <f t="shared" ref="C3:AH3" si="1">B3</f>
        <v>58103.086379658525</v>
      </c>
      <c r="D3" s="8">
        <f t="shared" si="1"/>
        <v>58103.086379658525</v>
      </c>
      <c r="E3" s="8">
        <f t="shared" si="1"/>
        <v>58103.086379658525</v>
      </c>
      <c r="F3" s="8">
        <f t="shared" si="1"/>
        <v>58103.086379658525</v>
      </c>
      <c r="G3" s="8">
        <f t="shared" si="1"/>
        <v>58103.086379658525</v>
      </c>
      <c r="H3" s="8">
        <f t="shared" si="1"/>
        <v>58103.086379658525</v>
      </c>
      <c r="I3" s="8">
        <f t="shared" si="1"/>
        <v>58103.086379658525</v>
      </c>
      <c r="J3" s="8">
        <f t="shared" si="1"/>
        <v>58103.086379658525</v>
      </c>
      <c r="K3" s="8">
        <f t="shared" si="1"/>
        <v>58103.086379658525</v>
      </c>
      <c r="L3" s="8">
        <f t="shared" si="1"/>
        <v>58103.086379658525</v>
      </c>
      <c r="M3" s="8">
        <f t="shared" si="1"/>
        <v>58103.086379658525</v>
      </c>
      <c r="N3" s="8">
        <f t="shared" si="1"/>
        <v>58103.086379658525</v>
      </c>
      <c r="O3" s="8">
        <f t="shared" si="1"/>
        <v>58103.086379658525</v>
      </c>
      <c r="P3" s="8">
        <f t="shared" si="1"/>
        <v>58103.086379658525</v>
      </c>
      <c r="Q3" s="8">
        <f t="shared" si="1"/>
        <v>58103.086379658525</v>
      </c>
      <c r="R3" s="8">
        <f t="shared" si="1"/>
        <v>58103.086379658525</v>
      </c>
      <c r="S3" s="8">
        <f t="shared" si="1"/>
        <v>58103.086379658525</v>
      </c>
      <c r="T3" s="8">
        <f t="shared" si="1"/>
        <v>58103.086379658525</v>
      </c>
      <c r="U3" s="8">
        <f t="shared" si="1"/>
        <v>58103.086379658525</v>
      </c>
      <c r="V3" s="8">
        <f t="shared" si="1"/>
        <v>58103.086379658525</v>
      </c>
      <c r="W3" s="8">
        <f t="shared" si="1"/>
        <v>58103.086379658525</v>
      </c>
      <c r="X3" s="8">
        <f t="shared" si="1"/>
        <v>58103.086379658525</v>
      </c>
      <c r="Y3" s="8">
        <f t="shared" si="1"/>
        <v>58103.086379658525</v>
      </c>
      <c r="Z3" s="8">
        <f t="shared" si="1"/>
        <v>58103.086379658525</v>
      </c>
      <c r="AA3" s="8">
        <f t="shared" si="1"/>
        <v>58103.086379658525</v>
      </c>
      <c r="AB3" s="8">
        <f t="shared" si="1"/>
        <v>58103.086379658525</v>
      </c>
      <c r="AC3" s="8">
        <f t="shared" si="1"/>
        <v>58103.086379658525</v>
      </c>
      <c r="AD3" s="8">
        <f t="shared" si="1"/>
        <v>58103.086379658525</v>
      </c>
      <c r="AE3" s="8">
        <f t="shared" si="1"/>
        <v>58103.086379658525</v>
      </c>
      <c r="AF3" s="8">
        <f t="shared" si="1"/>
        <v>58103.086379658525</v>
      </c>
      <c r="AG3" s="8">
        <f t="shared" si="1"/>
        <v>58103.086379658525</v>
      </c>
      <c r="AH3" s="8">
        <f t="shared" si="1"/>
        <v>58103.086379658525</v>
      </c>
    </row>
    <row r="4" spans="1:34">
      <c r="A4" t="s">
        <v>40</v>
      </c>
      <c r="B4" s="8">
        <f>'Scale to SEDS'!G77</f>
        <v>218394.35663061068</v>
      </c>
      <c r="C4" s="8">
        <f t="shared" ref="C4:AH4" si="2">B4</f>
        <v>218394.35663061068</v>
      </c>
      <c r="D4" s="8">
        <f t="shared" si="2"/>
        <v>218394.35663061068</v>
      </c>
      <c r="E4" s="8">
        <f t="shared" si="2"/>
        <v>218394.35663061068</v>
      </c>
      <c r="F4" s="8">
        <f t="shared" si="2"/>
        <v>218394.35663061068</v>
      </c>
      <c r="G4" s="8">
        <f t="shared" si="2"/>
        <v>218394.35663061068</v>
      </c>
      <c r="H4" s="8">
        <f t="shared" si="2"/>
        <v>218394.35663061068</v>
      </c>
      <c r="I4" s="8">
        <f t="shared" si="2"/>
        <v>218394.35663061068</v>
      </c>
      <c r="J4" s="8">
        <f t="shared" si="2"/>
        <v>218394.35663061068</v>
      </c>
      <c r="K4" s="8">
        <f t="shared" si="2"/>
        <v>218394.35663061068</v>
      </c>
      <c r="L4" s="8">
        <f t="shared" si="2"/>
        <v>218394.35663061068</v>
      </c>
      <c r="M4" s="8">
        <f t="shared" si="2"/>
        <v>218394.35663061068</v>
      </c>
      <c r="N4" s="8">
        <f t="shared" si="2"/>
        <v>218394.35663061068</v>
      </c>
      <c r="O4" s="8">
        <f t="shared" si="2"/>
        <v>218394.35663061068</v>
      </c>
      <c r="P4" s="8">
        <f t="shared" si="2"/>
        <v>218394.35663061068</v>
      </c>
      <c r="Q4" s="8">
        <f t="shared" si="2"/>
        <v>218394.35663061068</v>
      </c>
      <c r="R4" s="8">
        <f t="shared" si="2"/>
        <v>218394.35663061068</v>
      </c>
      <c r="S4" s="8">
        <f t="shared" si="2"/>
        <v>218394.35663061068</v>
      </c>
      <c r="T4" s="8">
        <f t="shared" si="2"/>
        <v>218394.35663061068</v>
      </c>
      <c r="U4" s="8">
        <f t="shared" si="2"/>
        <v>218394.35663061068</v>
      </c>
      <c r="V4" s="8">
        <f t="shared" si="2"/>
        <v>218394.35663061068</v>
      </c>
      <c r="W4" s="8">
        <f t="shared" si="2"/>
        <v>218394.35663061068</v>
      </c>
      <c r="X4" s="8">
        <f t="shared" si="2"/>
        <v>218394.35663061068</v>
      </c>
      <c r="Y4" s="8">
        <f t="shared" si="2"/>
        <v>218394.35663061068</v>
      </c>
      <c r="Z4" s="8">
        <f t="shared" si="2"/>
        <v>218394.35663061068</v>
      </c>
      <c r="AA4" s="8">
        <f t="shared" si="2"/>
        <v>218394.35663061068</v>
      </c>
      <c r="AB4" s="8">
        <f t="shared" si="2"/>
        <v>218394.35663061068</v>
      </c>
      <c r="AC4" s="8">
        <f t="shared" si="2"/>
        <v>218394.35663061068</v>
      </c>
      <c r="AD4" s="8">
        <f t="shared" si="2"/>
        <v>218394.35663061068</v>
      </c>
      <c r="AE4" s="8">
        <f t="shared" si="2"/>
        <v>218394.35663061068</v>
      </c>
      <c r="AF4" s="8">
        <f t="shared" si="2"/>
        <v>218394.35663061068</v>
      </c>
      <c r="AG4" s="8">
        <f t="shared" si="2"/>
        <v>218394.35663061068</v>
      </c>
      <c r="AH4" s="8">
        <f t="shared" si="2"/>
        <v>218394.35663061068</v>
      </c>
    </row>
    <row r="5" spans="1:34">
      <c r="A5" t="s">
        <v>41</v>
      </c>
      <c r="B5" s="8">
        <f>'Scale to SEDS'!F78</f>
        <v>32142.24378393919</v>
      </c>
      <c r="C5" s="8">
        <f t="shared" ref="C5:AH5" si="3">B5</f>
        <v>32142.24378393919</v>
      </c>
      <c r="D5" s="8">
        <f t="shared" si="3"/>
        <v>32142.24378393919</v>
      </c>
      <c r="E5" s="8">
        <f t="shared" si="3"/>
        <v>32142.24378393919</v>
      </c>
      <c r="F5" s="8">
        <f t="shared" si="3"/>
        <v>32142.24378393919</v>
      </c>
      <c r="G5" s="8">
        <f t="shared" si="3"/>
        <v>32142.24378393919</v>
      </c>
      <c r="H5" s="8">
        <f t="shared" si="3"/>
        <v>32142.24378393919</v>
      </c>
      <c r="I5" s="8">
        <f t="shared" si="3"/>
        <v>32142.24378393919</v>
      </c>
      <c r="J5" s="8">
        <f t="shared" si="3"/>
        <v>32142.24378393919</v>
      </c>
      <c r="K5" s="8">
        <f t="shared" si="3"/>
        <v>32142.24378393919</v>
      </c>
      <c r="L5" s="8">
        <f t="shared" si="3"/>
        <v>32142.24378393919</v>
      </c>
      <c r="M5" s="8">
        <f t="shared" si="3"/>
        <v>32142.24378393919</v>
      </c>
      <c r="N5" s="8">
        <f t="shared" si="3"/>
        <v>32142.24378393919</v>
      </c>
      <c r="O5" s="8">
        <f t="shared" si="3"/>
        <v>32142.24378393919</v>
      </c>
      <c r="P5" s="8">
        <f t="shared" si="3"/>
        <v>32142.24378393919</v>
      </c>
      <c r="Q5" s="8">
        <f t="shared" si="3"/>
        <v>32142.24378393919</v>
      </c>
      <c r="R5" s="8">
        <f t="shared" si="3"/>
        <v>32142.24378393919</v>
      </c>
      <c r="S5" s="8">
        <f t="shared" si="3"/>
        <v>32142.24378393919</v>
      </c>
      <c r="T5" s="8">
        <f t="shared" si="3"/>
        <v>32142.24378393919</v>
      </c>
      <c r="U5" s="8">
        <f t="shared" si="3"/>
        <v>32142.24378393919</v>
      </c>
      <c r="V5" s="8">
        <f t="shared" si="3"/>
        <v>32142.24378393919</v>
      </c>
      <c r="W5" s="8">
        <f t="shared" si="3"/>
        <v>32142.24378393919</v>
      </c>
      <c r="X5" s="8">
        <f t="shared" si="3"/>
        <v>32142.24378393919</v>
      </c>
      <c r="Y5" s="8">
        <f t="shared" si="3"/>
        <v>32142.24378393919</v>
      </c>
      <c r="Z5" s="8">
        <f t="shared" si="3"/>
        <v>32142.24378393919</v>
      </c>
      <c r="AA5" s="8">
        <f t="shared" si="3"/>
        <v>32142.24378393919</v>
      </c>
      <c r="AB5" s="8">
        <f t="shared" si="3"/>
        <v>32142.24378393919</v>
      </c>
      <c r="AC5" s="8">
        <f t="shared" si="3"/>
        <v>32142.24378393919</v>
      </c>
      <c r="AD5" s="8">
        <f t="shared" si="3"/>
        <v>32142.24378393919</v>
      </c>
      <c r="AE5" s="8">
        <f t="shared" si="3"/>
        <v>32142.24378393919</v>
      </c>
      <c r="AF5" s="8">
        <f t="shared" si="3"/>
        <v>32142.24378393919</v>
      </c>
      <c r="AG5" s="8">
        <f t="shared" si="3"/>
        <v>32142.24378393919</v>
      </c>
      <c r="AH5" s="8">
        <f t="shared" si="3"/>
        <v>32142.24378393919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2024-03-04T21:18:23Z</dcterms:modified>
</cp:coreProperties>
</file>