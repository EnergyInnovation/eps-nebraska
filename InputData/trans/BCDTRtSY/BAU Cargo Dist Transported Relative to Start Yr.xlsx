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E\trans\BCDTRtSY\"/>
    </mc:Choice>
  </mc:AlternateContent>
  <xr:revisionPtr revIDLastSave="0" documentId="8_{462454BB-1EBA-4A84-98E8-B1EF1A168144}"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<sst xmlns="http://schemas.openxmlformats.org/spreadsheetml/2006/main" count="6428" uniqueCount="3038">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</sst>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2912</v>
      </c>
      <c r="C1" s="77">
        <v>46248</v>
      </c>
      <c r="H1" t="s">
        <v>2981</v>
      </c>
      <c r="I1" t="s">
        <v>2982</v>
      </c>
    </row>
    <row r="2" spans="1:9">
      <c r="B2" t="str">
        <f>VLOOKUP(B1,H2:I52,2)</f>
        <v>NE</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Nebraska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1.0075375767829811</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1.0165174896759832</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1.0224193124879204</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1.0279175099389355</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1.0326745710940199</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1.0362553099982943</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1.0400045309527293</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1.0423473690002039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1.0452965803944585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1.0473897828592607</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1.0501897914535507</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1.0534299118953705</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1.0567288657509322</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1.059418101163226</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1.0623126382886967</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1.0640936882084309</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1.0657493150779764</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1.0670603927785369</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1.068602162887256</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1.069918874446153</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1.0709613424031121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1.0711978725332978</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1.0715617913078732</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1.0716856823058243</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1.0722135544571203</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1.0193629241893623</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1.0329567759910301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1.0430971408903573</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1.052033761827575</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1.0595670526377952</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1.0648548578573362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1.0697265897639394</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1.0750930103593992</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1.0799958947974271</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1.0852333632978348</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1.0896908876389557</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1.0942871014674489</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1.0983846290186372</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1.1024661466267982</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1.1064999275436229</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1.1094984964534693</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1.1124530376757531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1.1150730859514784</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1.1175746623527427</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1.1199650103313445</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1.1219662479788286</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1.1238541501179746</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1.1253577360013451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1.1266831262408765</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1.1279364202584738</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1.0327995360528222</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1.0530632422600785</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1.0625486347258373</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1.076903822850686</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1.0954587021270312</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1.1124666969851875</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1.1339234253009023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1.1573388793285262</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1.1831868581249125</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1.2116738875604187</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1.233194603584248</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1.2548409253606381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1.2762853843245068</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1.2967738111163878</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1.3177665974039823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1.3370853640108384</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1.3575478502672034</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1.3794035862876177</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1.4012176090314881</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1.423208441331288</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1.4442035924264172</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1.4632274121001605</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1.4824727167942104</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1.5006654172012657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1.5193961171136763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1.0652056785943735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1.1141766867500436</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1.1517134809755833</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1.1845152205931773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1.2127479711280533</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1.23599507572085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1.2570813890211994</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1.2790833164927318</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1.2960307910197666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1.3129808996643668</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1.326204443323634</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1.340334390552641</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1.3531763696525472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1.363301085823776</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1.3738069964617869</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1.3824642311756876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1.3911631696315157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1.3982933229239496</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1.4062648724273394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1.4149193502377999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1.4219222550844091</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1.4296773569828853</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1.4350815225579621</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1.4400695084094899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1.4447511011720153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1.0033518741326439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0.99959935127356625</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0.98983841986317933</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0.9824894295591502</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0.97741129363735679</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0.97126672086505805</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0.96745430631374152</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0.96483256347223734</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0.96344987134752391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0.96336694295024761</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0.96027798630719274</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0.95721517674552581</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0.95397459278981434</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0.9506505089303704</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0.94740824895615983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0.94317449868472991</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0.93936187540258931</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0.9358403680552505</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0.93231142651004273</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0.9287418197773889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0.92468816589673541</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0.91996586970056515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0.91509069550335942</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0.90982387132736187</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0.90482404670657479</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1.00730160883357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1.016815099514357</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1.0233962337931362</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1.0297775115986605</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1.0351287028010188</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1.0399716522016211</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1.0448728516929089</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1.0482314338757728</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1.0519549136323294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1.0547629775617806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1.0583899322119108</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1.0624789323255535</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1.0665442528568585</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1.0698785457744584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1.0734510394243146</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1.0761988492906236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1.0786782065235756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1.0809230517521524</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1.0835163627577067</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1.0859782099360344</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1.0879672903067275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1.0892047081983662</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1.0903898305963475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1.0914149592895523</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1.0928538038060138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0.99748552841619986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1.0004291252980273</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1.0029977188822927</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1.0067389916430725</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1.0153037637697144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1.0218676637317836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1.0302769252448778</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1.0374026256899556</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1.0465245340981888</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1.0564067190187276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1.0666782114155482</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1.0782904465955887</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1.0912215785646366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1.1045868929601299</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1.1185420958374566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1.1312664486113175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1.1434052330339965</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1.1529222481680144</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1.1621962592259414</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1.1729303734245347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1.1841983870603379</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1.1962308872094318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1.2069693825717942</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1.2185729105496523</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1.2294227141826775</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1.0121502546093732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1.0285767449738876</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1.0441732088634501</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1.0571923115897444</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1.0726344396628473</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1.0829828382166846</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1.0942922090435092</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1.1034142999425833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1.1138463307948163</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1.1241749040549867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1.1337166674735257</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1.142572303871374</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1.150414295910871</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1.1576913601594707</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1.1651726450067379</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1.1721319880012202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1.1785607555300917</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1.1839486572906557</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1.1896804054039476</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1.197387844081754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1.2053395131335327</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1.2132159169950896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1.2188803439549358</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1.2244790893421933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1.2294961685750394</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1.028242516579883</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1.0487688844532053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1.0628534768003044</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1.0806905471488664</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1.1015755652574146</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1.1214593066633596</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1.1445574415485382</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1.1692189311531795</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1.1957646196722096</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1.2243229971147669</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1.2483889817021361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1.2727269956196663</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1.2971076550647573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1.3210024867362757</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1.3454274318196773</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1.3687437599322283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1.3930020461590416</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1.4183826326488806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1.4439010172822322</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1.4697059439363804</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1.4949873158501616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1.5190559211935433</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1.5434494137115258</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1.5672774759048085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1.5916763437270194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0.97861502129643319</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1.0115318408989709</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0.99211457000702385</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0.98559112490332257</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0.99346190576789783</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0.9686893189561393</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0.97346304948325413</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0.97839379359244338</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0.97632617566910551</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0.98022601381121666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0.98326032764395499</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0.98769623164951292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0.988810587097537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0.99151814532820792</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0.99321741423262466</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0.99279866336465949</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0.99021337771865858</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0.98827453221774064</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0.98886013172710574</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0.9888361973728188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0.99139097614721583</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0.99772094279871215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1.0013742494531139</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0.99901359969168357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0.99733401478656381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0.99350681808059982</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1.014055342844238</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1.0366796025773029</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1.0559646863406698</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1.0762182495730275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1.0944111324577515</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1.1147046729506804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1.1353295807161332</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1.1567184979600513</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1.1791671025307608</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1.1975742465632577</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1.212605010821215</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1.227647713491373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1.2415043928870861</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1.2554629805689546</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1.2687440124678191</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1.283133722470946</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1.2971100591570128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1.3109513236238981</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1.3262015714060404</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1.3416329436500691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1.3572821174814613</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1.3721576202420014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1.3867342323862653</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1.4028175819409701</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1.0075375767829811</v>
      </c>
      <c r="E2">
        <f>'BCDTRtSY-state-adjusted'!E5</f>
        <v>1.0165174896759832</v>
      </c>
      <c r="F2">
        <f>'BCDTRtSY-state-adjusted'!F5</f>
        <v>1.0224193124879204</v>
      </c>
      <c r="G2">
        <f>'BCDTRtSY-state-adjusted'!G5</f>
        <v>1.0279175099389355</v>
      </c>
      <c r="H2">
        <f>'BCDTRtSY-state-adjusted'!H5</f>
        <v>1.0326745710940199</v>
      </c>
      <c r="I2">
        <f>'BCDTRtSY-state-adjusted'!I5</f>
        <v>1.0362553099982943</v>
      </c>
      <c r="J2">
        <f>'BCDTRtSY-state-adjusted'!J5</f>
        <v>1.0400045309527293</v>
      </c>
      <c r="K2">
        <f>'BCDTRtSY-state-adjusted'!K5</f>
        <v>1.0423473690002039</v>
      </c>
      <c r="L2">
        <f>'BCDTRtSY-state-adjusted'!L5</f>
        <v>1.0452965803944585</v>
      </c>
      <c r="M2">
        <f>'BCDTRtSY-state-adjusted'!M5</f>
        <v>1.0473897828592607</v>
      </c>
      <c r="N2">
        <f>'BCDTRtSY-state-adjusted'!N5</f>
        <v>1.0501897914535507</v>
      </c>
      <c r="O2">
        <f>'BCDTRtSY-state-adjusted'!O5</f>
        <v>1.0534299118953705</v>
      </c>
      <c r="P2">
        <f>'BCDTRtSY-state-adjusted'!P5</f>
        <v>1.0567288657509322</v>
      </c>
      <c r="Q2">
        <f>'BCDTRtSY-state-adjusted'!Q5</f>
        <v>1.059418101163226</v>
      </c>
      <c r="R2">
        <f>'BCDTRtSY-state-adjusted'!R5</f>
        <v>1.0623126382886967</v>
      </c>
      <c r="S2">
        <f>'BCDTRtSY-state-adjusted'!S5</f>
        <v>1.0640936882084309</v>
      </c>
      <c r="T2">
        <f>'BCDTRtSY-state-adjusted'!T5</f>
        <v>1.0657493150779764</v>
      </c>
      <c r="U2">
        <f>'BCDTRtSY-state-adjusted'!U5</f>
        <v>1.0670603927785369</v>
      </c>
      <c r="V2">
        <f>'BCDTRtSY-state-adjusted'!V5</f>
        <v>1.068602162887256</v>
      </c>
      <c r="W2">
        <f>'BCDTRtSY-state-adjusted'!W5</f>
        <v>1.069918874446153</v>
      </c>
      <c r="X2">
        <f>'BCDTRtSY-state-adjusted'!X5</f>
        <v>1.0709613424031121</v>
      </c>
      <c r="Y2">
        <f>'BCDTRtSY-state-adjusted'!Y5</f>
        <v>1.0711978725332978</v>
      </c>
      <c r="Z2">
        <f>'BCDTRtSY-state-adjusted'!Z5</f>
        <v>1.0715617913078732</v>
      </c>
      <c r="AA2">
        <f>'BCDTRtSY-state-adjusted'!AA5</f>
        <v>1.0716856823058243</v>
      </c>
      <c r="AB2">
        <f>'BCDTRtSY-state-adjusted'!AB5</f>
        <v>1.0722135544571203</v>
      </c>
    </row>
    <row r="3" spans="1:28">
      <c r="A3" t="s">
        <v>118</v>
      </c>
      <c r="B3">
        <f>'BCDTRtSY-state-adjusted'!B6</f>
        <v>1</v>
      </c>
      <c r="C3">
        <f>'BCDTRtSY-state-adjusted'!C6</f>
        <v>1</v>
      </c>
      <c r="D3">
        <f>'BCDTRtSY-state-adjusted'!D6</f>
        <v>1.0193629241893623</v>
      </c>
      <c r="E3">
        <f>'BCDTRtSY-state-adjusted'!E6</f>
        <v>1.0329567759910301</v>
      </c>
      <c r="F3">
        <f>'BCDTRtSY-state-adjusted'!F6</f>
        <v>1.0430971408903573</v>
      </c>
      <c r="G3">
        <f>'BCDTRtSY-state-adjusted'!G6</f>
        <v>1.052033761827575</v>
      </c>
      <c r="H3">
        <f>'BCDTRtSY-state-adjusted'!H6</f>
        <v>1.0595670526377952</v>
      </c>
      <c r="I3">
        <f>'BCDTRtSY-state-adjusted'!I6</f>
        <v>1.0648548578573362</v>
      </c>
      <c r="J3">
        <f>'BCDTRtSY-state-adjusted'!J6</f>
        <v>1.0697265897639394</v>
      </c>
      <c r="K3">
        <f>'BCDTRtSY-state-adjusted'!K6</f>
        <v>1.0750930103593992</v>
      </c>
      <c r="L3">
        <f>'BCDTRtSY-state-adjusted'!L6</f>
        <v>1.0799958947974271</v>
      </c>
      <c r="M3">
        <f>'BCDTRtSY-state-adjusted'!M6</f>
        <v>1.0852333632978348</v>
      </c>
      <c r="N3">
        <f>'BCDTRtSY-state-adjusted'!N6</f>
        <v>1.0896908876389557</v>
      </c>
      <c r="O3">
        <f>'BCDTRtSY-state-adjusted'!O6</f>
        <v>1.0942871014674489</v>
      </c>
      <c r="P3">
        <f>'BCDTRtSY-state-adjusted'!P6</f>
        <v>1.0983846290186372</v>
      </c>
      <c r="Q3">
        <f>'BCDTRtSY-state-adjusted'!Q6</f>
        <v>1.1024661466267982</v>
      </c>
      <c r="R3">
        <f>'BCDTRtSY-state-adjusted'!R6</f>
        <v>1.1064999275436229</v>
      </c>
      <c r="S3">
        <f>'BCDTRtSY-state-adjusted'!S6</f>
        <v>1.1094984964534693</v>
      </c>
      <c r="T3">
        <f>'BCDTRtSY-state-adjusted'!T6</f>
        <v>1.1124530376757531</v>
      </c>
      <c r="U3">
        <f>'BCDTRtSY-state-adjusted'!U6</f>
        <v>1.1150730859514784</v>
      </c>
      <c r="V3">
        <f>'BCDTRtSY-state-adjusted'!V6</f>
        <v>1.1175746623527427</v>
      </c>
      <c r="W3">
        <f>'BCDTRtSY-state-adjusted'!W6</f>
        <v>1.1199650103313445</v>
      </c>
      <c r="X3">
        <f>'BCDTRtSY-state-adjusted'!X6</f>
        <v>1.1219662479788286</v>
      </c>
      <c r="Y3">
        <f>'BCDTRtSY-state-adjusted'!Y6</f>
        <v>1.1238541501179746</v>
      </c>
      <c r="Z3">
        <f>'BCDTRtSY-state-adjusted'!Z6</f>
        <v>1.1253577360013451</v>
      </c>
      <c r="AA3">
        <f>'BCDTRtSY-state-adjusted'!AA6</f>
        <v>1.1266831262408765</v>
      </c>
      <c r="AB3">
        <f>'BCDTRtSY-state-adjusted'!AB6</f>
        <v>1.1279364202584738</v>
      </c>
    </row>
    <row r="4" spans="1:28">
      <c r="A4" t="s">
        <v>116</v>
      </c>
      <c r="B4">
        <f>'BCDTRtSY-state-adjusted'!B7</f>
        <v>1</v>
      </c>
      <c r="C4">
        <f>'BCDTRtSY-state-adjusted'!C7</f>
        <v>1</v>
      </c>
      <c r="D4">
        <f>'BCDTRtSY-state-adjusted'!D7</f>
        <v>1.0327995360528222</v>
      </c>
      <c r="E4">
        <f>'BCDTRtSY-state-adjusted'!E7</f>
        <v>1.0530632422600785</v>
      </c>
      <c r="F4">
        <f>'BCDTRtSY-state-adjusted'!F7</f>
        <v>1.0625486347258373</v>
      </c>
      <c r="G4">
        <f>'BCDTRtSY-state-adjusted'!G7</f>
        <v>1.076903822850686</v>
      </c>
      <c r="H4">
        <f>'BCDTRtSY-state-adjusted'!H7</f>
        <v>1.0954587021270312</v>
      </c>
      <c r="I4">
        <f>'BCDTRtSY-state-adjusted'!I7</f>
        <v>1.1124666969851875</v>
      </c>
      <c r="J4">
        <f>'BCDTRtSY-state-adjusted'!J7</f>
        <v>1.1339234253009023</v>
      </c>
      <c r="K4">
        <f>'BCDTRtSY-state-adjusted'!K7</f>
        <v>1.1573388793285262</v>
      </c>
      <c r="L4">
        <f>'BCDTRtSY-state-adjusted'!L7</f>
        <v>1.1831868581249125</v>
      </c>
      <c r="M4">
        <f>'BCDTRtSY-state-adjusted'!M7</f>
        <v>1.2116738875604187</v>
      </c>
      <c r="N4">
        <f>'BCDTRtSY-state-adjusted'!N7</f>
        <v>1.233194603584248</v>
      </c>
      <c r="O4">
        <f>'BCDTRtSY-state-adjusted'!O7</f>
        <v>1.2548409253606381</v>
      </c>
      <c r="P4">
        <f>'BCDTRtSY-state-adjusted'!P7</f>
        <v>1.2762853843245068</v>
      </c>
      <c r="Q4">
        <f>'BCDTRtSY-state-adjusted'!Q7</f>
        <v>1.2967738111163878</v>
      </c>
      <c r="R4">
        <f>'BCDTRtSY-state-adjusted'!R7</f>
        <v>1.3177665974039823</v>
      </c>
      <c r="S4">
        <f>'BCDTRtSY-state-adjusted'!S7</f>
        <v>1.3370853640108384</v>
      </c>
      <c r="T4">
        <f>'BCDTRtSY-state-adjusted'!T7</f>
        <v>1.3575478502672034</v>
      </c>
      <c r="U4">
        <f>'BCDTRtSY-state-adjusted'!U7</f>
        <v>1.3794035862876177</v>
      </c>
      <c r="V4">
        <f>'BCDTRtSY-state-adjusted'!V7</f>
        <v>1.4012176090314881</v>
      </c>
      <c r="W4">
        <f>'BCDTRtSY-state-adjusted'!W7</f>
        <v>1.423208441331288</v>
      </c>
      <c r="X4">
        <f>'BCDTRtSY-state-adjusted'!X7</f>
        <v>1.4442035924264172</v>
      </c>
      <c r="Y4">
        <f>'BCDTRtSY-state-adjusted'!Y7</f>
        <v>1.4632274121001605</v>
      </c>
      <c r="Z4">
        <f>'BCDTRtSY-state-adjusted'!Z7</f>
        <v>1.4824727167942104</v>
      </c>
      <c r="AA4">
        <f>'BCDTRtSY-state-adjusted'!AA7</f>
        <v>1.5006654172012657</v>
      </c>
      <c r="AB4">
        <f>'BCDTRtSY-state-adjusted'!AB7</f>
        <v>1.5193961171136763</v>
      </c>
    </row>
    <row r="5" spans="1:28">
      <c r="A5" t="s">
        <v>121</v>
      </c>
      <c r="B5">
        <f>'BCDTRtSY-state-adjusted'!B8</f>
        <v>1</v>
      </c>
      <c r="C5">
        <f>'BCDTRtSY-state-adjusted'!C8</f>
        <v>1</v>
      </c>
      <c r="D5">
        <f>'BCDTRtSY-state-adjusted'!D8</f>
        <v>1.0652056785943735</v>
      </c>
      <c r="E5">
        <f>'BCDTRtSY-state-adjusted'!E8</f>
        <v>1.1141766867500436</v>
      </c>
      <c r="F5">
        <f>'BCDTRtSY-state-adjusted'!F8</f>
        <v>1.1517134809755833</v>
      </c>
      <c r="G5">
        <f>'BCDTRtSY-state-adjusted'!G8</f>
        <v>1.1845152205931773</v>
      </c>
      <c r="H5">
        <f>'BCDTRtSY-state-adjusted'!H8</f>
        <v>1.2127479711280533</v>
      </c>
      <c r="I5">
        <f>'BCDTRtSY-state-adjusted'!I8</f>
        <v>1.23599507572085</v>
      </c>
      <c r="J5">
        <f>'BCDTRtSY-state-adjusted'!J8</f>
        <v>1.2570813890211994</v>
      </c>
      <c r="K5">
        <f>'BCDTRtSY-state-adjusted'!K8</f>
        <v>1.2790833164927318</v>
      </c>
      <c r="L5">
        <f>'BCDTRtSY-state-adjusted'!L8</f>
        <v>1.2960307910197666</v>
      </c>
      <c r="M5">
        <f>'BCDTRtSY-state-adjusted'!M8</f>
        <v>1.3129808996643668</v>
      </c>
      <c r="N5">
        <f>'BCDTRtSY-state-adjusted'!N8</f>
        <v>1.326204443323634</v>
      </c>
      <c r="O5">
        <f>'BCDTRtSY-state-adjusted'!O8</f>
        <v>1.340334390552641</v>
      </c>
      <c r="P5">
        <f>'BCDTRtSY-state-adjusted'!P8</f>
        <v>1.3531763696525472</v>
      </c>
      <c r="Q5">
        <f>'BCDTRtSY-state-adjusted'!Q8</f>
        <v>1.363301085823776</v>
      </c>
      <c r="R5">
        <f>'BCDTRtSY-state-adjusted'!R8</f>
        <v>1.3738069964617869</v>
      </c>
      <c r="S5">
        <f>'BCDTRtSY-state-adjusted'!S8</f>
        <v>1.3824642311756876</v>
      </c>
      <c r="T5">
        <f>'BCDTRtSY-state-adjusted'!T8</f>
        <v>1.3911631696315157</v>
      </c>
      <c r="U5">
        <f>'BCDTRtSY-state-adjusted'!U8</f>
        <v>1.3982933229239496</v>
      </c>
      <c r="V5">
        <f>'BCDTRtSY-state-adjusted'!V8</f>
        <v>1.4062648724273394</v>
      </c>
      <c r="W5">
        <f>'BCDTRtSY-state-adjusted'!W8</f>
        <v>1.4149193502377999</v>
      </c>
      <c r="X5">
        <f>'BCDTRtSY-state-adjusted'!X8</f>
        <v>1.4219222550844091</v>
      </c>
      <c r="Y5">
        <f>'BCDTRtSY-state-adjusted'!Y8</f>
        <v>1.4296773569828853</v>
      </c>
      <c r="Z5">
        <f>'BCDTRtSY-state-adjusted'!Z8</f>
        <v>1.4350815225579621</v>
      </c>
      <c r="AA5">
        <f>'BCDTRtSY-state-adjusted'!AA8</f>
        <v>1.4400695084094899</v>
      </c>
      <c r="AB5">
        <f>'BCDTRtSY-state-adjusted'!AB8</f>
        <v>1.4447511011720153</v>
      </c>
    </row>
    <row r="6" spans="1:28">
      <c r="A6" t="s">
        <v>122</v>
      </c>
      <c r="B6">
        <f>'BCDTRtSY-state-adjusted'!B9</f>
        <v>1</v>
      </c>
      <c r="C6">
        <f>'BCDTRtSY-state-adjusted'!C9</f>
        <v>1</v>
      </c>
      <c r="D6">
        <f>'BCDTRtSY-state-adjusted'!D9</f>
        <v>1.0033518741326439</v>
      </c>
      <c r="E6">
        <f>'BCDTRtSY-state-adjusted'!E9</f>
        <v>0.99959935127356625</v>
      </c>
      <c r="F6">
        <f>'BCDTRtSY-state-adjusted'!F9</f>
        <v>0.98983841986317933</v>
      </c>
      <c r="G6">
        <f>'BCDTRtSY-state-adjusted'!G9</f>
        <v>0.9824894295591502</v>
      </c>
      <c r="H6">
        <f>'BCDTRtSY-state-adjusted'!H9</f>
        <v>0.97741129363735679</v>
      </c>
      <c r="I6">
        <f>'BCDTRtSY-state-adjusted'!I9</f>
        <v>0.97126672086505805</v>
      </c>
      <c r="J6">
        <f>'BCDTRtSY-state-adjusted'!J9</f>
        <v>0.96745430631374152</v>
      </c>
      <c r="K6">
        <f>'BCDTRtSY-state-adjusted'!K9</f>
        <v>0.96483256347223734</v>
      </c>
      <c r="L6">
        <f>'BCDTRtSY-state-adjusted'!L9</f>
        <v>0.96344987134752391</v>
      </c>
      <c r="M6">
        <f>'BCDTRtSY-state-adjusted'!M9</f>
        <v>0.96336694295024761</v>
      </c>
      <c r="N6">
        <f>'BCDTRtSY-state-adjusted'!N9</f>
        <v>0.96027798630719274</v>
      </c>
      <c r="O6">
        <f>'BCDTRtSY-state-adjusted'!O9</f>
        <v>0.95721517674552581</v>
      </c>
      <c r="P6">
        <f>'BCDTRtSY-state-adjusted'!P9</f>
        <v>0.95397459278981434</v>
      </c>
      <c r="Q6">
        <f>'BCDTRtSY-state-adjusted'!Q9</f>
        <v>0.9506505089303704</v>
      </c>
      <c r="R6">
        <f>'BCDTRtSY-state-adjusted'!R9</f>
        <v>0.94740824895615983</v>
      </c>
      <c r="S6">
        <f>'BCDTRtSY-state-adjusted'!S9</f>
        <v>0.94317449868472991</v>
      </c>
      <c r="T6">
        <f>'BCDTRtSY-state-adjusted'!T9</f>
        <v>0.93936187540258931</v>
      </c>
      <c r="U6">
        <f>'BCDTRtSY-state-adjusted'!U9</f>
        <v>0.9358403680552505</v>
      </c>
      <c r="V6">
        <f>'BCDTRtSY-state-adjusted'!V9</f>
        <v>0.93231142651004273</v>
      </c>
      <c r="W6">
        <f>'BCDTRtSY-state-adjusted'!W9</f>
        <v>0.9287418197773889</v>
      </c>
      <c r="X6">
        <f>'BCDTRtSY-state-adjusted'!X9</f>
        <v>0.92468816589673541</v>
      </c>
      <c r="Y6">
        <f>'BCDTRtSY-state-adjusted'!Y9</f>
        <v>0.91996586970056515</v>
      </c>
      <c r="Z6">
        <f>'BCDTRtSY-state-adjusted'!Z9</f>
        <v>0.91509069550335942</v>
      </c>
      <c r="AA6">
        <f>'BCDTRtSY-state-adjusted'!AA9</f>
        <v>0.90982387132736187</v>
      </c>
      <c r="AB6">
        <f>'BCDTRtSY-state-adjusted'!AB9</f>
        <v>0.90482404670657479</v>
      </c>
    </row>
    <row r="7" spans="1:28">
      <c r="A7" t="s">
        <v>123</v>
      </c>
      <c r="B7">
        <f>'BCDTRtSY-state-adjusted'!B10</f>
        <v>1</v>
      </c>
      <c r="C7">
        <f>'BCDTRtSY-state-adjusted'!C10</f>
        <v>1</v>
      </c>
      <c r="D7">
        <f>'BCDTRtSY-state-adjusted'!D10</f>
        <v>1.00730160883357</v>
      </c>
      <c r="E7">
        <f>'BCDTRtSY-state-adjusted'!E10</f>
        <v>1.016815099514357</v>
      </c>
      <c r="F7">
        <f>'BCDTRtSY-state-adjusted'!F10</f>
        <v>1.0233962337931362</v>
      </c>
      <c r="G7">
        <f>'BCDTRtSY-state-adjusted'!G10</f>
        <v>1.0297775115986605</v>
      </c>
      <c r="H7">
        <f>'BCDTRtSY-state-adjusted'!H10</f>
        <v>1.0351287028010188</v>
      </c>
      <c r="I7">
        <f>'BCDTRtSY-state-adjusted'!I10</f>
        <v>1.0399716522016211</v>
      </c>
      <c r="J7">
        <f>'BCDTRtSY-state-adjusted'!J10</f>
        <v>1.0448728516929089</v>
      </c>
      <c r="K7">
        <f>'BCDTRtSY-state-adjusted'!K10</f>
        <v>1.0482314338757728</v>
      </c>
      <c r="L7">
        <f>'BCDTRtSY-state-adjusted'!L10</f>
        <v>1.0519549136323294</v>
      </c>
      <c r="M7">
        <f>'BCDTRtSY-state-adjusted'!M10</f>
        <v>1.0547629775617806</v>
      </c>
      <c r="N7">
        <f>'BCDTRtSY-state-adjusted'!N10</f>
        <v>1.0583899322119108</v>
      </c>
      <c r="O7">
        <f>'BCDTRtSY-state-adjusted'!O10</f>
        <v>1.0624789323255535</v>
      </c>
      <c r="P7">
        <f>'BCDTRtSY-state-adjusted'!P10</f>
        <v>1.0665442528568585</v>
      </c>
      <c r="Q7">
        <f>'BCDTRtSY-state-adjusted'!Q10</f>
        <v>1.0698785457744584</v>
      </c>
      <c r="R7">
        <f>'BCDTRtSY-state-adjusted'!R10</f>
        <v>1.0734510394243146</v>
      </c>
      <c r="S7">
        <f>'BCDTRtSY-state-adjusted'!S10</f>
        <v>1.0761988492906236</v>
      </c>
      <c r="T7">
        <f>'BCDTRtSY-state-adjusted'!T10</f>
        <v>1.0786782065235756</v>
      </c>
      <c r="U7">
        <f>'BCDTRtSY-state-adjusted'!U10</f>
        <v>1.0809230517521524</v>
      </c>
      <c r="V7">
        <f>'BCDTRtSY-state-adjusted'!V10</f>
        <v>1.0835163627577067</v>
      </c>
      <c r="W7">
        <f>'BCDTRtSY-state-adjusted'!W10</f>
        <v>1.0859782099360344</v>
      </c>
      <c r="X7">
        <f>'BCDTRtSY-state-adjusted'!X10</f>
        <v>1.0879672903067275</v>
      </c>
      <c r="Y7">
        <f>'BCDTRtSY-state-adjusted'!Y10</f>
        <v>1.0892047081983662</v>
      </c>
      <c r="Z7">
        <f>'BCDTRtSY-state-adjusted'!Z10</f>
        <v>1.0903898305963475</v>
      </c>
      <c r="AA7">
        <f>'BCDTRtSY-state-adjusted'!AA10</f>
        <v>1.0914149592895523</v>
      </c>
      <c r="AB7">
        <f>'BCDTRtSY-state-adjusted'!AB10</f>
        <v>1.0928538038060138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0.99748552841619986</v>
      </c>
      <c r="E2">
        <f>'BCDTRtSY-state-adjusted'!E13</f>
        <v>1.0004291252980273</v>
      </c>
      <c r="F2">
        <f>'BCDTRtSY-state-adjusted'!F13</f>
        <v>1.0029977188822927</v>
      </c>
      <c r="G2">
        <f>'BCDTRtSY-state-adjusted'!G13</f>
        <v>1.0067389916430725</v>
      </c>
      <c r="H2">
        <f>'BCDTRtSY-state-adjusted'!H13</f>
        <v>1.0153037637697144</v>
      </c>
      <c r="I2">
        <f>'BCDTRtSY-state-adjusted'!I13</f>
        <v>1.0218676637317836</v>
      </c>
      <c r="J2">
        <f>'BCDTRtSY-state-adjusted'!J13</f>
        <v>1.0302769252448778</v>
      </c>
      <c r="K2">
        <f>'BCDTRtSY-state-adjusted'!K13</f>
        <v>1.0374026256899556</v>
      </c>
      <c r="L2">
        <f>'BCDTRtSY-state-adjusted'!L13</f>
        <v>1.0465245340981888</v>
      </c>
      <c r="M2">
        <f>'BCDTRtSY-state-adjusted'!M13</f>
        <v>1.0564067190187276</v>
      </c>
      <c r="N2">
        <f>'BCDTRtSY-state-adjusted'!N13</f>
        <v>1.0666782114155482</v>
      </c>
      <c r="O2">
        <f>'BCDTRtSY-state-adjusted'!O13</f>
        <v>1.0782904465955887</v>
      </c>
      <c r="P2">
        <f>'BCDTRtSY-state-adjusted'!P13</f>
        <v>1.0912215785646366</v>
      </c>
      <c r="Q2">
        <f>'BCDTRtSY-state-adjusted'!Q13</f>
        <v>1.1045868929601299</v>
      </c>
      <c r="R2">
        <f>'BCDTRtSY-state-adjusted'!R13</f>
        <v>1.1185420958374566</v>
      </c>
      <c r="S2">
        <f>'BCDTRtSY-state-adjusted'!S13</f>
        <v>1.1312664486113175</v>
      </c>
      <c r="T2">
        <f>'BCDTRtSY-state-adjusted'!T13</f>
        <v>1.1434052330339965</v>
      </c>
      <c r="U2">
        <f>'BCDTRtSY-state-adjusted'!U13</f>
        <v>1.1529222481680144</v>
      </c>
      <c r="V2">
        <f>'BCDTRtSY-state-adjusted'!V13</f>
        <v>1.1621962592259414</v>
      </c>
      <c r="W2">
        <f>'BCDTRtSY-state-adjusted'!W13</f>
        <v>1.1729303734245347</v>
      </c>
      <c r="X2">
        <f>'BCDTRtSY-state-adjusted'!X13</f>
        <v>1.1841983870603379</v>
      </c>
      <c r="Y2">
        <f>'BCDTRtSY-state-adjusted'!Y13</f>
        <v>1.1962308872094318</v>
      </c>
      <c r="Z2">
        <f>'BCDTRtSY-state-adjusted'!Z13</f>
        <v>1.2069693825717942</v>
      </c>
      <c r="AA2">
        <f>'BCDTRtSY-state-adjusted'!AA13</f>
        <v>1.2185729105496523</v>
      </c>
      <c r="AB2">
        <f>'BCDTRtSY-state-adjusted'!AB13</f>
        <v>1.2294227141826775</v>
      </c>
    </row>
    <row r="3" spans="1:28">
      <c r="A3" t="s">
        <v>118</v>
      </c>
      <c r="B3">
        <f>'BCDTRtSY-state-adjusted'!B14</f>
        <v>1</v>
      </c>
      <c r="C3">
        <f>'BCDTRtSY-state-adjusted'!C14</f>
        <v>1</v>
      </c>
      <c r="D3">
        <f>'BCDTRtSY-state-adjusted'!D14</f>
        <v>1.0121502546093732</v>
      </c>
      <c r="E3">
        <f>'BCDTRtSY-state-adjusted'!E14</f>
        <v>1.0285767449738876</v>
      </c>
      <c r="F3">
        <f>'BCDTRtSY-state-adjusted'!F14</f>
        <v>1.0441732088634501</v>
      </c>
      <c r="G3">
        <f>'BCDTRtSY-state-adjusted'!G14</f>
        <v>1.0571923115897444</v>
      </c>
      <c r="H3">
        <f>'BCDTRtSY-state-adjusted'!H14</f>
        <v>1.0726344396628473</v>
      </c>
      <c r="I3">
        <f>'BCDTRtSY-state-adjusted'!I14</f>
        <v>1.0829828382166846</v>
      </c>
      <c r="J3">
        <f>'BCDTRtSY-state-adjusted'!J14</f>
        <v>1.0942922090435092</v>
      </c>
      <c r="K3">
        <f>'BCDTRtSY-state-adjusted'!K14</f>
        <v>1.1034142999425833</v>
      </c>
      <c r="L3">
        <f>'BCDTRtSY-state-adjusted'!L14</f>
        <v>1.1138463307948163</v>
      </c>
      <c r="M3">
        <f>'BCDTRtSY-state-adjusted'!M14</f>
        <v>1.1241749040549867</v>
      </c>
      <c r="N3">
        <f>'BCDTRtSY-state-adjusted'!N14</f>
        <v>1.1337166674735257</v>
      </c>
      <c r="O3">
        <f>'BCDTRtSY-state-adjusted'!O14</f>
        <v>1.142572303871374</v>
      </c>
      <c r="P3">
        <f>'BCDTRtSY-state-adjusted'!P14</f>
        <v>1.150414295910871</v>
      </c>
      <c r="Q3">
        <f>'BCDTRtSY-state-adjusted'!Q14</f>
        <v>1.1576913601594707</v>
      </c>
      <c r="R3">
        <f>'BCDTRtSY-state-adjusted'!R14</f>
        <v>1.1651726450067379</v>
      </c>
      <c r="S3">
        <f>'BCDTRtSY-state-adjusted'!S14</f>
        <v>1.1721319880012202</v>
      </c>
      <c r="T3">
        <f>'BCDTRtSY-state-adjusted'!T14</f>
        <v>1.1785607555300917</v>
      </c>
      <c r="U3">
        <f>'BCDTRtSY-state-adjusted'!U14</f>
        <v>1.1839486572906557</v>
      </c>
      <c r="V3">
        <f>'BCDTRtSY-state-adjusted'!V14</f>
        <v>1.1896804054039476</v>
      </c>
      <c r="W3">
        <f>'BCDTRtSY-state-adjusted'!W14</f>
        <v>1.197387844081754</v>
      </c>
      <c r="X3">
        <f>'BCDTRtSY-state-adjusted'!X14</f>
        <v>1.2053395131335327</v>
      </c>
      <c r="Y3">
        <f>'BCDTRtSY-state-adjusted'!Y14</f>
        <v>1.2132159169950896</v>
      </c>
      <c r="Z3">
        <f>'BCDTRtSY-state-adjusted'!Z14</f>
        <v>1.2188803439549358</v>
      </c>
      <c r="AA3">
        <f>'BCDTRtSY-state-adjusted'!AA14</f>
        <v>1.2244790893421933</v>
      </c>
      <c r="AB3">
        <f>'BCDTRtSY-state-adjusted'!AB14</f>
        <v>1.2294961685750394</v>
      </c>
    </row>
    <row r="4" spans="1:28">
      <c r="A4" t="s">
        <v>116</v>
      </c>
      <c r="B4">
        <f>'BCDTRtSY-state-adjusted'!B15</f>
        <v>1</v>
      </c>
      <c r="C4">
        <f>'BCDTRtSY-state-adjusted'!C15</f>
        <v>1</v>
      </c>
      <c r="D4">
        <f>'BCDTRtSY-state-adjusted'!D15</f>
        <v>1.028242516579883</v>
      </c>
      <c r="E4">
        <f>'BCDTRtSY-state-adjusted'!E15</f>
        <v>1.0487688844532053</v>
      </c>
      <c r="F4">
        <f>'BCDTRtSY-state-adjusted'!F15</f>
        <v>1.0628534768003044</v>
      </c>
      <c r="G4">
        <f>'BCDTRtSY-state-adjusted'!G15</f>
        <v>1.0806905471488664</v>
      </c>
      <c r="H4">
        <f>'BCDTRtSY-state-adjusted'!H15</f>
        <v>1.1015755652574146</v>
      </c>
      <c r="I4">
        <f>'BCDTRtSY-state-adjusted'!I15</f>
        <v>1.1214593066633596</v>
      </c>
      <c r="J4">
        <f>'BCDTRtSY-state-adjusted'!J15</f>
        <v>1.1445574415485382</v>
      </c>
      <c r="K4">
        <f>'BCDTRtSY-state-adjusted'!K15</f>
        <v>1.1692189311531795</v>
      </c>
      <c r="L4">
        <f>'BCDTRtSY-state-adjusted'!L15</f>
        <v>1.1957646196722096</v>
      </c>
      <c r="M4">
        <f>'BCDTRtSY-state-adjusted'!M15</f>
        <v>1.2243229971147669</v>
      </c>
      <c r="N4">
        <f>'BCDTRtSY-state-adjusted'!N15</f>
        <v>1.2483889817021361</v>
      </c>
      <c r="O4">
        <f>'BCDTRtSY-state-adjusted'!O15</f>
        <v>1.2727269956196663</v>
      </c>
      <c r="P4">
        <f>'BCDTRtSY-state-adjusted'!P15</f>
        <v>1.2971076550647573</v>
      </c>
      <c r="Q4">
        <f>'BCDTRtSY-state-adjusted'!Q15</f>
        <v>1.3210024867362757</v>
      </c>
      <c r="R4">
        <f>'BCDTRtSY-state-adjusted'!R15</f>
        <v>1.3454274318196773</v>
      </c>
      <c r="S4">
        <f>'BCDTRtSY-state-adjusted'!S15</f>
        <v>1.3687437599322283</v>
      </c>
      <c r="T4">
        <f>'BCDTRtSY-state-adjusted'!T15</f>
        <v>1.3930020461590416</v>
      </c>
      <c r="U4">
        <f>'BCDTRtSY-state-adjusted'!U15</f>
        <v>1.4183826326488806</v>
      </c>
      <c r="V4">
        <f>'BCDTRtSY-state-adjusted'!V15</f>
        <v>1.4439010172822322</v>
      </c>
      <c r="W4">
        <f>'BCDTRtSY-state-adjusted'!W15</f>
        <v>1.4697059439363804</v>
      </c>
      <c r="X4">
        <f>'BCDTRtSY-state-adjusted'!X15</f>
        <v>1.4949873158501616</v>
      </c>
      <c r="Y4">
        <f>'BCDTRtSY-state-adjusted'!Y15</f>
        <v>1.5190559211935433</v>
      </c>
      <c r="Z4">
        <f>'BCDTRtSY-state-adjusted'!Z15</f>
        <v>1.5434494137115258</v>
      </c>
      <c r="AA4">
        <f>'BCDTRtSY-state-adjusted'!AA15</f>
        <v>1.5672774759048085</v>
      </c>
      <c r="AB4">
        <f>'BCDTRtSY-state-adjusted'!AB15</f>
        <v>1.5916763437270194</v>
      </c>
    </row>
    <row r="5" spans="1:28">
      <c r="A5" t="s">
        <v>121</v>
      </c>
      <c r="B5">
        <f>'BCDTRtSY-state-adjusted'!B16</f>
        <v>1</v>
      </c>
      <c r="C5">
        <f>'BCDTRtSY-state-adjusted'!C16</f>
        <v>1</v>
      </c>
      <c r="D5">
        <f>'BCDTRtSY-state-adjusted'!D16</f>
        <v>0.97861502129643319</v>
      </c>
      <c r="E5">
        <f>'BCDTRtSY-state-adjusted'!E16</f>
        <v>1.0115318408989709</v>
      </c>
      <c r="F5">
        <f>'BCDTRtSY-state-adjusted'!F16</f>
        <v>0.99211457000702385</v>
      </c>
      <c r="G5">
        <f>'BCDTRtSY-state-adjusted'!G16</f>
        <v>0.98559112490332257</v>
      </c>
      <c r="H5">
        <f>'BCDTRtSY-state-adjusted'!H16</f>
        <v>0.99346190576789783</v>
      </c>
      <c r="I5">
        <f>'BCDTRtSY-state-adjusted'!I16</f>
        <v>0.9686893189561393</v>
      </c>
      <c r="J5">
        <f>'BCDTRtSY-state-adjusted'!J16</f>
        <v>0.97346304948325413</v>
      </c>
      <c r="K5">
        <f>'BCDTRtSY-state-adjusted'!K16</f>
        <v>0.97839379359244338</v>
      </c>
      <c r="L5">
        <f>'BCDTRtSY-state-adjusted'!L16</f>
        <v>0.97632617566910551</v>
      </c>
      <c r="M5">
        <f>'BCDTRtSY-state-adjusted'!M16</f>
        <v>0.98022601381121666</v>
      </c>
      <c r="N5">
        <f>'BCDTRtSY-state-adjusted'!N16</f>
        <v>0.98326032764395499</v>
      </c>
      <c r="O5">
        <f>'BCDTRtSY-state-adjusted'!O16</f>
        <v>0.98769623164951292</v>
      </c>
      <c r="P5">
        <f>'BCDTRtSY-state-adjusted'!P16</f>
        <v>0.988810587097537</v>
      </c>
      <c r="Q5">
        <f>'BCDTRtSY-state-adjusted'!Q16</f>
        <v>0.99151814532820792</v>
      </c>
      <c r="R5">
        <f>'BCDTRtSY-state-adjusted'!R16</f>
        <v>0.99321741423262466</v>
      </c>
      <c r="S5">
        <f>'BCDTRtSY-state-adjusted'!S16</f>
        <v>0.99279866336465949</v>
      </c>
      <c r="T5">
        <f>'BCDTRtSY-state-adjusted'!T16</f>
        <v>0.99021337771865858</v>
      </c>
      <c r="U5">
        <f>'BCDTRtSY-state-adjusted'!U16</f>
        <v>0.98827453221774064</v>
      </c>
      <c r="V5">
        <f>'BCDTRtSY-state-adjusted'!V16</f>
        <v>0.98886013172710574</v>
      </c>
      <c r="W5">
        <f>'BCDTRtSY-state-adjusted'!W16</f>
        <v>0.9888361973728188</v>
      </c>
      <c r="X5">
        <f>'BCDTRtSY-state-adjusted'!X16</f>
        <v>0.99139097614721583</v>
      </c>
      <c r="Y5">
        <f>'BCDTRtSY-state-adjusted'!Y16</f>
        <v>0.99772094279871215</v>
      </c>
      <c r="Z5">
        <f>'BCDTRtSY-state-adjusted'!Z16</f>
        <v>1.0013742494531139</v>
      </c>
      <c r="AA5">
        <f>'BCDTRtSY-state-adjusted'!AA16</f>
        <v>0.99901359969168357</v>
      </c>
      <c r="AB5">
        <f>'BCDTRtSY-state-adjusted'!AB16</f>
        <v>0.99733401478656381</v>
      </c>
    </row>
    <row r="6" spans="1:28">
      <c r="A6" t="s">
        <v>122</v>
      </c>
      <c r="B6">
        <f>'BCDTRtSY-state-adjusted'!B17</f>
        <v>1</v>
      </c>
      <c r="C6">
        <f>'BCDTRtSY-state-adjusted'!C17</f>
        <v>1</v>
      </c>
      <c r="D6">
        <f>'BCDTRtSY-state-adjusted'!D17</f>
        <v>0.99350681808059982</v>
      </c>
      <c r="E6">
        <f>'BCDTRtSY-state-adjusted'!E17</f>
        <v>1.014055342844238</v>
      </c>
      <c r="F6">
        <f>'BCDTRtSY-state-adjusted'!F17</f>
        <v>1.0366796025773029</v>
      </c>
      <c r="G6">
        <f>'BCDTRtSY-state-adjusted'!G17</f>
        <v>1.0559646863406698</v>
      </c>
      <c r="H6">
        <f>'BCDTRtSY-state-adjusted'!H17</f>
        <v>1.0762182495730275</v>
      </c>
      <c r="I6">
        <f>'BCDTRtSY-state-adjusted'!I17</f>
        <v>1.0944111324577515</v>
      </c>
      <c r="J6">
        <f>'BCDTRtSY-state-adjusted'!J17</f>
        <v>1.1147046729506804</v>
      </c>
      <c r="K6">
        <f>'BCDTRtSY-state-adjusted'!K17</f>
        <v>1.1353295807161332</v>
      </c>
      <c r="L6">
        <f>'BCDTRtSY-state-adjusted'!L17</f>
        <v>1.1567184979600513</v>
      </c>
      <c r="M6">
        <f>'BCDTRtSY-state-adjusted'!M17</f>
        <v>1.1791671025307608</v>
      </c>
      <c r="N6">
        <f>'BCDTRtSY-state-adjusted'!N17</f>
        <v>1.1975742465632577</v>
      </c>
      <c r="O6">
        <f>'BCDTRtSY-state-adjusted'!O17</f>
        <v>1.212605010821215</v>
      </c>
      <c r="P6">
        <f>'BCDTRtSY-state-adjusted'!P17</f>
        <v>1.227647713491373</v>
      </c>
      <c r="Q6">
        <f>'BCDTRtSY-state-adjusted'!Q17</f>
        <v>1.2415043928870861</v>
      </c>
      <c r="R6">
        <f>'BCDTRtSY-state-adjusted'!R17</f>
        <v>1.2554629805689546</v>
      </c>
      <c r="S6">
        <f>'BCDTRtSY-state-adjusted'!S17</f>
        <v>1.2687440124678191</v>
      </c>
      <c r="T6">
        <f>'BCDTRtSY-state-adjusted'!T17</f>
        <v>1.283133722470946</v>
      </c>
      <c r="U6">
        <f>'BCDTRtSY-state-adjusted'!U17</f>
        <v>1.2971100591570128</v>
      </c>
      <c r="V6">
        <f>'BCDTRtSY-state-adjusted'!V17</f>
        <v>1.3109513236238981</v>
      </c>
      <c r="W6">
        <f>'BCDTRtSY-state-adjusted'!W17</f>
        <v>1.3262015714060404</v>
      </c>
      <c r="X6">
        <f>'BCDTRtSY-state-adjusted'!X17</f>
        <v>1.3416329436500691</v>
      </c>
      <c r="Y6">
        <f>'BCDTRtSY-state-adjusted'!Y17</f>
        <v>1.3572821174814613</v>
      </c>
      <c r="Z6">
        <f>'BCDTRtSY-state-adjusted'!Z17</f>
        <v>1.3721576202420014</v>
      </c>
      <c r="AA6">
        <f>'BCDTRtSY-state-adjusted'!AA17</f>
        <v>1.3867342323862653</v>
      </c>
      <c r="AB6">
        <f>'BCDTRtSY-state-adjusted'!AB17</f>
        <v>1.4028175819409701</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2026-08-14T21:49:15Z</dcterms:modified>
</cp:coreProperties>
</file>