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NE\trans\BNoEVC\"/>
    </mc:Choice>
  </mc:AlternateContent>
  <xr:revisionPtr revIDLastSave="0" documentId="8_{0CAC1B22-D998-4445-960B-7801CA7567A9}" xr6:coauthVersionLast="47" xr6:coauthVersionMax="47" xr10:uidLastSave="{00000000-0000-0000-0000-000000000000}"/>
  <bookViews>
    <workbookView xWindow="234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F9" i="9" l="1"/>
  <c r="E2" i="3"/>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<sst xmlns="http://schemas.openxmlformats.org/spreadsheetml/2006/main" count="212" uniqueCount="159">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</sst>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76</v>
      </c>
      <c r="C1" s="52">
        <v>45258</v>
      </c>
      <c r="F1" s="51" t="s">
        <v>49</v>
      </c>
      <c r="G1" s="51" t="s">
        <v>107</v>
      </c>
    </row>
    <row r="2" spans="1:7">
      <c r="B2" t="str">
        <f>LOOKUP(B1,F1:G50,G1:G50)</f>
        <v>NE</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Nebraska</v>
      </c>
      <c r="B6">
        <f>SUMIFS('2022'!C:C,'2022'!A:A,'BNoEVC-calcs'!A6)</f>
        <v>446</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446</v>
      </c>
      <c r="C9">
        <f>B9</f>
        <v>446</v>
      </c>
      <c r="D9">
        <f>C9*D3</f>
        <v>814.2442070472556</v>
      </c>
      <c r="E9">
        <f t="shared" ref="E9:AE9" si="1">D9*E3</f>
        <v>1179.9263504855039</v>
      </c>
      <c r="F9">
        <f t="shared" si="1"/>
        <v>1549.9640020590643</v>
      </c>
      <c r="G9">
        <f t="shared" si="1"/>
        <v>1924.8695744897866</v>
      </c>
      <c r="H9">
        <f t="shared" si="1"/>
        <v>2094.6907218265333</v>
      </c>
      <c r="I9">
        <f t="shared" si="1"/>
        <v>2270.4046154639959</v>
      </c>
      <c r="J9">
        <f t="shared" si="1"/>
        <v>2452.2674617631242</v>
      </c>
      <c r="K9">
        <f t="shared" si="1"/>
        <v>2640.7916734456226</v>
      </c>
      <c r="L9">
        <f t="shared" si="1"/>
        <v>2836.2334568724405</v>
      </c>
      <c r="M9">
        <f t="shared" si="1"/>
        <v>2958.9126338034566</v>
      </c>
      <c r="N9">
        <f t="shared" si="1"/>
        <v>3081.591810734521</v>
      </c>
      <c r="O9">
        <f t="shared" si="1"/>
        <v>3204.2709876655367</v>
      </c>
      <c r="P9">
        <f t="shared" si="1"/>
        <v>3326.9501645965524</v>
      </c>
      <c r="Q9">
        <f t="shared" si="1"/>
        <v>3449.6293415276168</v>
      </c>
      <c r="R9">
        <f t="shared" si="1"/>
        <v>3572.308518458633</v>
      </c>
      <c r="S9">
        <f t="shared" si="1"/>
        <v>3694.9876953896487</v>
      </c>
      <c r="T9">
        <f t="shared" si="1"/>
        <v>3817.6668723206644</v>
      </c>
      <c r="U9">
        <f t="shared" si="1"/>
        <v>3940.3460492517283</v>
      </c>
      <c r="V9">
        <f t="shared" si="1"/>
        <v>4063.0252261827445</v>
      </c>
      <c r="W9">
        <f t="shared" si="1"/>
        <v>4185.7044031137602</v>
      </c>
      <c r="X9">
        <f t="shared" si="1"/>
        <v>4308.3835800448242</v>
      </c>
      <c r="Y9">
        <f t="shared" si="1"/>
        <v>4431.0627569758408</v>
      </c>
      <c r="Z9">
        <f t="shared" si="1"/>
        <v>4553.7419339068565</v>
      </c>
      <c r="AA9">
        <f t="shared" si="1"/>
        <v>4676.4211108378731</v>
      </c>
      <c r="AB9">
        <f t="shared" si="1"/>
        <v>4799.1002877689371</v>
      </c>
      <c r="AC9">
        <f t="shared" si="1"/>
        <v>4921.7794646999528</v>
      </c>
      <c r="AD9">
        <f t="shared" si="1"/>
        <v>5044.4586416309685</v>
      </c>
      <c r="AE9">
        <f t="shared" si="1"/>
        <v>5167.1378185620324</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446</v>
      </c>
      <c r="C2" s="54">
        <f>'BNoEVC-calcs'!C9</f>
        <v>446</v>
      </c>
      <c r="D2" s="54">
        <f>'BNoEVC-calcs'!D9</f>
        <v>814.2442070472556</v>
      </c>
      <c r="E2" s="54">
        <f>'BNoEVC-calcs'!E9</f>
        <v>1179.9263504855039</v>
      </c>
      <c r="F2" s="54">
        <f>'BNoEVC-calcs'!F9</f>
        <v>1549.9640020590643</v>
      </c>
      <c r="G2" s="54">
        <f>'BNoEVC-calcs'!G9</f>
        <v>1924.8695744897866</v>
      </c>
      <c r="H2" s="54">
        <f>'BNoEVC-calcs'!H9</f>
        <v>2094.6907218265333</v>
      </c>
      <c r="I2" s="54">
        <f>'BNoEVC-calcs'!I9</f>
        <v>2270.4046154639959</v>
      </c>
      <c r="J2" s="54">
        <f>'BNoEVC-calcs'!J9</f>
        <v>2452.2674617631242</v>
      </c>
      <c r="K2" s="54">
        <f>'BNoEVC-calcs'!K9</f>
        <v>2640.7916734456226</v>
      </c>
      <c r="L2" s="54">
        <f>'BNoEVC-calcs'!L9</f>
        <v>2836.2334568724405</v>
      </c>
      <c r="M2" s="54">
        <f>'BNoEVC-calcs'!M9</f>
        <v>2958.9126338034566</v>
      </c>
      <c r="N2" s="54">
        <f>'BNoEVC-calcs'!N9</f>
        <v>3081.591810734521</v>
      </c>
      <c r="O2" s="54">
        <f>'BNoEVC-calcs'!O9</f>
        <v>3204.2709876655367</v>
      </c>
      <c r="P2" s="54">
        <f>'BNoEVC-calcs'!P9</f>
        <v>3326.9501645965524</v>
      </c>
      <c r="Q2" s="54">
        <f>'BNoEVC-calcs'!Q9</f>
        <v>3449.6293415276168</v>
      </c>
      <c r="R2" s="54">
        <f>'BNoEVC-calcs'!R9</f>
        <v>3572.308518458633</v>
      </c>
      <c r="S2" s="54">
        <f>'BNoEVC-calcs'!S9</f>
        <v>3694.9876953896487</v>
      </c>
      <c r="T2" s="54">
        <f>'BNoEVC-calcs'!T9</f>
        <v>3817.6668723206644</v>
      </c>
      <c r="U2" s="54">
        <f>'BNoEVC-calcs'!U9</f>
        <v>3940.3460492517283</v>
      </c>
      <c r="V2" s="54">
        <f>'BNoEVC-calcs'!V9</f>
        <v>4063.0252261827445</v>
      </c>
      <c r="W2" s="54">
        <f>'BNoEVC-calcs'!W9</f>
        <v>4185.7044031137602</v>
      </c>
      <c r="X2" s="54">
        <f>'BNoEVC-calcs'!X9</f>
        <v>4308.3835800448242</v>
      </c>
      <c r="Y2" s="54">
        <f>'BNoEVC-calcs'!Y9</f>
        <v>4431.0627569758408</v>
      </c>
      <c r="Z2" s="54">
        <f>'BNoEVC-calcs'!Z9</f>
        <v>4553.7419339068565</v>
      </c>
      <c r="AA2" s="54">
        <f>'BNoEVC-calcs'!AA9</f>
        <v>4676.4211108378731</v>
      </c>
      <c r="AB2" s="54">
        <f>'BNoEVC-calcs'!AB9</f>
        <v>4799.1002877689371</v>
      </c>
      <c r="AC2" s="54">
        <f>'BNoEVC-calcs'!AC9</f>
        <v>4921.7794646999528</v>
      </c>
      <c r="AD2" s="54">
        <f>'BNoEVC-calcs'!AD9</f>
        <v>5044.4586416309685</v>
      </c>
      <c r="AE2" s="54">
        <f>'BNoEVC-calcs'!AE9</f>
        <v>5167.1378185620324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2023-11-28T21:56:02Z</dcterms:modified>
</cp:coreProperties>
</file>