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defaultThemeVersion="124226"/>
  <mc:AlternateContent xmlns:mc="http://schemas.openxmlformats.org/markup-compatibility/2006">
    <mc:Choice Requires="x15">
      <x15ac:absPath xmlns:x15ac="http://schemas.microsoft.com/office/spreadsheetml/2010/11/ac" url="C:\Users\olivia\Documents\EPS_Models by Region\RMI\RMI_all_states\NE\trans\BNVFE\"/>
    </mc:Choice>
  </mc:AlternateContent>
  <xr:revisionPtr revIDLastSave="0" documentId="8_{D3C07A1C-4DB5-4C87-AFD6-40DBB2BDF181}" xr6:coauthVersionLast="47" xr6:coauthVersionMax="47" xr10:uidLastSave="{00000000-0000-0000-0000-000000000000}"/>
  <bookViews>
    <workbookView xWindow="10510" yWindow="0" windowWidth="15090" windowHeight="13800" firstSheet="25" activeTab="26" xr2:uid="{00000000-000D-0000-FFFF-FFFF00000000}"/>
  </bookViews>
  <sheets>
    <sheet name="About" sheetId="1" r:id="rId1"/>
    <sheet name="AEO 7" sheetId="4" r:id="rId2"/>
    <sheet name="AEO 7 (2020)" sheetId="32" r:id="rId3"/>
    <sheet name="AEO 35" sheetId="21" r:id="rId4"/>
    <sheet name="AEO 36" sheetId="27" r:id="rId5"/>
    <sheet name="AEO 38" sheetId="26" r:id="rId6"/>
    <sheet name="AEO 40" sheetId="25" r:id="rId7"/>
    <sheet name="AEO 44" sheetId="38" r:id="rId8"/>
    <sheet name="AEO 47" sheetId="16" r:id="rId9"/>
    <sheet name="AEO 48" sheetId="17" r:id="rId10"/>
    <sheet name="AEO 49" sheetId="28" r:id="rId11"/>
    <sheet name="AEO 49 (2020)" sheetId="36" r:id="rId12"/>
    <sheet name="psgr LDVs" sheetId="31" r:id="rId13"/>
    <sheet name="NTS 1-40" sheetId="20" r:id="rId14"/>
    <sheet name="NRBS 40" sheetId="19" r:id="rId15"/>
    <sheet name="NAP F28" sheetId="37" r:id="rId16"/>
    <sheet name="SYFAFE-passenger" sheetId="39" r:id="rId17"/>
    <sheet name="SYFAFE-freight" sheetId="29" r:id="rId18"/>
    <sheet name="Fuel Economy Stds" sheetId="40" r:id="rId19"/>
    <sheet name="Calculations Etc" sheetId="18" r:id="rId20"/>
    <sheet name="BNVFE-LDVs-psgr" sheetId="2" r:id="rId21"/>
    <sheet name="BNVFE-LDVs-frgt" sheetId="5" r:id="rId22"/>
    <sheet name="BNVFE-HDVs-psgr" sheetId="6" r:id="rId23"/>
    <sheet name="BNVFE-HDVs-frgt" sheetId="7" r:id="rId24"/>
    <sheet name="BNVFE-aircraft-psgr" sheetId="8" r:id="rId25"/>
    <sheet name="BNVFE-aircraft-frgt" sheetId="9" r:id="rId26"/>
    <sheet name="BNVFE-rail-psgr" sheetId="10" r:id="rId27"/>
    <sheet name="BNVFE-rail-frgt" sheetId="11" r:id="rId28"/>
    <sheet name="BNVFE-ships-psgr" sheetId="12" r:id="rId29"/>
    <sheet name="BNVFE-ships-frgt" sheetId="13" r:id="rId30"/>
    <sheet name="BNVFE-motorbikes-psgr" sheetId="14" r:id="rId31"/>
    <sheet name="BNVFE-motorbikes-frgt" sheetId="15" r:id="rId32"/>
    <sheet name="BNVFE_data for BHNVFEAL" sheetId="24" r:id="rId33"/>
  </sheets>
  <externalReferences>
    <externalReference r:id="rId34"/>
    <externalReference r:id="rId35"/>
    <externalReference r:id="rId36"/>
    <externalReference r:id="rId37"/>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18">#REF!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18">#REF!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5" i="10" l="1"/>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B5" i="10"/>
  <c r="J61" i="40"/>
  <c r="K61" i="40"/>
  <c r="L61" i="40"/>
  <c r="M61" i="40"/>
  <c r="N61" i="40"/>
  <c r="N4" i="2" s="1"/>
  <c r="O61" i="40"/>
  <c r="O4" i="2" s="1"/>
  <c r="P61" i="40"/>
  <c r="Q61" i="40"/>
  <c r="Q4" i="2" s="1"/>
  <c r="R61" i="40"/>
  <c r="S61" i="40"/>
  <c r="T61" i="40"/>
  <c r="U61" i="40"/>
  <c r="V61" i="40"/>
  <c r="V4" i="2" s="1"/>
  <c r="W61" i="40"/>
  <c r="W4" i="2" s="1"/>
  <c r="X61" i="40"/>
  <c r="Y61" i="40"/>
  <c r="Y4" i="2" s="1"/>
  <c r="Z61" i="40"/>
  <c r="AA61" i="40"/>
  <c r="AB61" i="40"/>
  <c r="AC61" i="40"/>
  <c r="AD61" i="40"/>
  <c r="AD4" i="2" s="1"/>
  <c r="AE61" i="40"/>
  <c r="AE4" i="2" s="1"/>
  <c r="AF61" i="40"/>
  <c r="I61" i="40"/>
  <c r="I4" i="2" s="1"/>
  <c r="C4" i="2"/>
  <c r="D4" i="2"/>
  <c r="E4" i="2"/>
  <c r="F4" i="2"/>
  <c r="G4" i="2"/>
  <c r="H4" i="2"/>
  <c r="J4" i="2"/>
  <c r="K4" i="2"/>
  <c r="L4" i="2"/>
  <c r="M4" i="2"/>
  <c r="P4" i="2"/>
  <c r="R4" i="2"/>
  <c r="S4" i="2"/>
  <c r="T4" i="2"/>
  <c r="U4" i="2"/>
  <c r="X4" i="2"/>
  <c r="Z4" i="2"/>
  <c r="AA4" i="2"/>
  <c r="AB4" i="2"/>
  <c r="AC4" i="2"/>
  <c r="AF4" i="2"/>
  <c r="B4" i="2"/>
  <c r="B61" i="40"/>
  <c r="C61" i="40"/>
  <c r="D61" i="40"/>
  <c r="E61" i="40"/>
  <c r="F61" i="40"/>
  <c r="G61" i="40"/>
  <c r="C9" i="40" l="1"/>
  <c r="D9" i="40"/>
  <c r="E9" i="40"/>
  <c r="F9" i="40"/>
  <c r="G9" i="40"/>
  <c r="H9" i="40"/>
  <c r="H51" i="40" s="1"/>
  <c r="I9" i="40"/>
  <c r="J9" i="40"/>
  <c r="J51" i="40" s="1"/>
  <c r="K9" i="40"/>
  <c r="L9" i="40"/>
  <c r="M9" i="40"/>
  <c r="N9" i="40"/>
  <c r="O9" i="40"/>
  <c r="P9" i="40"/>
  <c r="P51" i="40" s="1"/>
  <c r="Q9" i="40"/>
  <c r="R9" i="40"/>
  <c r="R51" i="40" s="1"/>
  <c r="S9" i="40"/>
  <c r="T9" i="40"/>
  <c r="U9" i="40"/>
  <c r="V9" i="40"/>
  <c r="W9" i="40"/>
  <c r="X9" i="40"/>
  <c r="X51" i="40" s="1"/>
  <c r="Y9" i="40"/>
  <c r="Z9" i="40"/>
  <c r="Z51" i="40" s="1"/>
  <c r="AA9" i="40"/>
  <c r="AB9" i="40"/>
  <c r="AC9" i="40"/>
  <c r="AD9" i="40"/>
  <c r="AE9" i="40"/>
  <c r="AF9" i="40"/>
  <c r="AF51" i="40" s="1"/>
  <c r="C10" i="40"/>
  <c r="D10" i="40"/>
  <c r="E10" i="40"/>
  <c r="F10" i="40"/>
  <c r="G10" i="40"/>
  <c r="H10" i="40"/>
  <c r="I10" i="40"/>
  <c r="J10" i="40"/>
  <c r="J52" i="40" s="1"/>
  <c r="K10" i="40"/>
  <c r="L10" i="40"/>
  <c r="L52" i="40" s="1"/>
  <c r="M10" i="40"/>
  <c r="N10" i="40"/>
  <c r="O10" i="40"/>
  <c r="P10" i="40"/>
  <c r="Q10" i="40"/>
  <c r="R10" i="40"/>
  <c r="S10" i="40"/>
  <c r="T10" i="40"/>
  <c r="T52" i="40" s="1"/>
  <c r="U10" i="40"/>
  <c r="V10" i="40"/>
  <c r="W10" i="40"/>
  <c r="X10" i="40"/>
  <c r="Y10" i="40"/>
  <c r="Z10" i="40"/>
  <c r="AA10" i="40"/>
  <c r="AB10" i="40"/>
  <c r="AC10" i="40"/>
  <c r="AD10" i="40"/>
  <c r="AE10" i="40"/>
  <c r="AF10" i="40"/>
  <c r="D53" i="40"/>
  <c r="L53" i="40"/>
  <c r="N53" i="40"/>
  <c r="T53" i="40"/>
  <c r="V53" i="40"/>
  <c r="AB53" i="40"/>
  <c r="AD53" i="40"/>
  <c r="C12" i="40"/>
  <c r="D12" i="40"/>
  <c r="E12" i="40"/>
  <c r="F12" i="40"/>
  <c r="F54" i="40" s="1"/>
  <c r="G12" i="40"/>
  <c r="H12" i="40"/>
  <c r="I12" i="40"/>
  <c r="J12" i="40"/>
  <c r="K12" i="40"/>
  <c r="L12" i="40"/>
  <c r="M12" i="40"/>
  <c r="N12" i="40"/>
  <c r="N54" i="40" s="1"/>
  <c r="O12" i="40"/>
  <c r="P12" i="40"/>
  <c r="P54" i="40" s="1"/>
  <c r="Q12" i="40"/>
  <c r="R12" i="40"/>
  <c r="S12" i="40"/>
  <c r="T12" i="40"/>
  <c r="U12" i="40"/>
  <c r="V12" i="40"/>
  <c r="V54" i="40" s="1"/>
  <c r="W12" i="40"/>
  <c r="X12" i="40"/>
  <c r="Y12" i="40"/>
  <c r="Z12" i="40"/>
  <c r="AA12" i="40"/>
  <c r="AB12" i="40"/>
  <c r="AC12" i="40"/>
  <c r="AD12" i="40"/>
  <c r="AE12" i="40"/>
  <c r="AF12" i="40"/>
  <c r="AF54" i="40" s="1"/>
  <c r="C13" i="40"/>
  <c r="D13" i="40"/>
  <c r="E13" i="40"/>
  <c r="F13" i="40"/>
  <c r="G13" i="40"/>
  <c r="H13" i="40"/>
  <c r="H55" i="40" s="1"/>
  <c r="I13" i="40"/>
  <c r="J13" i="40"/>
  <c r="J55" i="40" s="1"/>
  <c r="K13" i="40"/>
  <c r="L13" i="40"/>
  <c r="M13" i="40"/>
  <c r="N13" i="40"/>
  <c r="O13" i="40"/>
  <c r="P13" i="40"/>
  <c r="P55" i="40" s="1"/>
  <c r="Q13" i="40"/>
  <c r="R13" i="40"/>
  <c r="R55" i="40" s="1"/>
  <c r="S13" i="40"/>
  <c r="T13" i="40"/>
  <c r="U13" i="40"/>
  <c r="V13" i="40"/>
  <c r="W13" i="40"/>
  <c r="X13" i="40"/>
  <c r="Y13" i="40"/>
  <c r="Z13" i="40"/>
  <c r="Z55" i="40" s="1"/>
  <c r="AA13" i="40"/>
  <c r="AB13" i="40"/>
  <c r="AC13" i="40"/>
  <c r="AD13" i="40"/>
  <c r="AE13" i="40"/>
  <c r="AF13" i="40"/>
  <c r="AF55" i="40" s="1"/>
  <c r="C14" i="40"/>
  <c r="D14" i="40"/>
  <c r="D56" i="40" s="1"/>
  <c r="E14" i="40"/>
  <c r="F14" i="40"/>
  <c r="G14" i="40"/>
  <c r="H14" i="40"/>
  <c r="I14" i="40"/>
  <c r="J14" i="40"/>
  <c r="K14" i="40"/>
  <c r="L14" i="40"/>
  <c r="L56" i="40" s="1"/>
  <c r="M14" i="40"/>
  <c r="N14" i="40"/>
  <c r="O14" i="40"/>
  <c r="P14" i="40"/>
  <c r="Q14" i="40"/>
  <c r="R14" i="40"/>
  <c r="R56" i="40" s="1"/>
  <c r="S14" i="40"/>
  <c r="T14" i="40"/>
  <c r="T56" i="40" s="1"/>
  <c r="U14" i="40"/>
  <c r="V14" i="40"/>
  <c r="W14" i="40"/>
  <c r="X14" i="40"/>
  <c r="Y14" i="40"/>
  <c r="Z14" i="40"/>
  <c r="AA14" i="40"/>
  <c r="AB14" i="40"/>
  <c r="AB56" i="40" s="1"/>
  <c r="AC14" i="40"/>
  <c r="AD14" i="40"/>
  <c r="AE14" i="40"/>
  <c r="AF14" i="40"/>
  <c r="C15" i="40"/>
  <c r="D15" i="40"/>
  <c r="E15" i="40"/>
  <c r="F15" i="40"/>
  <c r="F57" i="40" s="1"/>
  <c r="G15" i="40"/>
  <c r="H15" i="40"/>
  <c r="I15" i="40"/>
  <c r="J15" i="40"/>
  <c r="K15" i="40"/>
  <c r="L15" i="40"/>
  <c r="L57" i="40" s="1"/>
  <c r="M15" i="40"/>
  <c r="N15" i="40"/>
  <c r="N57" i="40" s="1"/>
  <c r="O15" i="40"/>
  <c r="P15" i="40"/>
  <c r="Q15" i="40"/>
  <c r="R15" i="40"/>
  <c r="S15" i="40"/>
  <c r="T15" i="40"/>
  <c r="T57" i="40" s="1"/>
  <c r="U15" i="40"/>
  <c r="V15" i="40"/>
  <c r="V57" i="40" s="1"/>
  <c r="W15" i="40"/>
  <c r="X15" i="40"/>
  <c r="Y15" i="40"/>
  <c r="Z15" i="40"/>
  <c r="AA15" i="40"/>
  <c r="AB15" i="40"/>
  <c r="AB57" i="40" s="1"/>
  <c r="AC15" i="40"/>
  <c r="AD15" i="40"/>
  <c r="AD57" i="40" s="1"/>
  <c r="AE15" i="40"/>
  <c r="AF15" i="40"/>
  <c r="B10" i="40"/>
  <c r="B12" i="40"/>
  <c r="B13" i="40"/>
  <c r="B14" i="40"/>
  <c r="B15" i="40"/>
  <c r="B9" i="40"/>
  <c r="AF57" i="40"/>
  <c r="AE57" i="40"/>
  <c r="AA57" i="40"/>
  <c r="X57" i="40"/>
  <c r="W57" i="40"/>
  <c r="S57" i="40"/>
  <c r="P57" i="40"/>
  <c r="O57" i="40"/>
  <c r="K57" i="40"/>
  <c r="H57" i="40"/>
  <c r="G57" i="40"/>
  <c r="C57" i="40"/>
  <c r="AE56" i="40"/>
  <c r="AD56" i="40"/>
  <c r="Z56" i="40"/>
  <c r="W56" i="40"/>
  <c r="V56" i="40"/>
  <c r="O56" i="40"/>
  <c r="N56" i="40"/>
  <c r="J56" i="40"/>
  <c r="G56" i="40"/>
  <c r="F56" i="40"/>
  <c r="B56" i="40"/>
  <c r="AD55" i="40"/>
  <c r="AC55" i="40"/>
  <c r="Y55" i="40"/>
  <c r="V55" i="40"/>
  <c r="U55" i="40"/>
  <c r="Q55" i="40"/>
  <c r="N55" i="40"/>
  <c r="M55" i="40"/>
  <c r="I55" i="40"/>
  <c r="F55" i="40"/>
  <c r="E55" i="40"/>
  <c r="AC54" i="40"/>
  <c r="AB54" i="40"/>
  <c r="X54" i="40"/>
  <c r="U54" i="40"/>
  <c r="T54" i="40"/>
  <c r="M54" i="40"/>
  <c r="L54" i="40"/>
  <c r="H54" i="40"/>
  <c r="E54" i="40"/>
  <c r="D54" i="40"/>
  <c r="AF53" i="40"/>
  <c r="AE53" i="40"/>
  <c r="AC53" i="40"/>
  <c r="AA53" i="40"/>
  <c r="Z53" i="40"/>
  <c r="Y53" i="40"/>
  <c r="X53" i="40"/>
  <c r="W53" i="40"/>
  <c r="U53" i="40"/>
  <c r="S53" i="40"/>
  <c r="R53" i="40"/>
  <c r="Q53" i="40"/>
  <c r="P53" i="40"/>
  <c r="O53" i="40"/>
  <c r="M53" i="40"/>
  <c r="K53" i="40"/>
  <c r="J53" i="40"/>
  <c r="I53" i="40"/>
  <c r="E53" i="40"/>
  <c r="C53" i="40"/>
  <c r="B53" i="40"/>
  <c r="AA52" i="40"/>
  <c r="Z52" i="40"/>
  <c r="S52" i="40"/>
  <c r="R52" i="40"/>
  <c r="K52" i="40"/>
  <c r="C52" i="40"/>
  <c r="B52" i="40"/>
  <c r="Y51" i="40"/>
  <c r="Q51" i="40"/>
  <c r="I51" i="40"/>
  <c r="B51"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AC57" i="40"/>
  <c r="Z57" i="40"/>
  <c r="Y57" i="40"/>
  <c r="U57" i="40"/>
  <c r="R57" i="40"/>
  <c r="Q57" i="40"/>
  <c r="M57" i="40"/>
  <c r="J57" i="40"/>
  <c r="I57" i="40"/>
  <c r="E57" i="40"/>
  <c r="D57" i="40"/>
  <c r="B57" i="40"/>
  <c r="AF56" i="40"/>
  <c r="AC56" i="40"/>
  <c r="AA56" i="40"/>
  <c r="Y56" i="40"/>
  <c r="X56" i="40"/>
  <c r="U56" i="40"/>
  <c r="S56" i="40"/>
  <c r="Q56" i="40"/>
  <c r="P56" i="40"/>
  <c r="M56" i="40"/>
  <c r="K56" i="40"/>
  <c r="I56" i="40"/>
  <c r="H56" i="40"/>
  <c r="E56" i="40"/>
  <c r="C56" i="40"/>
  <c r="AE55" i="40"/>
  <c r="AB55" i="40"/>
  <c r="AA55" i="40"/>
  <c r="X55" i="40"/>
  <c r="W55" i="40"/>
  <c r="T55" i="40"/>
  <c r="S55" i="40"/>
  <c r="O55" i="40"/>
  <c r="L55" i="40"/>
  <c r="K55" i="40"/>
  <c r="G55" i="40"/>
  <c r="D55" i="40"/>
  <c r="C55" i="40"/>
  <c r="B55" i="40"/>
  <c r="AE54" i="40"/>
  <c r="AD54" i="40"/>
  <c r="AA54" i="40"/>
  <c r="Z54" i="40"/>
  <c r="Y54" i="40"/>
  <c r="W54" i="40"/>
  <c r="S54" i="40"/>
  <c r="R54" i="40"/>
  <c r="Q54" i="40"/>
  <c r="O54" i="40"/>
  <c r="K54" i="40"/>
  <c r="J54" i="40"/>
  <c r="I54" i="40"/>
  <c r="G54" i="40"/>
  <c r="C54" i="40"/>
  <c r="B54" i="40"/>
  <c r="AF52" i="40"/>
  <c r="AE52" i="40"/>
  <c r="AD52" i="40"/>
  <c r="AC52" i="40"/>
  <c r="AB52" i="40"/>
  <c r="Y52" i="40"/>
  <c r="X52" i="40"/>
  <c r="W52" i="40"/>
  <c r="V52" i="40"/>
  <c r="U52" i="40"/>
  <c r="Q52" i="40"/>
  <c r="P52" i="40"/>
  <c r="O52" i="40"/>
  <c r="N52" i="40"/>
  <c r="M52" i="40"/>
  <c r="I52" i="40"/>
  <c r="H52" i="40"/>
  <c r="G52" i="40"/>
  <c r="F52" i="40"/>
  <c r="E52" i="40"/>
  <c r="D52" i="40"/>
  <c r="AE51" i="40"/>
  <c r="AD51" i="40"/>
  <c r="AC51" i="40"/>
  <c r="AB51" i="40"/>
  <c r="AA51" i="40"/>
  <c r="W51" i="40"/>
  <c r="W59" i="40" s="1"/>
  <c r="V51" i="40"/>
  <c r="U51" i="40"/>
  <c r="T51" i="40"/>
  <c r="S51" i="40"/>
  <c r="O51" i="40"/>
  <c r="O59" i="40" s="1"/>
  <c r="N51" i="40"/>
  <c r="M51" i="40"/>
  <c r="L51" i="40"/>
  <c r="K51" i="40"/>
  <c r="G51" i="40"/>
  <c r="F51" i="40"/>
  <c r="E51" i="40"/>
  <c r="D51" i="40"/>
  <c r="C51" i="40"/>
  <c r="F53" i="40" l="1"/>
  <c r="AE59" i="40"/>
  <c r="R59" i="40"/>
  <c r="J59" i="40"/>
  <c r="AF59" i="40"/>
  <c r="Q59" i="40"/>
  <c r="H53" i="40"/>
  <c r="H61" i="40" s="1"/>
  <c r="Y59" i="40"/>
  <c r="K59" i="40"/>
  <c r="Z59" i="40"/>
  <c r="D59" i="40"/>
  <c r="L59" i="40"/>
  <c r="T59" i="40"/>
  <c r="AB59" i="40"/>
  <c r="X59" i="40"/>
  <c r="AA59" i="40"/>
  <c r="E59" i="40"/>
  <c r="F59" i="40" s="1"/>
  <c r="M59" i="40"/>
  <c r="U59" i="40"/>
  <c r="AC59" i="40"/>
  <c r="B59" i="40"/>
  <c r="P59" i="40"/>
  <c r="C59" i="40"/>
  <c r="S59" i="40"/>
  <c r="G53" i="40"/>
  <c r="N59" i="40"/>
  <c r="V59" i="40"/>
  <c r="AD59" i="40"/>
  <c r="I59" i="40"/>
  <c r="H59" i="40" l="1"/>
  <c r="G59" i="40"/>
  <c r="B4" i="14" l="1"/>
  <c r="L1" i="39" l="1" a="1"/>
  <c r="L1" i="39" s="1"/>
  <c r="B2" i="12" a="1"/>
  <c r="B2" i="12" s="1"/>
  <c r="C2" i="12" s="1"/>
  <c r="D2" i="12" s="1"/>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L5" i="39" l="1"/>
  <c r="L7" i="39"/>
  <c r="L6" i="39"/>
  <c r="L4" i="39"/>
  <c r="L3" i="39"/>
  <c r="L2" i="39"/>
  <c r="B3" i="12"/>
  <c r="C3" i="12" s="1"/>
  <c r="D3" i="12" s="1"/>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AF3" i="12" s="1"/>
  <c r="B8" i="12"/>
  <c r="C8" i="12" s="1"/>
  <c r="D8" i="12" s="1"/>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AF8" i="12" s="1"/>
  <c r="B7" i="12"/>
  <c r="C7" i="12" s="1"/>
  <c r="D7" i="12" s="1"/>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AF7" i="12" s="1"/>
  <c r="B6" i="12"/>
  <c r="C6" i="12" s="1"/>
  <c r="D6" i="12" s="1"/>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AF6" i="12" s="1"/>
  <c r="B5" i="12"/>
  <c r="C5" i="12" s="1"/>
  <c r="D5" i="12" s="1"/>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AF5" i="12" s="1"/>
  <c r="B4" i="12"/>
  <c r="C4" i="12" s="1"/>
  <c r="D4" i="12" s="1"/>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B102" i="18" l="1"/>
  <c r="B101" i="18"/>
  <c r="B100" i="18"/>
  <c r="C102" i="18"/>
  <c r="D102" i="18" s="1"/>
  <c r="C101" i="18"/>
  <c r="C100" i="18"/>
  <c r="C89" i="18"/>
  <c r="D89"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C90" i="18"/>
  <c r="D90"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C91" i="18"/>
  <c r="D91"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C93" i="18"/>
  <c r="D93" i="18"/>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4" i="18"/>
  <c r="D94"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C95" i="18"/>
  <c r="D95" i="18"/>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B95" i="18"/>
  <c r="B94" i="18"/>
  <c r="B93" i="18"/>
  <c r="D100" i="18" l="1"/>
  <c r="B104" i="18" s="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90" i="18" l="1"/>
  <c r="B91" i="18"/>
  <c r="B89" i="18"/>
  <c r="B97" i="18" s="1"/>
  <c r="B5" i="5" s="1"/>
  <c r="B22" i="37"/>
  <c r="D19" i="37"/>
  <c r="C19" i="37"/>
  <c r="B19" i="37"/>
  <c r="B2" i="5" l="1"/>
  <c r="B3" i="5"/>
  <c r="B4" i="5"/>
  <c r="B24" i="37"/>
  <c r="B7" i="5"/>
  <c r="C3" i="5"/>
  <c r="P3" i="5"/>
  <c r="X3" i="5"/>
  <c r="H3" i="5"/>
  <c r="V3" i="5"/>
  <c r="F3" i="5"/>
  <c r="N3" i="5"/>
  <c r="AB3" i="5"/>
  <c r="T3" i="5"/>
  <c r="S3" i="5"/>
  <c r="L3" i="5"/>
  <c r="D3" i="5"/>
  <c r="I3" i="5"/>
  <c r="AE3" i="5"/>
  <c r="W3" i="5"/>
  <c r="G3" i="5"/>
  <c r="Z3" i="5"/>
  <c r="AD3" i="5"/>
  <c r="R3" i="5"/>
  <c r="AC3" i="5"/>
  <c r="AA3" i="5"/>
  <c r="J3" i="5"/>
  <c r="U3" i="5"/>
  <c r="M3" i="5"/>
  <c r="K3" i="5"/>
  <c r="E3" i="5"/>
  <c r="Q3" i="5"/>
  <c r="Y3" i="5"/>
  <c r="O3" i="5"/>
  <c r="AF3" i="5"/>
  <c r="J2" i="5" l="1"/>
  <c r="AF2" i="5"/>
  <c r="L2" i="5"/>
  <c r="N2" i="5"/>
  <c r="X2" i="5"/>
  <c r="AA2" i="5"/>
  <c r="AC2" i="5"/>
  <c r="AE2" i="5"/>
  <c r="P2" i="5"/>
  <c r="S2" i="5"/>
  <c r="E2" i="5"/>
  <c r="W2" i="5"/>
  <c r="V2" i="5"/>
  <c r="K2" i="5"/>
  <c r="T2" i="5"/>
  <c r="O2" i="5"/>
  <c r="F2" i="5"/>
  <c r="C2" i="5"/>
  <c r="D2" i="5"/>
  <c r="G2" i="5"/>
  <c r="U2" i="5"/>
  <c r="Q2" i="5"/>
  <c r="Z2" i="5"/>
  <c r="Y2" i="5"/>
  <c r="M2" i="5"/>
  <c r="H2" i="5"/>
  <c r="R2" i="5"/>
  <c r="I2" i="5"/>
  <c r="AB2" i="5"/>
  <c r="AD2" i="5"/>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4" i="7"/>
  <c r="H4" i="7" s="1"/>
  <c r="B5" i="7"/>
  <c r="K5" i="7" s="1"/>
  <c r="B6" i="7"/>
  <c r="F6" i="7" s="1"/>
  <c r="B7" i="7"/>
  <c r="I7" i="7" s="1"/>
  <c r="B8" i="7"/>
  <c r="D8" i="7" s="1"/>
  <c r="B3" i="7"/>
  <c r="E3" i="7" s="1"/>
  <c r="K8" i="7" l="1"/>
  <c r="X7" i="7"/>
  <c r="H7" i="7"/>
  <c r="AC6" i="7"/>
  <c r="M6" i="7"/>
  <c r="Z5" i="7"/>
  <c r="J5" i="7"/>
  <c r="AE4" i="7"/>
  <c r="W4" i="7"/>
  <c r="G4" i="7"/>
  <c r="T3" i="7"/>
  <c r="D3" i="7"/>
  <c r="C5" i="7"/>
  <c r="J8" i="7"/>
  <c r="O7" i="7"/>
  <c r="AB6" i="7"/>
  <c r="L6" i="7"/>
  <c r="Q5" i="7"/>
  <c r="AD4" i="7"/>
  <c r="V4" i="7"/>
  <c r="N4" i="7"/>
  <c r="AA3" i="7"/>
  <c r="S3" i="7"/>
  <c r="K3" i="7"/>
  <c r="R8" i="7"/>
  <c r="AE7" i="7"/>
  <c r="G7" i="7"/>
  <c r="T6" i="7"/>
  <c r="D6" i="7"/>
  <c r="Y5" i="7"/>
  <c r="I5" i="7"/>
  <c r="F4" i="7"/>
  <c r="C4" i="7"/>
  <c r="Q8" i="7"/>
  <c r="I8" i="7"/>
  <c r="V7" i="7"/>
  <c r="F7" i="7"/>
  <c r="S6" i="7"/>
  <c r="AF5" i="7"/>
  <c r="P5" i="7"/>
  <c r="H5" i="7"/>
  <c r="U4" i="7"/>
  <c r="M4" i="7"/>
  <c r="E4" i="7"/>
  <c r="Z3" i="7"/>
  <c r="R3" i="7"/>
  <c r="J3" i="7"/>
  <c r="Y8" i="7"/>
  <c r="AD7" i="7"/>
  <c r="N7" i="7"/>
  <c r="AA6" i="7"/>
  <c r="K6" i="7"/>
  <c r="X5" i="7"/>
  <c r="AC4" i="7"/>
  <c r="AF8" i="7"/>
  <c r="U7" i="7"/>
  <c r="Z6" i="7"/>
  <c r="J6" i="7"/>
  <c r="O5" i="7"/>
  <c r="AB4" i="7"/>
  <c r="T4" i="7"/>
  <c r="D4" i="7"/>
  <c r="Y3" i="7"/>
  <c r="Q3" i="7"/>
  <c r="I3" i="7"/>
  <c r="C6" i="7"/>
  <c r="AE8" i="7"/>
  <c r="W8" i="7"/>
  <c r="O8" i="7"/>
  <c r="G8" i="7"/>
  <c r="AB7" i="7"/>
  <c r="T7" i="7"/>
  <c r="L7" i="7"/>
  <c r="D7" i="7"/>
  <c r="Y6" i="7"/>
  <c r="Q6" i="7"/>
  <c r="I6" i="7"/>
  <c r="AD5" i="7"/>
  <c r="V5" i="7"/>
  <c r="N5" i="7"/>
  <c r="F5" i="7"/>
  <c r="AA4" i="7"/>
  <c r="S4" i="7"/>
  <c r="K4" i="7"/>
  <c r="AF3" i="7"/>
  <c r="X3" i="7"/>
  <c r="P3" i="7"/>
  <c r="H3" i="7"/>
  <c r="AA8" i="7"/>
  <c r="X8" i="7"/>
  <c r="P8" i="7"/>
  <c r="H8" i="7"/>
  <c r="AC7" i="7"/>
  <c r="M7" i="7"/>
  <c r="E7" i="7"/>
  <c r="R6" i="7"/>
  <c r="AE5" i="7"/>
  <c r="W5" i="7"/>
  <c r="G5" i="7"/>
  <c r="L4" i="7"/>
  <c r="C3" i="7"/>
  <c r="AD8" i="7"/>
  <c r="V8" i="7"/>
  <c r="N8" i="7"/>
  <c r="F8" i="7"/>
  <c r="AA7" i="7"/>
  <c r="S7" i="7"/>
  <c r="K7" i="7"/>
  <c r="AF6" i="7"/>
  <c r="X6" i="7"/>
  <c r="P6" i="7"/>
  <c r="H6" i="7"/>
  <c r="AC5" i="7"/>
  <c r="U5" i="7"/>
  <c r="M5" i="7"/>
  <c r="E5" i="7"/>
  <c r="Z4" i="7"/>
  <c r="R4" i="7"/>
  <c r="J4" i="7"/>
  <c r="AE3" i="7"/>
  <c r="W3" i="7"/>
  <c r="O3" i="7"/>
  <c r="G3" i="7"/>
  <c r="S8" i="7"/>
  <c r="AF7" i="7"/>
  <c r="P7" i="7"/>
  <c r="U6" i="7"/>
  <c r="E6" i="7"/>
  <c r="R5" i="7"/>
  <c r="O4" i="7"/>
  <c r="AB3" i="7"/>
  <c r="L3" i="7"/>
  <c r="Z8" i="7"/>
  <c r="W7" i="7"/>
  <c r="C8" i="7"/>
  <c r="AC8" i="7"/>
  <c r="U8" i="7"/>
  <c r="M8" i="7"/>
  <c r="E8" i="7"/>
  <c r="Z7" i="7"/>
  <c r="R7" i="7"/>
  <c r="J7" i="7"/>
  <c r="AE6" i="7"/>
  <c r="W6" i="7"/>
  <c r="O6" i="7"/>
  <c r="G6" i="7"/>
  <c r="AB5" i="7"/>
  <c r="T5" i="7"/>
  <c r="L5" i="7"/>
  <c r="D5" i="7"/>
  <c r="Y4" i="7"/>
  <c r="Q4" i="7"/>
  <c r="I4" i="7"/>
  <c r="AD3" i="7"/>
  <c r="V3" i="7"/>
  <c r="N3" i="7"/>
  <c r="F3" i="7"/>
  <c r="C7" i="7"/>
  <c r="AB8" i="7"/>
  <c r="T8" i="7"/>
  <c r="L8" i="7"/>
  <c r="Y7" i="7"/>
  <c r="Q7" i="7"/>
  <c r="AD6" i="7"/>
  <c r="V6" i="7"/>
  <c r="N6" i="7"/>
  <c r="AA5" i="7"/>
  <c r="S5" i="7"/>
  <c r="AF4" i="7"/>
  <c r="X4" i="7"/>
  <c r="P4" i="7"/>
  <c r="AC3" i="7"/>
  <c r="U3" i="7"/>
  <c r="M3" i="7"/>
  <c r="C33" i="31" l="1"/>
  <c r="D33" i="31"/>
  <c r="E33"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C34" i="31"/>
  <c r="D34" i="31"/>
  <c r="E34"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C35" i="31"/>
  <c r="D35" i="31"/>
  <c r="E35"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C36" i="31"/>
  <c r="D36" i="31"/>
  <c r="E36"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C37" i="31"/>
  <c r="D37" i="31"/>
  <c r="E37"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C38" i="31"/>
  <c r="D38" i="31"/>
  <c r="E38"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C39" i="31"/>
  <c r="D39" i="31"/>
  <c r="E39"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D42"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D43" i="31"/>
  <c r="E43"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D44" i="31"/>
  <c r="E44"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D45" i="31"/>
  <c r="E45"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D46" i="31"/>
  <c r="E46"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D47" i="31"/>
  <c r="E47"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D48" i="31"/>
  <c r="E48"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D49" i="31"/>
  <c r="E49"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D50" i="31"/>
  <c r="E50"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D51" i="31"/>
  <c r="E51"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D52" i="31"/>
  <c r="E52"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D53" i="31"/>
  <c r="E53"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D54" i="31"/>
  <c r="E54"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D55" i="31"/>
  <c r="E55"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D56" i="31"/>
  <c r="E56"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D57" i="31"/>
  <c r="E57"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D58" i="31"/>
  <c r="E58"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D59" i="31"/>
  <c r="E59"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D60" i="31"/>
  <c r="E60"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D61" i="31"/>
  <c r="E61"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D62" i="31"/>
  <c r="E62"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D63" i="31"/>
  <c r="E63"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D64" i="31"/>
  <c r="E64"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D65" i="31"/>
  <c r="E65"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D66" i="31"/>
  <c r="E66"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D67" i="31"/>
  <c r="E67"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D68" i="31"/>
  <c r="E68"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D69" i="31"/>
  <c r="E69"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D70" i="31"/>
  <c r="E70"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D71" i="31"/>
  <c r="E71"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D72" i="31"/>
  <c r="E72"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D73" i="31"/>
  <c r="E73" i="31"/>
  <c r="F73" i="31"/>
  <c r="G73" i="31"/>
  <c r="H73" i="31"/>
  <c r="I73" i="31"/>
  <c r="J73" i="31"/>
  <c r="K73" i="31"/>
  <c r="L73" i="31"/>
  <c r="M73" i="31"/>
  <c r="N73" i="31"/>
  <c r="O73" i="31"/>
  <c r="P73" i="31"/>
  <c r="O114" i="31" s="1"/>
  <c r="Q73" i="31"/>
  <c r="R73" i="31"/>
  <c r="S73" i="31"/>
  <c r="T73" i="31"/>
  <c r="U73" i="31"/>
  <c r="V73" i="31"/>
  <c r="W73" i="31"/>
  <c r="X73" i="31"/>
  <c r="Y73" i="31"/>
  <c r="Z73" i="31"/>
  <c r="AA73" i="31"/>
  <c r="AB73" i="31"/>
  <c r="AC73" i="31"/>
  <c r="AD73" i="31"/>
  <c r="AE73" i="31"/>
  <c r="AF73" i="31"/>
  <c r="AG73" i="31"/>
  <c r="D74" i="31"/>
  <c r="C113" i="31" s="1"/>
  <c r="E74" i="31"/>
  <c r="F74" i="31"/>
  <c r="G74" i="31"/>
  <c r="H74" i="31"/>
  <c r="I74" i="31"/>
  <c r="J74" i="31"/>
  <c r="K74" i="31"/>
  <c r="L74" i="31"/>
  <c r="K114" i="31" s="1"/>
  <c r="M74" i="31"/>
  <c r="N74" i="31"/>
  <c r="O74" i="31"/>
  <c r="P74" i="31"/>
  <c r="Q74" i="31"/>
  <c r="R74" i="31"/>
  <c r="S74" i="31"/>
  <c r="T74" i="31"/>
  <c r="S113" i="31" s="1"/>
  <c r="U74" i="31"/>
  <c r="V74" i="31"/>
  <c r="W74" i="31"/>
  <c r="X74" i="31"/>
  <c r="Y74" i="31"/>
  <c r="Z74" i="31"/>
  <c r="AA74" i="31"/>
  <c r="AB74" i="31"/>
  <c r="AA113" i="31" s="1"/>
  <c r="AC74" i="31"/>
  <c r="AD74" i="31"/>
  <c r="AE74" i="31"/>
  <c r="AF74" i="31"/>
  <c r="AG74" i="31"/>
  <c r="D75" i="31"/>
  <c r="E75" i="31"/>
  <c r="F75" i="31"/>
  <c r="G75" i="31"/>
  <c r="F115" i="31" s="1"/>
  <c r="H75" i="31"/>
  <c r="I75" i="31"/>
  <c r="J75" i="31"/>
  <c r="K75" i="31"/>
  <c r="L75" i="31"/>
  <c r="M75" i="31"/>
  <c r="N75" i="31"/>
  <c r="O75" i="31"/>
  <c r="N115" i="31" s="1"/>
  <c r="P75" i="31"/>
  <c r="Q75" i="31"/>
  <c r="R75" i="31"/>
  <c r="S75" i="31"/>
  <c r="T75" i="31"/>
  <c r="U75" i="31"/>
  <c r="V75" i="31"/>
  <c r="W75" i="31"/>
  <c r="V116" i="31" s="1"/>
  <c r="X75" i="31"/>
  <c r="Y75" i="31"/>
  <c r="Z75" i="31"/>
  <c r="AA75" i="31"/>
  <c r="AB75" i="31"/>
  <c r="AC75" i="31"/>
  <c r="AD75" i="31"/>
  <c r="AE75" i="31"/>
  <c r="AD115" i="31" s="1"/>
  <c r="AF75" i="31"/>
  <c r="AG75" i="31"/>
  <c r="D76" i="31"/>
  <c r="E76" i="31"/>
  <c r="F76" i="31"/>
  <c r="G76" i="31"/>
  <c r="H76" i="31"/>
  <c r="G116" i="31" s="1"/>
  <c r="I76" i="31"/>
  <c r="J76" i="31"/>
  <c r="K76" i="31"/>
  <c r="L76" i="31"/>
  <c r="M76" i="31"/>
  <c r="N76" i="31"/>
  <c r="O76" i="31"/>
  <c r="P76" i="31"/>
  <c r="O116" i="31" s="1"/>
  <c r="Q76" i="31"/>
  <c r="R76" i="31"/>
  <c r="S76" i="31"/>
  <c r="T76" i="31"/>
  <c r="U76" i="31"/>
  <c r="V76" i="31"/>
  <c r="W76" i="31"/>
  <c r="X76" i="31"/>
  <c r="W115" i="31" s="1"/>
  <c r="Y76" i="31"/>
  <c r="Z76" i="31"/>
  <c r="AA76" i="31"/>
  <c r="AB76" i="31"/>
  <c r="AC76" i="31"/>
  <c r="AD76" i="31"/>
  <c r="AE76" i="31"/>
  <c r="AF76" i="31"/>
  <c r="AE116" i="31" s="1"/>
  <c r="AG76" i="31"/>
  <c r="D77" i="31"/>
  <c r="E77" i="31"/>
  <c r="F77" i="31"/>
  <c r="G77" i="31"/>
  <c r="H77" i="31"/>
  <c r="I77" i="31"/>
  <c r="J77" i="31"/>
  <c r="K77" i="31"/>
  <c r="J117" i="31" s="1"/>
  <c r="L77" i="31"/>
  <c r="M77" i="31"/>
  <c r="N77" i="31"/>
  <c r="O77" i="31"/>
  <c r="P77" i="31"/>
  <c r="Q77" i="31"/>
  <c r="R77" i="31"/>
  <c r="S77" i="31"/>
  <c r="R118" i="31" s="1"/>
  <c r="T77" i="31"/>
  <c r="U77" i="31"/>
  <c r="V77" i="31"/>
  <c r="W77" i="31"/>
  <c r="X77" i="31"/>
  <c r="Y77" i="31"/>
  <c r="Z77" i="31"/>
  <c r="AA77" i="31"/>
  <c r="Z117" i="31" s="1"/>
  <c r="AB77" i="31"/>
  <c r="AC77" i="31"/>
  <c r="AD77" i="31"/>
  <c r="AE77" i="31"/>
  <c r="AF77" i="31"/>
  <c r="AG77" i="31"/>
  <c r="D78" i="31"/>
  <c r="E78" i="31"/>
  <c r="F78" i="31"/>
  <c r="G78" i="31"/>
  <c r="H78" i="31"/>
  <c r="I78" i="31"/>
  <c r="J78" i="31"/>
  <c r="K78" i="31"/>
  <c r="L78" i="31"/>
  <c r="K118" i="31" s="1"/>
  <c r="M78" i="31"/>
  <c r="L117" i="31" s="1"/>
  <c r="N78" i="31"/>
  <c r="O78" i="31"/>
  <c r="P78" i="31"/>
  <c r="Q78" i="31"/>
  <c r="R78" i="31"/>
  <c r="S78" i="31"/>
  <c r="T78" i="31"/>
  <c r="U78" i="31"/>
  <c r="V78" i="31"/>
  <c r="W78" i="31"/>
  <c r="X78" i="31"/>
  <c r="Y78" i="31"/>
  <c r="Z78" i="31"/>
  <c r="AA78" i="31"/>
  <c r="AB78" i="31"/>
  <c r="AC78" i="31"/>
  <c r="AB117" i="31" s="1"/>
  <c r="AD78" i="31"/>
  <c r="AE78" i="31"/>
  <c r="AF78" i="31"/>
  <c r="AG78" i="31"/>
  <c r="D79" i="31"/>
  <c r="E79" i="31"/>
  <c r="D119" i="31" s="1"/>
  <c r="F79" i="31"/>
  <c r="G79" i="31"/>
  <c r="H79" i="31"/>
  <c r="I79" i="31"/>
  <c r="J79" i="31"/>
  <c r="K79" i="31"/>
  <c r="L79" i="31"/>
  <c r="M79" i="31"/>
  <c r="N79" i="31"/>
  <c r="O79" i="31"/>
  <c r="P79" i="31"/>
  <c r="Q79" i="31"/>
  <c r="R79" i="31"/>
  <c r="S79" i="31"/>
  <c r="R119" i="31" s="1"/>
  <c r="T79" i="31"/>
  <c r="U79" i="31"/>
  <c r="T119" i="31" s="1"/>
  <c r="V79" i="31"/>
  <c r="W79" i="31"/>
  <c r="V119" i="31" s="1"/>
  <c r="X79" i="31"/>
  <c r="Y79" i="31"/>
  <c r="Z79" i="31"/>
  <c r="AA79" i="31"/>
  <c r="Z119" i="31" s="1"/>
  <c r="AB79" i="31"/>
  <c r="AC79" i="31"/>
  <c r="AB119" i="31" s="1"/>
  <c r="AD79" i="31"/>
  <c r="AE79" i="31"/>
  <c r="AD119" i="31" s="1"/>
  <c r="AF79" i="31"/>
  <c r="AG79"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B119" i="31" s="1"/>
  <c r="C42" i="31"/>
  <c r="D2" i="31"/>
  <c r="E2" i="31"/>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D3" i="31"/>
  <c r="E3" i="31"/>
  <c r="D83" i="31" s="1"/>
  <c r="F3" i="31"/>
  <c r="G3" i="31"/>
  <c r="H3" i="31"/>
  <c r="I3" i="31"/>
  <c r="J3" i="31"/>
  <c r="I83" i="31" s="1"/>
  <c r="K3" i="31"/>
  <c r="L3" i="31"/>
  <c r="M3" i="31"/>
  <c r="L83" i="31" s="1"/>
  <c r="N3" i="31"/>
  <c r="O3" i="31"/>
  <c r="P3" i="31"/>
  <c r="Q3" i="31"/>
  <c r="R3" i="31"/>
  <c r="Q83" i="31" s="1"/>
  <c r="S3" i="31"/>
  <c r="T3" i="31"/>
  <c r="U3" i="31"/>
  <c r="T83" i="31" s="1"/>
  <c r="V3" i="31"/>
  <c r="W3" i="31"/>
  <c r="X3" i="31"/>
  <c r="Y3" i="31"/>
  <c r="Z3" i="31"/>
  <c r="Y83" i="31" s="1"/>
  <c r="AA3" i="31"/>
  <c r="AB3" i="31"/>
  <c r="AC3" i="31"/>
  <c r="AB83" i="31" s="1"/>
  <c r="AD3" i="31"/>
  <c r="AE3" i="31"/>
  <c r="AF3" i="31"/>
  <c r="AG3" i="31"/>
  <c r="D4" i="31"/>
  <c r="C84" i="31" s="1"/>
  <c r="E4" i="31"/>
  <c r="F4" i="31"/>
  <c r="G4" i="31"/>
  <c r="F84" i="31" s="1"/>
  <c r="H4" i="31"/>
  <c r="I4" i="31"/>
  <c r="J4" i="31"/>
  <c r="I84" i="31" s="1"/>
  <c r="K4" i="31"/>
  <c r="L4" i="31"/>
  <c r="K84" i="31" s="1"/>
  <c r="M4" i="31"/>
  <c r="N4" i="31"/>
  <c r="O4" i="31"/>
  <c r="N84" i="31" s="1"/>
  <c r="P4" i="31"/>
  <c r="Q4" i="31"/>
  <c r="R4" i="31"/>
  <c r="Q84" i="31" s="1"/>
  <c r="S4" i="31"/>
  <c r="T4" i="31"/>
  <c r="S84" i="31" s="1"/>
  <c r="U4" i="31"/>
  <c r="V4" i="31"/>
  <c r="W4" i="31"/>
  <c r="V84" i="31" s="1"/>
  <c r="X4" i="31"/>
  <c r="Y4" i="31"/>
  <c r="Z4" i="31"/>
  <c r="Y84" i="31" s="1"/>
  <c r="AA4" i="31"/>
  <c r="AB4" i="31"/>
  <c r="AA84" i="31" s="1"/>
  <c r="AC4" i="31"/>
  <c r="AD4" i="31"/>
  <c r="AE4" i="31"/>
  <c r="AD84" i="31" s="1"/>
  <c r="AF4" i="31"/>
  <c r="AG4" i="31"/>
  <c r="D5" i="31"/>
  <c r="E5" i="31"/>
  <c r="F5" i="31"/>
  <c r="E85" i="31" s="1"/>
  <c r="G5" i="31"/>
  <c r="H5" i="31"/>
  <c r="I5" i="31"/>
  <c r="J5" i="31"/>
  <c r="K5" i="31"/>
  <c r="L5" i="31"/>
  <c r="M5" i="31"/>
  <c r="N5" i="31"/>
  <c r="M85" i="31" s="1"/>
  <c r="O5" i="31"/>
  <c r="P5" i="31"/>
  <c r="Q5" i="31"/>
  <c r="R5" i="31"/>
  <c r="S5" i="31"/>
  <c r="T5" i="31"/>
  <c r="U5" i="31"/>
  <c r="V5" i="31"/>
  <c r="U85" i="31" s="1"/>
  <c r="W5" i="31"/>
  <c r="X5" i="31"/>
  <c r="Y5" i="31"/>
  <c r="Z5" i="31"/>
  <c r="AA5" i="31"/>
  <c r="AB5" i="31"/>
  <c r="AC5" i="31"/>
  <c r="AD5" i="31"/>
  <c r="AC85" i="31" s="1"/>
  <c r="AE5" i="31"/>
  <c r="AF5" i="31"/>
  <c r="AG5" i="31"/>
  <c r="D6" i="31"/>
  <c r="E6"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D7" i="31"/>
  <c r="E7" i="31"/>
  <c r="F7" i="31"/>
  <c r="G7" i="31"/>
  <c r="H7" i="31"/>
  <c r="I7" i="31"/>
  <c r="J7" i="31"/>
  <c r="I87" i="31" s="1"/>
  <c r="K7" i="31"/>
  <c r="L7" i="31"/>
  <c r="M7" i="31"/>
  <c r="N7" i="31"/>
  <c r="O7" i="31"/>
  <c r="P7" i="31"/>
  <c r="Q7" i="31"/>
  <c r="R7" i="31"/>
  <c r="Q87" i="31" s="1"/>
  <c r="S7" i="31"/>
  <c r="T7" i="31"/>
  <c r="U7" i="31"/>
  <c r="V7" i="31"/>
  <c r="W7" i="31"/>
  <c r="X7" i="31"/>
  <c r="Y7" i="31"/>
  <c r="Z7" i="31"/>
  <c r="Y87" i="31" s="1"/>
  <c r="AA7" i="31"/>
  <c r="AB7" i="31"/>
  <c r="AC7" i="31"/>
  <c r="AD7" i="31"/>
  <c r="AE7" i="31"/>
  <c r="AF7" i="31"/>
  <c r="AG7" i="31"/>
  <c r="D8" i="31"/>
  <c r="E8"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D9" i="31"/>
  <c r="E9" i="31"/>
  <c r="F9" i="31"/>
  <c r="E89" i="31" s="1"/>
  <c r="G9" i="31"/>
  <c r="H9" i="31"/>
  <c r="I9" i="31"/>
  <c r="J9" i="31"/>
  <c r="K9" i="31"/>
  <c r="L9" i="31"/>
  <c r="M9" i="31"/>
  <c r="N9" i="31"/>
  <c r="M89" i="31" s="1"/>
  <c r="O9" i="31"/>
  <c r="P9" i="31"/>
  <c r="Q9" i="31"/>
  <c r="R9" i="31"/>
  <c r="S9" i="31"/>
  <c r="T9" i="31"/>
  <c r="U9" i="31"/>
  <c r="V9" i="31"/>
  <c r="U89" i="31" s="1"/>
  <c r="W9" i="31"/>
  <c r="X9" i="31"/>
  <c r="Y9" i="31"/>
  <c r="Z9" i="31"/>
  <c r="AA9" i="31"/>
  <c r="AB9" i="31"/>
  <c r="AC9" i="31"/>
  <c r="AD9" i="31"/>
  <c r="AC89" i="31" s="1"/>
  <c r="AE9" i="31"/>
  <c r="AF9" i="31"/>
  <c r="AG9" i="31"/>
  <c r="D10" i="31"/>
  <c r="E10" i="31"/>
  <c r="F10" i="31"/>
  <c r="E90" i="31" s="1"/>
  <c r="G10" i="31"/>
  <c r="H10" i="31"/>
  <c r="G90" i="31" s="1"/>
  <c r="I10" i="31"/>
  <c r="J10" i="31"/>
  <c r="K10" i="31"/>
  <c r="J90" i="31" s="1"/>
  <c r="L10" i="31"/>
  <c r="M10" i="31"/>
  <c r="N10" i="31"/>
  <c r="M90" i="31" s="1"/>
  <c r="O10" i="31"/>
  <c r="P10" i="31"/>
  <c r="O90" i="31" s="1"/>
  <c r="Q10" i="31"/>
  <c r="R10" i="31"/>
  <c r="S10" i="31"/>
  <c r="R90" i="31" s="1"/>
  <c r="T10" i="31"/>
  <c r="U10" i="31"/>
  <c r="V10" i="31"/>
  <c r="U90" i="31" s="1"/>
  <c r="W10" i="31"/>
  <c r="X10" i="31"/>
  <c r="W90" i="31" s="1"/>
  <c r="Y10" i="31"/>
  <c r="Z10" i="31"/>
  <c r="AA10" i="31"/>
  <c r="Z90" i="31" s="1"/>
  <c r="AB10" i="31"/>
  <c r="AC10" i="31"/>
  <c r="AD10" i="31"/>
  <c r="AC90" i="31" s="1"/>
  <c r="AE10" i="31"/>
  <c r="AF10" i="31"/>
  <c r="AE90" i="31" s="1"/>
  <c r="AG10" i="31"/>
  <c r="D11" i="31"/>
  <c r="E11" i="31"/>
  <c r="D91" i="31" s="1"/>
  <c r="F11" i="31"/>
  <c r="G11" i="31"/>
  <c r="H11" i="31"/>
  <c r="G91" i="31" s="1"/>
  <c r="I11" i="31"/>
  <c r="J11" i="31"/>
  <c r="I91" i="31" s="1"/>
  <c r="K11" i="31"/>
  <c r="L11" i="31"/>
  <c r="M11" i="31"/>
  <c r="L91" i="31" s="1"/>
  <c r="N11" i="31"/>
  <c r="O11" i="31"/>
  <c r="P11" i="31"/>
  <c r="O91" i="31" s="1"/>
  <c r="Q11" i="31"/>
  <c r="R11" i="31"/>
  <c r="Q91" i="31" s="1"/>
  <c r="S11" i="31"/>
  <c r="T11" i="31"/>
  <c r="U11" i="31"/>
  <c r="T91" i="31" s="1"/>
  <c r="V11" i="31"/>
  <c r="W11" i="31"/>
  <c r="X11" i="31"/>
  <c r="W91" i="31" s="1"/>
  <c r="Y11" i="31"/>
  <c r="Z11" i="31"/>
  <c r="Y91" i="31" s="1"/>
  <c r="AA11" i="31"/>
  <c r="AB11" i="31"/>
  <c r="AC11" i="31"/>
  <c r="AB91" i="31" s="1"/>
  <c r="AD11" i="31"/>
  <c r="AE11" i="31"/>
  <c r="AF11" i="31"/>
  <c r="AE91" i="31" s="1"/>
  <c r="AG11" i="31"/>
  <c r="D12" i="31"/>
  <c r="C92" i="31" s="1"/>
  <c r="E12" i="31"/>
  <c r="F12" i="31"/>
  <c r="G12" i="31"/>
  <c r="H12" i="31"/>
  <c r="I12" i="31"/>
  <c r="J12" i="31"/>
  <c r="K12" i="31"/>
  <c r="L12" i="31"/>
  <c r="K92" i="31" s="1"/>
  <c r="M12" i="31"/>
  <c r="N12" i="31"/>
  <c r="O12" i="31"/>
  <c r="P12" i="31"/>
  <c r="Q12" i="31"/>
  <c r="R12" i="31"/>
  <c r="S12" i="31"/>
  <c r="T12" i="31"/>
  <c r="S92" i="31" s="1"/>
  <c r="U12" i="31"/>
  <c r="V12" i="31"/>
  <c r="W12" i="31"/>
  <c r="X12" i="31"/>
  <c r="Y12" i="31"/>
  <c r="Z12" i="31"/>
  <c r="AA12" i="31"/>
  <c r="AB12" i="31"/>
  <c r="AA92" i="31" s="1"/>
  <c r="AC12" i="31"/>
  <c r="AD12" i="31"/>
  <c r="AE12" i="31"/>
  <c r="AF12" i="31"/>
  <c r="AG12" i="31"/>
  <c r="D13" i="31"/>
  <c r="E13" i="31"/>
  <c r="F13" i="31"/>
  <c r="E93" i="31" s="1"/>
  <c r="G13" i="31"/>
  <c r="H13" i="31"/>
  <c r="I13" i="31"/>
  <c r="J13" i="31"/>
  <c r="K13" i="31"/>
  <c r="L13" i="31"/>
  <c r="M13" i="31"/>
  <c r="N13" i="31"/>
  <c r="M93" i="31" s="1"/>
  <c r="O13" i="31"/>
  <c r="P13" i="31"/>
  <c r="Q13" i="31"/>
  <c r="R13" i="31"/>
  <c r="S13" i="31"/>
  <c r="T13" i="31"/>
  <c r="U13" i="31"/>
  <c r="V13" i="31"/>
  <c r="U93" i="31" s="1"/>
  <c r="W13" i="31"/>
  <c r="X13" i="31"/>
  <c r="Y13" i="31"/>
  <c r="X93" i="31" s="1"/>
  <c r="Z13" i="31"/>
  <c r="AA13" i="31"/>
  <c r="AB13" i="31"/>
  <c r="AC13" i="31"/>
  <c r="AD13" i="31"/>
  <c r="AC93" i="31" s="1"/>
  <c r="AE13" i="31"/>
  <c r="AF13" i="31"/>
  <c r="AG13" i="31"/>
  <c r="D14" i="31"/>
  <c r="E14" i="31"/>
  <c r="F14" i="31"/>
  <c r="E94" i="31" s="1"/>
  <c r="G14" i="31"/>
  <c r="H14" i="31"/>
  <c r="G94" i="31" s="1"/>
  <c r="I14" i="31"/>
  <c r="J14" i="31"/>
  <c r="K14" i="31"/>
  <c r="J94" i="31" s="1"/>
  <c r="L14" i="31"/>
  <c r="M14" i="31"/>
  <c r="N14" i="31"/>
  <c r="M94" i="31" s="1"/>
  <c r="O14" i="31"/>
  <c r="P14" i="31"/>
  <c r="O94" i="31" s="1"/>
  <c r="Q14" i="31"/>
  <c r="R14" i="31"/>
  <c r="S14" i="31"/>
  <c r="R94" i="31" s="1"/>
  <c r="T14" i="31"/>
  <c r="U14" i="31"/>
  <c r="V14" i="31"/>
  <c r="U94" i="31" s="1"/>
  <c r="W14" i="31"/>
  <c r="X14" i="31"/>
  <c r="W94" i="31" s="1"/>
  <c r="Y14" i="31"/>
  <c r="Z14" i="31"/>
  <c r="AA14" i="31"/>
  <c r="Z94" i="31" s="1"/>
  <c r="AB14" i="31"/>
  <c r="AC14" i="31"/>
  <c r="AD14" i="31"/>
  <c r="AC94" i="31" s="1"/>
  <c r="AE14" i="31"/>
  <c r="AF14" i="31"/>
  <c r="AE94" i="31" s="1"/>
  <c r="AG14" i="31"/>
  <c r="D15" i="31"/>
  <c r="E15" i="31"/>
  <c r="F15" i="31"/>
  <c r="G15" i="31"/>
  <c r="H15" i="31"/>
  <c r="I15" i="31"/>
  <c r="J15" i="31"/>
  <c r="I95" i="31" s="1"/>
  <c r="K15" i="31"/>
  <c r="L15" i="31"/>
  <c r="M15" i="31"/>
  <c r="N15" i="31"/>
  <c r="O15" i="31"/>
  <c r="P15" i="31"/>
  <c r="Q15" i="31"/>
  <c r="R15" i="31"/>
  <c r="Q95" i="31" s="1"/>
  <c r="S15" i="31"/>
  <c r="T15" i="31"/>
  <c r="U15" i="31"/>
  <c r="V15" i="31"/>
  <c r="W15" i="31"/>
  <c r="X15" i="31"/>
  <c r="Y15" i="31"/>
  <c r="Z15" i="31"/>
  <c r="Y95" i="31" s="1"/>
  <c r="AA15" i="31"/>
  <c r="AB15" i="31"/>
  <c r="AC15" i="31"/>
  <c r="AD15" i="31"/>
  <c r="AE15" i="31"/>
  <c r="AF15" i="31"/>
  <c r="AG15" i="31"/>
  <c r="D16" i="31"/>
  <c r="C96" i="31" s="1"/>
  <c r="E16" i="31"/>
  <c r="F16" i="31"/>
  <c r="G16" i="31"/>
  <c r="F96" i="31" s="1"/>
  <c r="H16" i="31"/>
  <c r="I16" i="31"/>
  <c r="J16" i="31"/>
  <c r="I96" i="31" s="1"/>
  <c r="K16" i="31"/>
  <c r="L16" i="31"/>
  <c r="K96" i="31" s="1"/>
  <c r="M16" i="31"/>
  <c r="N16" i="31"/>
  <c r="O16" i="31"/>
  <c r="N96" i="31" s="1"/>
  <c r="P16" i="31"/>
  <c r="Q16" i="31"/>
  <c r="R16" i="31"/>
  <c r="Q96" i="31" s="1"/>
  <c r="S16" i="31"/>
  <c r="T16" i="31"/>
  <c r="S96" i="31" s="1"/>
  <c r="U16" i="31"/>
  <c r="V16" i="31"/>
  <c r="W16" i="31"/>
  <c r="V96" i="31" s="1"/>
  <c r="X16" i="31"/>
  <c r="Y16" i="31"/>
  <c r="Z16" i="31"/>
  <c r="Y96" i="31" s="1"/>
  <c r="AA16" i="31"/>
  <c r="AB16" i="31"/>
  <c r="AA96" i="31" s="1"/>
  <c r="AC16" i="31"/>
  <c r="AD16" i="31"/>
  <c r="AE16" i="31"/>
  <c r="AD96" i="31" s="1"/>
  <c r="AF16" i="31"/>
  <c r="AG16" i="31"/>
  <c r="D17" i="31"/>
  <c r="E17" i="31"/>
  <c r="F17" i="31"/>
  <c r="E97" i="31" s="1"/>
  <c r="G17" i="31"/>
  <c r="H17" i="31"/>
  <c r="I17" i="31"/>
  <c r="J17" i="31"/>
  <c r="K17" i="31"/>
  <c r="L17" i="31"/>
  <c r="M17" i="31"/>
  <c r="N17" i="31"/>
  <c r="M97" i="31" s="1"/>
  <c r="O17" i="31"/>
  <c r="P17" i="31"/>
  <c r="Q17" i="31"/>
  <c r="R17" i="31"/>
  <c r="S17" i="31"/>
  <c r="T17" i="31"/>
  <c r="U17" i="31"/>
  <c r="V17" i="31"/>
  <c r="U97" i="31" s="1"/>
  <c r="W17" i="31"/>
  <c r="X17" i="31"/>
  <c r="Y17" i="31"/>
  <c r="Z17" i="31"/>
  <c r="AA17" i="31"/>
  <c r="AB17" i="31"/>
  <c r="AC17" i="31"/>
  <c r="AD17" i="31"/>
  <c r="AC97" i="31" s="1"/>
  <c r="AE17" i="31"/>
  <c r="AF17" i="31"/>
  <c r="AG17" i="31"/>
  <c r="D18" i="31"/>
  <c r="E18" i="31"/>
  <c r="F18" i="31"/>
  <c r="E98" i="31" s="1"/>
  <c r="G18" i="31"/>
  <c r="H18" i="31"/>
  <c r="G98" i="31" s="1"/>
  <c r="I18" i="31"/>
  <c r="J18" i="31"/>
  <c r="K18" i="31"/>
  <c r="J98" i="31" s="1"/>
  <c r="L18" i="31"/>
  <c r="M18" i="31"/>
  <c r="N18" i="31"/>
  <c r="M98" i="31" s="1"/>
  <c r="O18" i="31"/>
  <c r="P18" i="31"/>
  <c r="O98" i="31" s="1"/>
  <c r="Q18" i="31"/>
  <c r="R18" i="31"/>
  <c r="S18" i="31"/>
  <c r="R98" i="31" s="1"/>
  <c r="T18" i="31"/>
  <c r="U18" i="31"/>
  <c r="V18" i="31"/>
  <c r="U98" i="31" s="1"/>
  <c r="W18" i="31"/>
  <c r="X18" i="31"/>
  <c r="W98" i="31" s="1"/>
  <c r="Y18" i="31"/>
  <c r="Z18" i="31"/>
  <c r="AA18" i="31"/>
  <c r="Z98" i="31" s="1"/>
  <c r="AB18" i="31"/>
  <c r="AC18" i="31"/>
  <c r="AD18" i="31"/>
  <c r="AC98" i="31" s="1"/>
  <c r="AE18" i="31"/>
  <c r="AF18" i="31"/>
  <c r="AE98" i="31" s="1"/>
  <c r="AG18" i="31"/>
  <c r="D19" i="31"/>
  <c r="E19" i="31"/>
  <c r="D99" i="31" s="1"/>
  <c r="F19" i="31"/>
  <c r="G19" i="31"/>
  <c r="H19" i="31"/>
  <c r="G99" i="31" s="1"/>
  <c r="I19" i="31"/>
  <c r="J19" i="31"/>
  <c r="I99" i="31" s="1"/>
  <c r="K19" i="31"/>
  <c r="L19" i="31"/>
  <c r="M19" i="31"/>
  <c r="L99" i="31" s="1"/>
  <c r="N19" i="31"/>
  <c r="O19" i="31"/>
  <c r="P19" i="31"/>
  <c r="O99" i="31" s="1"/>
  <c r="Q19" i="31"/>
  <c r="R19" i="31"/>
  <c r="Q99" i="31" s="1"/>
  <c r="S19" i="31"/>
  <c r="T19" i="31"/>
  <c r="U19" i="31"/>
  <c r="T99" i="31" s="1"/>
  <c r="V19" i="31"/>
  <c r="W19" i="31"/>
  <c r="X19" i="31"/>
  <c r="W99" i="31" s="1"/>
  <c r="Y19" i="31"/>
  <c r="Z19" i="31"/>
  <c r="Y99" i="31" s="1"/>
  <c r="AA19" i="31"/>
  <c r="AB19" i="31"/>
  <c r="AC19" i="31"/>
  <c r="AB99" i="31" s="1"/>
  <c r="AD19" i="31"/>
  <c r="AE19" i="31"/>
  <c r="AF19" i="31"/>
  <c r="AE99" i="31" s="1"/>
  <c r="AG19" i="31"/>
  <c r="D20" i="31"/>
  <c r="C100" i="31" s="1"/>
  <c r="E20" i="31"/>
  <c r="F20" i="31"/>
  <c r="G20" i="31"/>
  <c r="F100" i="31" s="1"/>
  <c r="H20" i="31"/>
  <c r="I20" i="31"/>
  <c r="J20" i="31"/>
  <c r="I100" i="31" s="1"/>
  <c r="K20" i="31"/>
  <c r="L20" i="31"/>
  <c r="K100" i="31" s="1"/>
  <c r="M20" i="31"/>
  <c r="N20" i="31"/>
  <c r="O20" i="31"/>
  <c r="N100" i="31" s="1"/>
  <c r="P20" i="31"/>
  <c r="Q20" i="31"/>
  <c r="R20" i="31"/>
  <c r="Q100" i="31" s="1"/>
  <c r="S20" i="31"/>
  <c r="T20" i="31"/>
  <c r="S100" i="31" s="1"/>
  <c r="U20" i="31"/>
  <c r="V20" i="31"/>
  <c r="W20" i="31"/>
  <c r="V100" i="31" s="1"/>
  <c r="X20" i="31"/>
  <c r="Y20" i="31"/>
  <c r="Z20" i="31"/>
  <c r="Y100" i="31" s="1"/>
  <c r="AA20" i="31"/>
  <c r="AB20" i="31"/>
  <c r="AA100" i="31" s="1"/>
  <c r="AC20" i="31"/>
  <c r="AD20" i="31"/>
  <c r="AE20" i="31"/>
  <c r="AD100" i="31" s="1"/>
  <c r="AF20" i="31"/>
  <c r="AG20" i="31"/>
  <c r="D21" i="31"/>
  <c r="C101" i="31" s="1"/>
  <c r="E21" i="31"/>
  <c r="F21" i="31"/>
  <c r="E101" i="31" s="1"/>
  <c r="G21" i="31"/>
  <c r="H21" i="31"/>
  <c r="I21" i="31"/>
  <c r="H101" i="31" s="1"/>
  <c r="J21" i="31"/>
  <c r="K21" i="31"/>
  <c r="L21" i="31"/>
  <c r="K101" i="31" s="1"/>
  <c r="M21" i="31"/>
  <c r="N21" i="31"/>
  <c r="M101" i="31" s="1"/>
  <c r="O21" i="31"/>
  <c r="P21" i="31"/>
  <c r="Q21" i="31"/>
  <c r="P101" i="31" s="1"/>
  <c r="R21" i="31"/>
  <c r="S21" i="31"/>
  <c r="T21" i="31"/>
  <c r="S101" i="31" s="1"/>
  <c r="U21" i="31"/>
  <c r="V21" i="31"/>
  <c r="U101" i="31" s="1"/>
  <c r="W21" i="31"/>
  <c r="X21" i="31"/>
  <c r="Y21" i="31"/>
  <c r="X101" i="31" s="1"/>
  <c r="Z21" i="31"/>
  <c r="AA21" i="31"/>
  <c r="AB21" i="31"/>
  <c r="AA101" i="31" s="1"/>
  <c r="AC21" i="31"/>
  <c r="AD21" i="31"/>
  <c r="AC101" i="31" s="1"/>
  <c r="AE21" i="31"/>
  <c r="AF21" i="31"/>
  <c r="AG21" i="31"/>
  <c r="AF101" i="31" s="1"/>
  <c r="D22" i="31"/>
  <c r="E22" i="31"/>
  <c r="F22" i="31"/>
  <c r="G22" i="31"/>
  <c r="H22" i="31"/>
  <c r="G102" i="31" s="1"/>
  <c r="I22" i="31"/>
  <c r="J22" i="31"/>
  <c r="K22" i="31"/>
  <c r="L22" i="31"/>
  <c r="M22" i="31"/>
  <c r="N22" i="31"/>
  <c r="O22" i="31"/>
  <c r="P22" i="31"/>
  <c r="O102" i="31" s="1"/>
  <c r="Q22" i="31"/>
  <c r="R22" i="31"/>
  <c r="S22" i="31"/>
  <c r="T22" i="31"/>
  <c r="U22" i="31"/>
  <c r="V22" i="31"/>
  <c r="W22" i="31"/>
  <c r="X22" i="31"/>
  <c r="W102" i="31" s="1"/>
  <c r="Y22" i="31"/>
  <c r="Z22" i="31"/>
  <c r="AA22" i="31"/>
  <c r="Z102" i="31" s="1"/>
  <c r="AB22" i="31"/>
  <c r="AC22" i="31"/>
  <c r="AD22" i="31"/>
  <c r="AE22" i="31"/>
  <c r="AF22" i="31"/>
  <c r="AE102" i="31" s="1"/>
  <c r="AG22" i="31"/>
  <c r="D23" i="31"/>
  <c r="E23" i="31"/>
  <c r="D103" i="31" s="1"/>
  <c r="F23" i="31"/>
  <c r="G23" i="31"/>
  <c r="H23" i="31"/>
  <c r="G103" i="31" s="1"/>
  <c r="I23" i="31"/>
  <c r="J23" i="31"/>
  <c r="I103" i="31" s="1"/>
  <c r="K23" i="31"/>
  <c r="L23" i="31"/>
  <c r="M23" i="31"/>
  <c r="L103" i="31" s="1"/>
  <c r="N23" i="31"/>
  <c r="O23" i="31"/>
  <c r="P23" i="31"/>
  <c r="O103" i="31" s="1"/>
  <c r="Q23" i="31"/>
  <c r="R23" i="31"/>
  <c r="Q103" i="31" s="1"/>
  <c r="S23" i="31"/>
  <c r="T23" i="31"/>
  <c r="U23" i="31"/>
  <c r="T103" i="31" s="1"/>
  <c r="V23" i="31"/>
  <c r="W23" i="31"/>
  <c r="X23" i="31"/>
  <c r="W103" i="31" s="1"/>
  <c r="Y23" i="31"/>
  <c r="Z23" i="31"/>
  <c r="Y103" i="31" s="1"/>
  <c r="AA23" i="31"/>
  <c r="AB23" i="31"/>
  <c r="AC23" i="31"/>
  <c r="AB103" i="31" s="1"/>
  <c r="AD23" i="31"/>
  <c r="AE23" i="31"/>
  <c r="AF23" i="31"/>
  <c r="AE103" i="31" s="1"/>
  <c r="AG23" i="31"/>
  <c r="D24" i="31"/>
  <c r="C104" i="31" s="1"/>
  <c r="E24" i="31"/>
  <c r="F24" i="31"/>
  <c r="G24" i="31"/>
  <c r="F104" i="31" s="1"/>
  <c r="H24" i="31"/>
  <c r="I24" i="31"/>
  <c r="J24" i="31"/>
  <c r="I104" i="31" s="1"/>
  <c r="K24" i="31"/>
  <c r="L24" i="31"/>
  <c r="K104" i="31" s="1"/>
  <c r="M24" i="31"/>
  <c r="N24" i="31"/>
  <c r="O24" i="31"/>
  <c r="N104" i="31" s="1"/>
  <c r="P24" i="31"/>
  <c r="Q24" i="31"/>
  <c r="R24" i="31"/>
  <c r="Q104" i="31" s="1"/>
  <c r="S24" i="31"/>
  <c r="T24" i="31"/>
  <c r="S104" i="31" s="1"/>
  <c r="U24" i="31"/>
  <c r="V24" i="31"/>
  <c r="W24" i="31"/>
  <c r="V104" i="31" s="1"/>
  <c r="X24" i="31"/>
  <c r="Y24" i="31"/>
  <c r="Z24" i="31"/>
  <c r="Y104" i="31" s="1"/>
  <c r="AA24" i="31"/>
  <c r="AB24" i="31"/>
  <c r="AA104" i="31" s="1"/>
  <c r="AC24" i="31"/>
  <c r="AD24" i="31"/>
  <c r="AE24" i="31"/>
  <c r="AD104" i="31" s="1"/>
  <c r="AF24" i="31"/>
  <c r="AG24" i="31"/>
  <c r="D25" i="31"/>
  <c r="E25" i="31"/>
  <c r="F25" i="31"/>
  <c r="E105" i="31" s="1"/>
  <c r="G25" i="31"/>
  <c r="H25" i="31"/>
  <c r="I25" i="31"/>
  <c r="J25" i="31"/>
  <c r="K25" i="31"/>
  <c r="L25" i="31"/>
  <c r="M25" i="31"/>
  <c r="N25" i="31"/>
  <c r="M105" i="31" s="1"/>
  <c r="O25" i="31"/>
  <c r="P25" i="31"/>
  <c r="Q25" i="31"/>
  <c r="R25" i="31"/>
  <c r="S25" i="31"/>
  <c r="T25" i="31"/>
  <c r="U25" i="31"/>
  <c r="V25" i="31"/>
  <c r="U105" i="31" s="1"/>
  <c r="W25" i="31"/>
  <c r="X25" i="31"/>
  <c r="Y25" i="31"/>
  <c r="Z25" i="31"/>
  <c r="AA25" i="31"/>
  <c r="AB25" i="31"/>
  <c r="AC25" i="31"/>
  <c r="AD25" i="31"/>
  <c r="AC105" i="31" s="1"/>
  <c r="AE25" i="31"/>
  <c r="AF25" i="31"/>
  <c r="AG25" i="31"/>
  <c r="D26" i="31"/>
  <c r="E26" i="31"/>
  <c r="F26" i="31"/>
  <c r="G26" i="31"/>
  <c r="H26" i="31"/>
  <c r="G106" i="31" s="1"/>
  <c r="I26" i="31"/>
  <c r="J26" i="31"/>
  <c r="K26" i="31"/>
  <c r="L26" i="31"/>
  <c r="M26" i="31"/>
  <c r="N26" i="31"/>
  <c r="O26" i="31"/>
  <c r="P26" i="31"/>
  <c r="O106" i="31" s="1"/>
  <c r="Q26" i="31"/>
  <c r="R26" i="31"/>
  <c r="S26" i="31"/>
  <c r="T26" i="31"/>
  <c r="U26" i="31"/>
  <c r="V26" i="31"/>
  <c r="W26" i="31"/>
  <c r="X26" i="31"/>
  <c r="W106" i="31" s="1"/>
  <c r="Y26" i="31"/>
  <c r="Z26" i="31"/>
  <c r="AA26" i="31"/>
  <c r="AB26" i="31"/>
  <c r="AC26" i="31"/>
  <c r="AD26" i="31"/>
  <c r="AE26" i="31"/>
  <c r="AF26" i="31"/>
  <c r="AE106" i="31" s="1"/>
  <c r="AG26" i="31"/>
  <c r="D27" i="31"/>
  <c r="E27" i="31"/>
  <c r="F27" i="31"/>
  <c r="G27" i="31"/>
  <c r="H27" i="31"/>
  <c r="I27" i="31"/>
  <c r="J27" i="31"/>
  <c r="I107" i="31" s="1"/>
  <c r="K27" i="31"/>
  <c r="L27" i="31"/>
  <c r="M27" i="31"/>
  <c r="N27" i="31"/>
  <c r="O27" i="31"/>
  <c r="P27" i="31"/>
  <c r="Q27" i="31"/>
  <c r="R27" i="31"/>
  <c r="Q107" i="31" s="1"/>
  <c r="S27" i="31"/>
  <c r="T27" i="31"/>
  <c r="U27" i="31"/>
  <c r="V27" i="31"/>
  <c r="W27" i="31"/>
  <c r="X27" i="31"/>
  <c r="Y27" i="31"/>
  <c r="Z27" i="31"/>
  <c r="Y107" i="31" s="1"/>
  <c r="AA27" i="31"/>
  <c r="AB27" i="31"/>
  <c r="AC27" i="31"/>
  <c r="AD27" i="31"/>
  <c r="AE27" i="31"/>
  <c r="AF27" i="31"/>
  <c r="AG27" i="31"/>
  <c r="D28" i="31"/>
  <c r="C108" i="31" s="1"/>
  <c r="E28" i="31"/>
  <c r="F28" i="31"/>
  <c r="G28" i="31"/>
  <c r="H28" i="31"/>
  <c r="I28" i="31"/>
  <c r="J28" i="31"/>
  <c r="K28" i="31"/>
  <c r="L28" i="31"/>
  <c r="K108" i="31" s="1"/>
  <c r="M28" i="31"/>
  <c r="N28" i="31"/>
  <c r="O28" i="31"/>
  <c r="P28" i="31"/>
  <c r="Q28" i="31"/>
  <c r="R28" i="31"/>
  <c r="S28" i="31"/>
  <c r="T28" i="31"/>
  <c r="S108" i="31" s="1"/>
  <c r="U28" i="31"/>
  <c r="V28" i="31"/>
  <c r="W28" i="31"/>
  <c r="X28" i="31"/>
  <c r="Y28" i="31"/>
  <c r="Z28" i="31"/>
  <c r="AA28" i="31"/>
  <c r="AB28" i="31"/>
  <c r="AA108" i="31" s="1"/>
  <c r="AC28" i="31"/>
  <c r="AD28" i="31"/>
  <c r="AE28" i="31"/>
  <c r="AF28" i="31"/>
  <c r="AG28" i="31"/>
  <c r="D29" i="31"/>
  <c r="E29" i="31"/>
  <c r="F29" i="31"/>
  <c r="E109" i="31" s="1"/>
  <c r="G29" i="31"/>
  <c r="H29" i="31"/>
  <c r="I29" i="31"/>
  <c r="J29" i="31"/>
  <c r="K29" i="31"/>
  <c r="L29" i="31"/>
  <c r="M29" i="31"/>
  <c r="N29" i="31"/>
  <c r="M109" i="31" s="1"/>
  <c r="O29" i="31"/>
  <c r="P29" i="31"/>
  <c r="Q29" i="31"/>
  <c r="R29" i="31"/>
  <c r="S29" i="31"/>
  <c r="T29" i="31"/>
  <c r="U29" i="31"/>
  <c r="V29" i="31"/>
  <c r="U109" i="31" s="1"/>
  <c r="W29" i="31"/>
  <c r="X29" i="31"/>
  <c r="Y29" i="31"/>
  <c r="Z29" i="31"/>
  <c r="AA29" i="31"/>
  <c r="AB29" i="31"/>
  <c r="AC29" i="31"/>
  <c r="AD29" i="31"/>
  <c r="AC109" i="31" s="1"/>
  <c r="AE29" i="31"/>
  <c r="AF29" i="31"/>
  <c r="AG29" i="31"/>
  <c r="D30" i="31"/>
  <c r="E30" i="31"/>
  <c r="F30" i="31"/>
  <c r="E110" i="31" s="1"/>
  <c r="G30" i="31"/>
  <c r="H30" i="31"/>
  <c r="G110" i="31" s="1"/>
  <c r="I30" i="31"/>
  <c r="J30" i="31"/>
  <c r="K30" i="31"/>
  <c r="J110" i="31" s="1"/>
  <c r="L30" i="31"/>
  <c r="M30" i="31"/>
  <c r="N30" i="31"/>
  <c r="M110" i="31" s="1"/>
  <c r="O30" i="31"/>
  <c r="P30" i="31"/>
  <c r="O110" i="31" s="1"/>
  <c r="Q30" i="31"/>
  <c r="R30" i="31"/>
  <c r="S30" i="31"/>
  <c r="R110" i="31" s="1"/>
  <c r="T30" i="31"/>
  <c r="U30" i="31"/>
  <c r="V30" i="31"/>
  <c r="U110" i="31" s="1"/>
  <c r="W30" i="31"/>
  <c r="X30" i="31"/>
  <c r="W110" i="31" s="1"/>
  <c r="Y30" i="31"/>
  <c r="Z30" i="31"/>
  <c r="AA30" i="31"/>
  <c r="Z110" i="31" s="1"/>
  <c r="AB30" i="31"/>
  <c r="AC30" i="31"/>
  <c r="AD30" i="31"/>
  <c r="AC110" i="31" s="1"/>
  <c r="AE30" i="31"/>
  <c r="AF30" i="31"/>
  <c r="AE110" i="31" s="1"/>
  <c r="AG30" i="31"/>
  <c r="D31" i="31"/>
  <c r="E31" i="31"/>
  <c r="D111" i="31" s="1"/>
  <c r="F31" i="31"/>
  <c r="G31" i="31"/>
  <c r="H31" i="31"/>
  <c r="G111" i="31" s="1"/>
  <c r="I31" i="31"/>
  <c r="J31" i="31"/>
  <c r="I111" i="31" s="1"/>
  <c r="K31" i="31"/>
  <c r="L31" i="31"/>
  <c r="M31" i="31"/>
  <c r="L111" i="31" s="1"/>
  <c r="N31" i="31"/>
  <c r="O31" i="31"/>
  <c r="P31" i="31"/>
  <c r="O111" i="31" s="1"/>
  <c r="Q31" i="31"/>
  <c r="R31" i="31"/>
  <c r="Q111" i="31" s="1"/>
  <c r="S31" i="31"/>
  <c r="T31" i="31"/>
  <c r="U31" i="31"/>
  <c r="T111" i="31" s="1"/>
  <c r="V31" i="31"/>
  <c r="W31" i="31"/>
  <c r="X31" i="31"/>
  <c r="W111" i="31" s="1"/>
  <c r="Y31" i="31"/>
  <c r="Z31" i="31"/>
  <c r="Y111" i="31" s="1"/>
  <c r="AA31" i="31"/>
  <c r="AB31" i="31"/>
  <c r="AC31" i="31"/>
  <c r="AB111" i="31" s="1"/>
  <c r="AD31" i="31"/>
  <c r="AE31" i="31"/>
  <c r="AF31" i="31"/>
  <c r="AE111" i="31" s="1"/>
  <c r="AG31" i="31"/>
  <c r="D32" i="31"/>
  <c r="C112" i="31" s="1"/>
  <c r="E32" i="31"/>
  <c r="F32" i="31"/>
  <c r="G32" i="31"/>
  <c r="H32" i="31"/>
  <c r="I32" i="31"/>
  <c r="J32" i="31"/>
  <c r="K32" i="31"/>
  <c r="L32" i="31"/>
  <c r="K112" i="31" s="1"/>
  <c r="M32" i="31"/>
  <c r="N32" i="31"/>
  <c r="O32" i="31"/>
  <c r="P32" i="31"/>
  <c r="Q32" i="31"/>
  <c r="R32" i="31"/>
  <c r="S32" i="31"/>
  <c r="T32" i="31"/>
  <c r="S112" i="31" s="1"/>
  <c r="U32" i="31"/>
  <c r="V32" i="31"/>
  <c r="W32" i="31"/>
  <c r="X32" i="31"/>
  <c r="Y32" i="31"/>
  <c r="Z32" i="31"/>
  <c r="AA32" i="31"/>
  <c r="AB32" i="31"/>
  <c r="AA112" i="31" s="1"/>
  <c r="AC32" i="31"/>
  <c r="AD32" i="31"/>
  <c r="AE32" i="31"/>
  <c r="AF32" i="31"/>
  <c r="AG32" i="31"/>
  <c r="E113" i="31"/>
  <c r="J113" i="31"/>
  <c r="L113" i="31"/>
  <c r="M113" i="31"/>
  <c r="U113" i="31"/>
  <c r="Z113" i="31"/>
  <c r="AB113" i="31"/>
  <c r="AC113" i="31"/>
  <c r="C114" i="31"/>
  <c r="F114" i="31"/>
  <c r="G114" i="31"/>
  <c r="L114" i="31"/>
  <c r="M114" i="31"/>
  <c r="N114" i="31"/>
  <c r="S114" i="31"/>
  <c r="V114" i="31"/>
  <c r="W114" i="31"/>
  <c r="AA114" i="31"/>
  <c r="AC114" i="31"/>
  <c r="AD114" i="31"/>
  <c r="AE114" i="31"/>
  <c r="D115" i="31"/>
  <c r="E115" i="31"/>
  <c r="I115" i="31"/>
  <c r="L115" i="31"/>
  <c r="Q115" i="31"/>
  <c r="T115" i="31"/>
  <c r="Y115" i="31"/>
  <c r="AB115" i="31"/>
  <c r="AC115" i="31"/>
  <c r="I116" i="31"/>
  <c r="J116" i="31"/>
  <c r="L116" i="31"/>
  <c r="Q116" i="31"/>
  <c r="R116" i="31"/>
  <c r="Y116" i="31"/>
  <c r="Z116" i="31"/>
  <c r="E117" i="31"/>
  <c r="F117" i="31"/>
  <c r="K117" i="31"/>
  <c r="S117" i="31"/>
  <c r="U117" i="31"/>
  <c r="AC117" i="31"/>
  <c r="AF117" i="31"/>
  <c r="C118" i="31"/>
  <c r="E118" i="31"/>
  <c r="G118" i="31"/>
  <c r="N118" i="31"/>
  <c r="O118" i="31"/>
  <c r="V118" i="31"/>
  <c r="W118" i="31"/>
  <c r="X118" i="31"/>
  <c r="AA118" i="31"/>
  <c r="AD118" i="31"/>
  <c r="AE118" i="31"/>
  <c r="G119" i="31"/>
  <c r="H119" i="31"/>
  <c r="I119" i="31"/>
  <c r="J119" i="31"/>
  <c r="L119" i="31"/>
  <c r="O119" i="31"/>
  <c r="P119" i="31"/>
  <c r="Q119" i="31"/>
  <c r="W119" i="31"/>
  <c r="X119" i="31"/>
  <c r="Y119" i="31"/>
  <c r="AF119" i="31"/>
  <c r="C3" i="31"/>
  <c r="C4" i="31"/>
  <c r="C5" i="31"/>
  <c r="C6" i="31"/>
  <c r="C7" i="31"/>
  <c r="C8" i="31"/>
  <c r="C9" i="31"/>
  <c r="C10" i="31"/>
  <c r="C11" i="31"/>
  <c r="C12" i="31"/>
  <c r="C13" i="31"/>
  <c r="C14" i="31"/>
  <c r="C15" i="31"/>
  <c r="C16" i="31"/>
  <c r="C17" i="31"/>
  <c r="C18" i="31"/>
  <c r="C19" i="31"/>
  <c r="B99" i="31" s="1"/>
  <c r="C20" i="31"/>
  <c r="B100" i="31" s="1"/>
  <c r="C21" i="31"/>
  <c r="C22" i="31"/>
  <c r="C23" i="31"/>
  <c r="B103" i="31" s="1"/>
  <c r="C24" i="31"/>
  <c r="C25" i="31"/>
  <c r="C26" i="31"/>
  <c r="C27" i="31"/>
  <c r="C28" i="31"/>
  <c r="C29" i="31"/>
  <c r="C30" i="31"/>
  <c r="C31" i="31"/>
  <c r="B111" i="31" s="1"/>
  <c r="C32" i="31"/>
  <c r="C2" i="31"/>
  <c r="Y7" i="2" l="1"/>
  <c r="I7" i="2"/>
  <c r="AC3" i="2"/>
  <c r="M3" i="2"/>
  <c r="U6" i="2"/>
  <c r="M6" i="2"/>
  <c r="Y5" i="2"/>
  <c r="Q5" i="2"/>
  <c r="I5" i="2"/>
  <c r="E8" i="2"/>
  <c r="Q7" i="2"/>
  <c r="AC6" i="2"/>
  <c r="E6" i="2"/>
  <c r="F119" i="31"/>
  <c r="AC118" i="31"/>
  <c r="AC8" i="2" s="1"/>
  <c r="U118" i="31"/>
  <c r="U8" i="2" s="1"/>
  <c r="M118" i="31"/>
  <c r="T117" i="31"/>
  <c r="AA116" i="31"/>
  <c r="S116" i="31"/>
  <c r="K116" i="31"/>
  <c r="C116" i="31"/>
  <c r="B110" i="31"/>
  <c r="AE119" i="31"/>
  <c r="M117" i="31"/>
  <c r="M8" i="2" s="1"/>
  <c r="U114" i="31"/>
  <c r="U3" i="2" s="1"/>
  <c r="E114" i="31"/>
  <c r="E3" i="2" s="1"/>
  <c r="AB5" i="2"/>
  <c r="T5" i="2"/>
  <c r="L5" i="2"/>
  <c r="D5" i="2"/>
  <c r="B115" i="31"/>
  <c r="T118" i="31"/>
  <c r="D118" i="31"/>
  <c r="AF116" i="31"/>
  <c r="X116" i="31"/>
  <c r="P116" i="31"/>
  <c r="H116" i="31"/>
  <c r="AB114" i="31"/>
  <c r="T114" i="31"/>
  <c r="D114" i="31"/>
  <c r="R113" i="31"/>
  <c r="AC119" i="31"/>
  <c r="U119" i="31"/>
  <c r="M119" i="31"/>
  <c r="E119" i="31"/>
  <c r="AA117" i="31"/>
  <c r="C117" i="31"/>
  <c r="Y117" i="31"/>
  <c r="I117" i="31"/>
  <c r="B83" i="31"/>
  <c r="P115" i="31"/>
  <c r="AC111" i="31"/>
  <c r="U111" i="31"/>
  <c r="M111" i="31"/>
  <c r="E111" i="31"/>
  <c r="AA110" i="31"/>
  <c r="S110" i="31"/>
  <c r="K110" i="31"/>
  <c r="C110" i="31"/>
  <c r="AE108" i="31"/>
  <c r="W108" i="31"/>
  <c r="N119"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AA6" i="2" s="1"/>
  <c r="S89" i="31"/>
  <c r="K89" i="31"/>
  <c r="C89" i="31"/>
  <c r="AE87" i="31"/>
  <c r="W87" i="31"/>
  <c r="O87" i="31"/>
  <c r="G87" i="31"/>
  <c r="AA85" i="31"/>
  <c r="S85" i="31"/>
  <c r="K85" i="31"/>
  <c r="C85" i="31"/>
  <c r="F118" i="31"/>
  <c r="D117" i="31"/>
  <c r="H115" i="31"/>
  <c r="T113" i="31"/>
  <c r="D113" i="31"/>
  <c r="V117" i="31"/>
  <c r="R115" i="31"/>
  <c r="O108" i="31"/>
  <c r="G108" i="31"/>
  <c r="AE104" i="31"/>
  <c r="W104" i="31"/>
  <c r="O104" i="31"/>
  <c r="G104" i="31"/>
  <c r="AC103" i="31"/>
  <c r="U103" i="31"/>
  <c r="M103" i="31"/>
  <c r="E103" i="31"/>
  <c r="AA102" i="31"/>
  <c r="S102" i="31"/>
  <c r="K102" i="31"/>
  <c r="C102" i="31"/>
  <c r="Y101" i="31"/>
  <c r="Q101" i="31"/>
  <c r="I101" i="31"/>
  <c r="AE100" i="31"/>
  <c r="W100" i="31"/>
  <c r="O100" i="31"/>
  <c r="G100" i="31"/>
  <c r="AC99" i="31"/>
  <c r="U99" i="31"/>
  <c r="M99" i="31"/>
  <c r="E99" i="31"/>
  <c r="AA98" i="31"/>
  <c r="S98" i="31"/>
  <c r="K98" i="31"/>
  <c r="C98" i="31"/>
  <c r="AE96" i="31"/>
  <c r="W96" i="31"/>
  <c r="O96" i="31"/>
  <c r="G96" i="31"/>
  <c r="AA94" i="31"/>
  <c r="S94" i="31"/>
  <c r="K94" i="31"/>
  <c r="C94" i="31"/>
  <c r="AC91" i="31"/>
  <c r="U91" i="31"/>
  <c r="M91" i="31"/>
  <c r="E91" i="31"/>
  <c r="AA90" i="31"/>
  <c r="S90" i="31"/>
  <c r="K90" i="31"/>
  <c r="C90" i="31"/>
  <c r="AE88" i="31"/>
  <c r="W88" i="31"/>
  <c r="O88" i="31"/>
  <c r="G88" i="31"/>
  <c r="AE84" i="31"/>
  <c r="W84" i="31"/>
  <c r="O84" i="31"/>
  <c r="G84" i="31"/>
  <c r="AC83" i="31"/>
  <c r="AC5" i="2" s="1"/>
  <c r="U83" i="31"/>
  <c r="U5" i="2" s="1"/>
  <c r="M83" i="31"/>
  <c r="M5" i="2" s="1"/>
  <c r="E83" i="31"/>
  <c r="AA82" i="31"/>
  <c r="S82" i="31"/>
  <c r="K82" i="31"/>
  <c r="C82" i="31"/>
  <c r="S118" i="31"/>
  <c r="AE115" i="31"/>
  <c r="W116" i="31"/>
  <c r="B108" i="31"/>
  <c r="B92" i="31"/>
  <c r="L118" i="31"/>
  <c r="R117" i="31"/>
  <c r="AD116" i="31"/>
  <c r="B106" i="31"/>
  <c r="B118" i="31"/>
  <c r="K103" i="31"/>
  <c r="Y102" i="31"/>
  <c r="M100" i="31"/>
  <c r="C99"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Z104" i="31"/>
  <c r="R104" i="31"/>
  <c r="J104" i="31"/>
  <c r="AF103" i="31"/>
  <c r="X103" i="31"/>
  <c r="P103" i="31"/>
  <c r="H103" i="31"/>
  <c r="AD102" i="31"/>
  <c r="V102" i="31"/>
  <c r="N102" i="31"/>
  <c r="F102" i="31"/>
  <c r="AB101" i="31"/>
  <c r="T101" i="31"/>
  <c r="L101" i="31"/>
  <c r="D101" i="31"/>
  <c r="Z100" i="31"/>
  <c r="R100" i="31"/>
  <c r="J100" i="31"/>
  <c r="AF99" i="31"/>
  <c r="X99" i="31"/>
  <c r="P99" i="31"/>
  <c r="H99" i="31"/>
  <c r="AD98" i="31"/>
  <c r="V98" i="31"/>
  <c r="N98" i="31"/>
  <c r="F98" i="31"/>
  <c r="AB97" i="31"/>
  <c r="AE83" i="31"/>
  <c r="AE5" i="2" s="1"/>
  <c r="W83" i="31"/>
  <c r="W5" i="2" s="1"/>
  <c r="O83" i="31"/>
  <c r="O5" i="2" s="1"/>
  <c r="G83" i="31"/>
  <c r="G5" i="2" s="1"/>
  <c r="B107" i="31"/>
  <c r="B104"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F104" i="31"/>
  <c r="X104" i="31"/>
  <c r="P104" i="31"/>
  <c r="H104" i="31"/>
  <c r="AD103" i="31"/>
  <c r="V103" i="31"/>
  <c r="N103" i="31"/>
  <c r="F103" i="31"/>
  <c r="Z101" i="31"/>
  <c r="R101" i="31"/>
  <c r="J101" i="31"/>
  <c r="AF100" i="31"/>
  <c r="X100" i="31"/>
  <c r="P100" i="31"/>
  <c r="H100" i="31"/>
  <c r="AD99" i="31"/>
  <c r="V99" i="31"/>
  <c r="N99" i="31"/>
  <c r="F99" i="31"/>
  <c r="AB98" i="31"/>
  <c r="T98" i="31"/>
  <c r="L98" i="31"/>
  <c r="D98" i="31"/>
  <c r="Z97" i="31"/>
  <c r="Z8" i="2" s="1"/>
  <c r="R97" i="31"/>
  <c r="R8" i="2" s="1"/>
  <c r="J97" i="31"/>
  <c r="J8" i="2" s="1"/>
  <c r="AF96" i="31"/>
  <c r="X96" i="31"/>
  <c r="P96" i="31"/>
  <c r="H96" i="31"/>
  <c r="AD95" i="31"/>
  <c r="V95" i="31"/>
  <c r="V7" i="2" s="1"/>
  <c r="N95" i="31"/>
  <c r="N7" i="2" s="1"/>
  <c r="F95" i="31"/>
  <c r="F7" i="2" s="1"/>
  <c r="AB94" i="31"/>
  <c r="T94" i="31"/>
  <c r="L94" i="31"/>
  <c r="D94" i="31"/>
  <c r="Z93" i="31"/>
  <c r="Z3" i="2" s="1"/>
  <c r="R93" i="31"/>
  <c r="R3" i="2" s="1"/>
  <c r="J93" i="31"/>
  <c r="J3" i="2" s="1"/>
  <c r="AD91" i="31"/>
  <c r="V91" i="31"/>
  <c r="N91" i="31"/>
  <c r="F91" i="31"/>
  <c r="AB90" i="31"/>
  <c r="T90" i="31"/>
  <c r="L90" i="31"/>
  <c r="D90" i="31"/>
  <c r="Z89" i="31"/>
  <c r="Z6" i="2" s="1"/>
  <c r="R89" i="31"/>
  <c r="J89" i="31"/>
  <c r="J6" i="2" s="1"/>
  <c r="AD87" i="31"/>
  <c r="V87" i="31"/>
  <c r="N87" i="31"/>
  <c r="F87" i="31"/>
  <c r="Z85" i="31"/>
  <c r="R85" i="31"/>
  <c r="J85" i="31"/>
  <c r="AF84" i="31"/>
  <c r="X84" i="31"/>
  <c r="P84" i="31"/>
  <c r="H84" i="31"/>
  <c r="AD83" i="31"/>
  <c r="V83" i="31"/>
  <c r="N83" i="31"/>
  <c r="F83" i="31"/>
  <c r="T97" i="31"/>
  <c r="L97" i="31"/>
  <c r="L8" i="2" s="1"/>
  <c r="D97" i="31"/>
  <c r="D8" i="2" s="1"/>
  <c r="Z96" i="31"/>
  <c r="R96" i="31"/>
  <c r="J96" i="31"/>
  <c r="AF95" i="31"/>
  <c r="AF7" i="2" s="1"/>
  <c r="X95" i="31"/>
  <c r="P95" i="31"/>
  <c r="H95" i="31"/>
  <c r="H7" i="2" s="1"/>
  <c r="AD94" i="31"/>
  <c r="V94" i="31"/>
  <c r="N94" i="31"/>
  <c r="F94" i="31"/>
  <c r="AB93" i="31"/>
  <c r="AB3" i="2" s="1"/>
  <c r="T93" i="31"/>
  <c r="L93" i="31"/>
  <c r="D93" i="31"/>
  <c r="D3" i="2" s="1"/>
  <c r="Z92" i="31"/>
  <c r="R92" i="31"/>
  <c r="J92" i="31"/>
  <c r="AF91" i="31"/>
  <c r="X91" i="31"/>
  <c r="P91" i="31"/>
  <c r="H91" i="31"/>
  <c r="AD90" i="31"/>
  <c r="V90" i="31"/>
  <c r="N90" i="31"/>
  <c r="F90" i="31"/>
  <c r="AB89" i="31"/>
  <c r="AB6" i="2" s="1"/>
  <c r="T89" i="31"/>
  <c r="L89" i="31"/>
  <c r="L6" i="2" s="1"/>
  <c r="D89" i="31"/>
  <c r="D6" i="2" s="1"/>
  <c r="Z88" i="31"/>
  <c r="R88" i="31"/>
  <c r="J88" i="31"/>
  <c r="AF87" i="31"/>
  <c r="X87" i="31"/>
  <c r="P87" i="31"/>
  <c r="H87" i="31"/>
  <c r="AD86" i="31"/>
  <c r="V86" i="31"/>
  <c r="V2" i="2" s="1"/>
  <c r="N86" i="31"/>
  <c r="F86" i="31"/>
  <c r="AB85" i="31"/>
  <c r="T85" i="31"/>
  <c r="L85" i="31"/>
  <c r="D85" i="31"/>
  <c r="Z84" i="31"/>
  <c r="R84" i="31"/>
  <c r="J84" i="31"/>
  <c r="AF83" i="31"/>
  <c r="X83" i="31"/>
  <c r="P83" i="31"/>
  <c r="P5" i="2" s="1"/>
  <c r="H83" i="31"/>
  <c r="AD82" i="31"/>
  <c r="V82" i="31"/>
  <c r="N82" i="31"/>
  <c r="F82" i="31"/>
  <c r="B116" i="31"/>
  <c r="B84" i="31"/>
  <c r="AF118" i="31"/>
  <c r="H118" i="31"/>
  <c r="AD117" i="31"/>
  <c r="N117" i="31"/>
  <c r="AB116" i="31"/>
  <c r="D116" i="31"/>
  <c r="Z115" i="31"/>
  <c r="J115" i="31"/>
  <c r="H102" i="31"/>
  <c r="AB100" i="31"/>
  <c r="L100" i="31"/>
  <c r="H97" i="31"/>
  <c r="AD97" i="31"/>
  <c r="AD8" i="2" s="1"/>
  <c r="T96" i="31"/>
  <c r="D96" i="31"/>
  <c r="AF93" i="31"/>
  <c r="X94" i="31"/>
  <c r="X3" i="2" s="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E7" i="2" s="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G101" i="31"/>
  <c r="AC100" i="31"/>
  <c r="U100"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AF8" i="2" s="1"/>
  <c r="D95" i="31"/>
  <c r="D7" i="2" s="1"/>
  <c r="H93" i="31"/>
  <c r="AD88" i="31"/>
  <c r="T87" i="31"/>
  <c r="Z86" i="31"/>
  <c r="R86" i="31"/>
  <c r="P85" i="31"/>
  <c r="R82" i="31"/>
  <c r="B117" i="31"/>
  <c r="B109" i="31"/>
  <c r="B101" i="31"/>
  <c r="B93" i="31"/>
  <c r="B3" i="2" s="1"/>
  <c r="B85" i="31"/>
  <c r="AA119" i="31"/>
  <c r="S119" i="31"/>
  <c r="K119" i="31"/>
  <c r="C119"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T100" i="31"/>
  <c r="D100" i="31"/>
  <c r="X98" i="31"/>
  <c r="P98" i="31"/>
  <c r="H98" i="31"/>
  <c r="L96" i="31"/>
  <c r="Z95" i="31"/>
  <c r="Z7" i="2" s="1"/>
  <c r="P94" i="31"/>
  <c r="Y92" i="31"/>
  <c r="Q92" i="31"/>
  <c r="I92" i="31"/>
  <c r="Y88" i="31"/>
  <c r="Q88" i="31"/>
  <c r="I88" i="31"/>
  <c r="AC86" i="31"/>
  <c r="U86" i="31"/>
  <c r="M86" i="31"/>
  <c r="M2" i="2" s="1"/>
  <c r="E86" i="31"/>
  <c r="AC82" i="31"/>
  <c r="U82" i="31"/>
  <c r="M82" i="31"/>
  <c r="E82" i="31"/>
  <c r="Y89" i="31"/>
  <c r="Q89" i="31"/>
  <c r="Q6" i="2" s="1"/>
  <c r="I89" i="31"/>
  <c r="I6" i="2" s="1"/>
  <c r="AC87" i="31"/>
  <c r="U87" i="31"/>
  <c r="M87" i="31"/>
  <c r="E87" i="31"/>
  <c r="AA86" i="31"/>
  <c r="S86" i="31"/>
  <c r="K86" i="31"/>
  <c r="K2" i="2" s="1"/>
  <c r="C86" i="31"/>
  <c r="C2" i="2" s="1"/>
  <c r="Y85" i="31"/>
  <c r="Q85" i="31"/>
  <c r="I85" i="31"/>
  <c r="X97" i="31"/>
  <c r="X8" i="2" s="1"/>
  <c r="P97" i="31"/>
  <c r="P8" i="2" s="1"/>
  <c r="AB95" i="31"/>
  <c r="T95" i="31"/>
  <c r="T7" i="2" s="1"/>
  <c r="L95" i="31"/>
  <c r="L7" i="2" s="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C104" i="31"/>
  <c r="U104" i="31"/>
  <c r="M104" i="31"/>
  <c r="E104" i="31"/>
  <c r="AA103" i="31"/>
  <c r="S103" i="31"/>
  <c r="I102" i="31"/>
  <c r="AE101" i="31"/>
  <c r="W101" i="31"/>
  <c r="O101" i="31"/>
  <c r="E100" i="31"/>
  <c r="AA99" i="31"/>
  <c r="S99" i="31"/>
  <c r="K99" i="31"/>
  <c r="AE97" i="31"/>
  <c r="W97" i="31"/>
  <c r="W8" i="2" s="1"/>
  <c r="O97" i="31"/>
  <c r="O8" i="2" s="1"/>
  <c r="G97" i="31"/>
  <c r="G8" i="2" s="1"/>
  <c r="AA95" i="31"/>
  <c r="AA7" i="2" s="1"/>
  <c r="S95" i="31"/>
  <c r="S7" i="2" s="1"/>
  <c r="K95" i="31"/>
  <c r="K7" i="2" s="1"/>
  <c r="C95" i="31"/>
  <c r="C7" i="2" s="1"/>
  <c r="Q94" i="31"/>
  <c r="I94" i="31"/>
  <c r="AE93" i="31"/>
  <c r="AE3" i="2" s="1"/>
  <c r="W93" i="31"/>
  <c r="W3" i="2" s="1"/>
  <c r="O93" i="31"/>
  <c r="O3" i="2" s="1"/>
  <c r="G93" i="31"/>
  <c r="G3" i="2" s="1"/>
  <c r="AC92" i="31"/>
  <c r="U92" i="31"/>
  <c r="M92" i="31"/>
  <c r="E92" i="31"/>
  <c r="AA91" i="31"/>
  <c r="S91" i="31"/>
  <c r="K91" i="31"/>
  <c r="C91" i="31"/>
  <c r="Y90" i="31"/>
  <c r="Q90" i="31"/>
  <c r="I90" i="31"/>
  <c r="AE89" i="31"/>
  <c r="W89" i="31"/>
  <c r="W6" i="2" s="1"/>
  <c r="O89" i="31"/>
  <c r="O6" i="2" s="1"/>
  <c r="G89" i="31"/>
  <c r="G6" i="2" s="1"/>
  <c r="AC88" i="31"/>
  <c r="U88" i="31"/>
  <c r="M88" i="31"/>
  <c r="E88" i="31"/>
  <c r="AA87" i="31"/>
  <c r="S87" i="31"/>
  <c r="K87" i="31"/>
  <c r="C87" i="31"/>
  <c r="Y86" i="31"/>
  <c r="Q86" i="31"/>
  <c r="Q2" i="2" s="1"/>
  <c r="I86" i="31"/>
  <c r="AE85" i="31"/>
  <c r="W85" i="31"/>
  <c r="O85" i="31"/>
  <c r="G85" i="31"/>
  <c r="AC84" i="31"/>
  <c r="U84" i="31"/>
  <c r="M84" i="31"/>
  <c r="E84" i="31"/>
  <c r="AA83" i="31"/>
  <c r="S83" i="31"/>
  <c r="K83" i="31"/>
  <c r="C83" i="31"/>
  <c r="Y82" i="31"/>
  <c r="Q82" i="31"/>
  <c r="I82" i="31"/>
  <c r="AB108" i="31"/>
  <c r="T108" i="31"/>
  <c r="L108" i="31"/>
  <c r="D108" i="31"/>
  <c r="Z107" i="31"/>
  <c r="R107" i="31"/>
  <c r="J107" i="31"/>
  <c r="AF106" i="31"/>
  <c r="X106" i="31"/>
  <c r="P106" i="31"/>
  <c r="H106" i="31"/>
  <c r="AD105" i="31"/>
  <c r="V105" i="31"/>
  <c r="N105" i="31"/>
  <c r="F105" i="31"/>
  <c r="AB104" i="31"/>
  <c r="T104" i="31"/>
  <c r="L104" i="31"/>
  <c r="D104" i="31"/>
  <c r="Z103" i="31"/>
  <c r="R103" i="31"/>
  <c r="J103" i="31"/>
  <c r="AD101" i="31"/>
  <c r="V101" i="31"/>
  <c r="N101" i="31"/>
  <c r="F101" i="31"/>
  <c r="Z99" i="31"/>
  <c r="R99" i="31"/>
  <c r="J99" i="31"/>
  <c r="AF98" i="31"/>
  <c r="V97" i="31"/>
  <c r="V8" i="2" s="1"/>
  <c r="N97" i="31"/>
  <c r="N8" i="2" s="1"/>
  <c r="F97" i="31"/>
  <c r="F8" i="2" s="1"/>
  <c r="AB96" i="31"/>
  <c r="R95" i="31"/>
  <c r="R7" i="2" s="1"/>
  <c r="J95" i="31"/>
  <c r="J7" i="2" s="1"/>
  <c r="AF94" i="31"/>
  <c r="H94" i="31"/>
  <c r="AD93" i="31"/>
  <c r="AD3" i="2" s="1"/>
  <c r="V93" i="31"/>
  <c r="V3" i="2" s="1"/>
  <c r="N93" i="31"/>
  <c r="N3" i="2" s="1"/>
  <c r="F93" i="31"/>
  <c r="F3" i="2" s="1"/>
  <c r="AB92" i="31"/>
  <c r="T92" i="31"/>
  <c r="L92" i="31"/>
  <c r="D92" i="31"/>
  <c r="Z91" i="31"/>
  <c r="R91" i="31"/>
  <c r="J91" i="31"/>
  <c r="AF90" i="31"/>
  <c r="X90" i="31"/>
  <c r="P90" i="31"/>
  <c r="H90" i="31"/>
  <c r="AD89" i="31"/>
  <c r="V89" i="31"/>
  <c r="V6" i="2" s="1"/>
  <c r="N89" i="31"/>
  <c r="N6" i="2" s="1"/>
  <c r="F89" i="31"/>
  <c r="F6" i="2" s="1"/>
  <c r="AB88" i="31"/>
  <c r="T88" i="31"/>
  <c r="L88" i="31"/>
  <c r="D88" i="31"/>
  <c r="Z87" i="31"/>
  <c r="R87" i="31"/>
  <c r="J87" i="31"/>
  <c r="AF86" i="31"/>
  <c r="X86" i="31"/>
  <c r="X2" i="2" s="1"/>
  <c r="P86" i="31"/>
  <c r="H86" i="31"/>
  <c r="H2" i="2" s="1"/>
  <c r="AD85" i="31"/>
  <c r="V85" i="31"/>
  <c r="N85" i="31"/>
  <c r="F85" i="31"/>
  <c r="AB84" i="31"/>
  <c r="T84" i="31"/>
  <c r="L84" i="31"/>
  <c r="D84" i="31"/>
  <c r="Z83" i="31"/>
  <c r="R83" i="31"/>
  <c r="J83" i="31"/>
  <c r="J5" i="2" s="1"/>
  <c r="AF82" i="31"/>
  <c r="X82" i="31"/>
  <c r="P82" i="31"/>
  <c r="H82" i="31"/>
  <c r="Y2" i="2" l="1"/>
  <c r="AD6" i="2"/>
  <c r="P2" i="2"/>
  <c r="AA5" i="2"/>
  <c r="AE8" i="2"/>
  <c r="J2" i="2"/>
  <c r="H3" i="2"/>
  <c r="Q3" i="2"/>
  <c r="Y8" i="2"/>
  <c r="B6" i="2"/>
  <c r="AF5" i="2"/>
  <c r="F2" i="2"/>
  <c r="AD7" i="2"/>
  <c r="K6" i="2"/>
  <c r="O7" i="2"/>
  <c r="W2" i="2"/>
  <c r="B2" i="2"/>
  <c r="AF2" i="2"/>
  <c r="I2" i="2"/>
  <c r="P3" i="2"/>
  <c r="E2" i="2"/>
  <c r="X6" i="2"/>
  <c r="Y3" i="2"/>
  <c r="B8" i="2"/>
  <c r="N2" i="2"/>
  <c r="S6" i="2"/>
  <c r="W7" i="2"/>
  <c r="AE2" i="2"/>
  <c r="U2" i="2"/>
  <c r="M7" i="2"/>
  <c r="H8" i="2"/>
  <c r="AD2" i="2"/>
  <c r="L3" i="2"/>
  <c r="P7" i="2"/>
  <c r="T8" i="2"/>
  <c r="C3" i="2"/>
  <c r="C8" i="2"/>
  <c r="AE7" i="2"/>
  <c r="R5" i="2"/>
  <c r="AB7" i="2"/>
  <c r="S2" i="2"/>
  <c r="Y6" i="2"/>
  <c r="AC2" i="2"/>
  <c r="R2" i="2"/>
  <c r="U7" i="2"/>
  <c r="L2" i="2"/>
  <c r="T3" i="2"/>
  <c r="X7" i="2"/>
  <c r="F5" i="2"/>
  <c r="R6" i="2"/>
  <c r="K3" i="2"/>
  <c r="K8" i="2"/>
  <c r="C5" i="2"/>
  <c r="H6" i="2"/>
  <c r="AA2" i="2"/>
  <c r="Z2" i="2"/>
  <c r="AB2" i="2"/>
  <c r="AC7" i="2"/>
  <c r="AF6" i="2"/>
  <c r="H5" i="2"/>
  <c r="T6" i="2"/>
  <c r="N5" i="2"/>
  <c r="S3" i="2"/>
  <c r="S8" i="2"/>
  <c r="Z5" i="2"/>
  <c r="K5" i="2"/>
  <c r="P6" i="2"/>
  <c r="I8" i="2"/>
  <c r="V5" i="2"/>
  <c r="AB8" i="2"/>
  <c r="AA3" i="2"/>
  <c r="AA8" i="2"/>
  <c r="G2" i="2"/>
  <c r="S5" i="2"/>
  <c r="AE6" i="2"/>
  <c r="D2" i="2"/>
  <c r="I3" i="2"/>
  <c r="Q8" i="2"/>
  <c r="T2" i="2"/>
  <c r="AF3" i="2"/>
  <c r="X5" i="2"/>
  <c r="AD5" i="2"/>
  <c r="B7" i="2"/>
  <c r="E5" i="2"/>
  <c r="C6" i="2"/>
  <c r="G7" i="2"/>
  <c r="O2" i="2"/>
  <c r="B5" i="2"/>
  <c r="E7" i="5"/>
  <c r="M7" i="5"/>
  <c r="U7" i="5"/>
  <c r="AC7" i="5"/>
  <c r="F7" i="5"/>
  <c r="N7" i="5"/>
  <c r="V7" i="5"/>
  <c r="AD7" i="5"/>
  <c r="C7" i="5"/>
  <c r="G7" i="5"/>
  <c r="O7" i="5"/>
  <c r="W7" i="5"/>
  <c r="AE7" i="5"/>
  <c r="H7" i="5"/>
  <c r="P7" i="5"/>
  <c r="X7" i="5"/>
  <c r="AF7" i="5"/>
  <c r="I7" i="5"/>
  <c r="Q7" i="5"/>
  <c r="Y7" i="5"/>
  <c r="S7" i="5"/>
  <c r="J7" i="5"/>
  <c r="R7" i="5"/>
  <c r="Z7" i="5"/>
  <c r="K7" i="5"/>
  <c r="AA7" i="5"/>
  <c r="D7" i="5"/>
  <c r="L7" i="5"/>
  <c r="T7" i="5"/>
  <c r="AB7" i="5"/>
  <c r="J5" i="5"/>
  <c r="R5" i="5"/>
  <c r="Z5" i="5"/>
  <c r="C5" i="5"/>
  <c r="K5" i="5"/>
  <c r="S5" i="5"/>
  <c r="AA5" i="5"/>
  <c r="D5" i="5"/>
  <c r="L5" i="5"/>
  <c r="T5" i="5"/>
  <c r="AB5" i="5"/>
  <c r="E5" i="5"/>
  <c r="M5" i="5"/>
  <c r="U5" i="5"/>
  <c r="AC5" i="5"/>
  <c r="F5" i="5"/>
  <c r="N5" i="5"/>
  <c r="V5" i="5"/>
  <c r="AD5" i="5"/>
  <c r="P5" i="5"/>
  <c r="AF5" i="5"/>
  <c r="G5" i="5"/>
  <c r="O5" i="5"/>
  <c r="W5" i="5"/>
  <c r="AE5" i="5"/>
  <c r="H5" i="5"/>
  <c r="X5" i="5"/>
  <c r="I5" i="5"/>
  <c r="Q5" i="5"/>
  <c r="Y5" i="5"/>
  <c r="G4" i="5"/>
  <c r="G6" i="5" s="1"/>
  <c r="O4" i="5"/>
  <c r="O6" i="5" s="1"/>
  <c r="W4" i="5"/>
  <c r="W6" i="5" s="1"/>
  <c r="AE4" i="5"/>
  <c r="AE6" i="5" s="1"/>
  <c r="H4" i="5"/>
  <c r="H6" i="5" s="1"/>
  <c r="P4" i="5"/>
  <c r="P6" i="5" s="1"/>
  <c r="X4" i="5"/>
  <c r="X6" i="5" s="1"/>
  <c r="AF4" i="5"/>
  <c r="AF6" i="5" s="1"/>
  <c r="I4" i="5"/>
  <c r="I6" i="5" s="1"/>
  <c r="Q4" i="5"/>
  <c r="Q6" i="5" s="1"/>
  <c r="Y4" i="5"/>
  <c r="Y6" i="5" s="1"/>
  <c r="R4" i="5"/>
  <c r="R6" i="5" s="1"/>
  <c r="J4" i="5"/>
  <c r="J6" i="5" s="1"/>
  <c r="Z4" i="5"/>
  <c r="Z6" i="5" s="1"/>
  <c r="K4" i="5"/>
  <c r="K6" i="5" s="1"/>
  <c r="S4" i="5"/>
  <c r="S6" i="5" s="1"/>
  <c r="AA4" i="5"/>
  <c r="AA6" i="5" s="1"/>
  <c r="B6" i="5"/>
  <c r="M4" i="5"/>
  <c r="M6" i="5" s="1"/>
  <c r="AC4" i="5"/>
  <c r="AC6" i="5" s="1"/>
  <c r="D4" i="5"/>
  <c r="D6" i="5" s="1"/>
  <c r="L4" i="5"/>
  <c r="L6" i="5" s="1"/>
  <c r="T4" i="5"/>
  <c r="T6" i="5" s="1"/>
  <c r="AB4" i="5"/>
  <c r="AB6" i="5" s="1"/>
  <c r="E4" i="5"/>
  <c r="E6" i="5" s="1"/>
  <c r="U4" i="5"/>
  <c r="U6" i="5" s="1"/>
  <c r="F4" i="5"/>
  <c r="F6" i="5" s="1"/>
  <c r="N4" i="5"/>
  <c r="N6" i="5" s="1"/>
  <c r="V4" i="5"/>
  <c r="V6" i="5" s="1"/>
  <c r="AD4" i="5"/>
  <c r="AD6" i="5" s="1"/>
  <c r="C4" i="5"/>
  <c r="C6" i="5" s="1"/>
  <c r="E64" i="18" l="1"/>
  <c r="E63" i="18"/>
  <c r="B44" i="18"/>
  <c r="C2" i="18" l="1"/>
  <c r="D2" i="18"/>
  <c r="D7" i="18" s="1"/>
  <c r="E2" i="18"/>
  <c r="E7" i="18" s="1"/>
  <c r="F2" i="18"/>
  <c r="F7" i="18" s="1"/>
  <c r="G2" i="18"/>
  <c r="G7" i="18" s="1"/>
  <c r="H2" i="18"/>
  <c r="H7" i="18" s="1"/>
  <c r="I2" i="18"/>
  <c r="I7" i="18" s="1"/>
  <c r="J2" i="18"/>
  <c r="J7" i="18" s="1"/>
  <c r="K2" i="18"/>
  <c r="L2" i="18"/>
  <c r="L7" i="18" s="1"/>
  <c r="M2" i="18"/>
  <c r="M7" i="18" s="1"/>
  <c r="N2" i="18"/>
  <c r="N7" i="18" s="1"/>
  <c r="O2" i="18"/>
  <c r="O7" i="18" s="1"/>
  <c r="P2" i="18"/>
  <c r="P7" i="18" s="1"/>
  <c r="Q2" i="18"/>
  <c r="Q7" i="18" s="1"/>
  <c r="R2" i="18"/>
  <c r="R7" i="18" s="1"/>
  <c r="S2" i="18"/>
  <c r="T2" i="18"/>
  <c r="T7" i="18" s="1"/>
  <c r="U2" i="18"/>
  <c r="U7" i="18" s="1"/>
  <c r="V2" i="18"/>
  <c r="V7" i="18" s="1"/>
  <c r="W2" i="18"/>
  <c r="W7" i="18" s="1"/>
  <c r="X2" i="18"/>
  <c r="X7" i="18" s="1"/>
  <c r="Y2" i="18"/>
  <c r="Y7" i="18" s="1"/>
  <c r="Z2" i="18"/>
  <c r="Z7" i="18" s="1"/>
  <c r="AA2" i="18"/>
  <c r="AB2" i="18"/>
  <c r="AB7" i="18" s="1"/>
  <c r="AC2" i="18"/>
  <c r="AC7" i="18" s="1"/>
  <c r="AD2" i="18"/>
  <c r="AD7" i="18" s="1"/>
  <c r="AE2" i="18"/>
  <c r="AE7" i="18" s="1"/>
  <c r="AF2" i="18"/>
  <c r="AF7" i="18" s="1"/>
  <c r="B2" i="18"/>
  <c r="B7" i="18" s="1"/>
  <c r="B54" i="18"/>
  <c r="K4" i="18" l="1"/>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C4" i="18"/>
  <c r="C13" i="18" a="1"/>
  <c r="C13" i="18" s="1"/>
  <c r="C9" i="18"/>
  <c r="J4" i="18"/>
  <c r="J13" i="18" a="1"/>
  <c r="J13" i="18" s="1"/>
  <c r="J9" i="18"/>
  <c r="J12" i="18"/>
  <c r="B4" i="18"/>
  <c r="B13" i="18" a="1"/>
  <c r="B13" i="18" s="1"/>
  <c r="B9"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2" i="6" l="1"/>
  <c r="B3" i="6"/>
  <c r="B4" i="6"/>
  <c r="B5" i="6"/>
  <c r="B8" i="6"/>
  <c r="B6" i="6"/>
  <c r="B7" i="6"/>
  <c r="B72" i="18"/>
  <c r="E77" i="18"/>
  <c r="E78" i="18" s="1"/>
  <c r="F77"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F78" i="18"/>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F79" i="18"/>
  <c r="K7" i="6" l="1"/>
  <c r="S7" i="6"/>
  <c r="AA7" i="6"/>
  <c r="P7" i="6"/>
  <c r="C7" i="6"/>
  <c r="D7" i="6"/>
  <c r="L7" i="6"/>
  <c r="T7" i="6"/>
  <c r="AB7" i="6"/>
  <c r="H7" i="6"/>
  <c r="AF7" i="6"/>
  <c r="J7" i="6"/>
  <c r="Z7" i="6"/>
  <c r="E7" i="6"/>
  <c r="M7" i="6"/>
  <c r="U7" i="6"/>
  <c r="AC7" i="6"/>
  <c r="F7" i="6"/>
  <c r="N7" i="6"/>
  <c r="V7" i="6"/>
  <c r="AD7" i="6"/>
  <c r="X7" i="6"/>
  <c r="G7" i="6"/>
  <c r="O7" i="6"/>
  <c r="W7" i="6"/>
  <c r="AE7" i="6"/>
  <c r="I7" i="6"/>
  <c r="Q7" i="6"/>
  <c r="Y7" i="6"/>
  <c r="R7" i="6"/>
  <c r="H6" i="6"/>
  <c r="P6" i="6"/>
  <c r="X6" i="6"/>
  <c r="AF6" i="6"/>
  <c r="M6" i="6"/>
  <c r="O6" i="6"/>
  <c r="I6" i="6"/>
  <c r="Q6" i="6"/>
  <c r="Y6" i="6"/>
  <c r="E6" i="6"/>
  <c r="U6" i="6"/>
  <c r="J6" i="6"/>
  <c r="R6" i="6"/>
  <c r="Z6" i="6"/>
  <c r="K6" i="6"/>
  <c r="S6" i="6"/>
  <c r="AA6" i="6"/>
  <c r="G6" i="6"/>
  <c r="D6" i="6"/>
  <c r="L6" i="6"/>
  <c r="T6" i="6"/>
  <c r="AB6" i="6"/>
  <c r="AC6" i="6"/>
  <c r="AE6" i="6"/>
  <c r="F6" i="6"/>
  <c r="N6" i="6"/>
  <c r="V6" i="6"/>
  <c r="AD6" i="6"/>
  <c r="C6" i="6"/>
  <c r="W6" i="6"/>
  <c r="F8" i="6"/>
  <c r="N8" i="6"/>
  <c r="V8" i="6"/>
  <c r="AD8" i="6"/>
  <c r="C8" i="6"/>
  <c r="AA8" i="6"/>
  <c r="G8" i="6"/>
  <c r="O8" i="6"/>
  <c r="W8" i="6"/>
  <c r="AE8" i="6"/>
  <c r="H8" i="6"/>
  <c r="P8" i="6"/>
  <c r="X8" i="6"/>
  <c r="AF8" i="6"/>
  <c r="K8" i="6"/>
  <c r="U8" i="6"/>
  <c r="I8" i="6"/>
  <c r="Q8" i="6"/>
  <c r="Y8" i="6"/>
  <c r="E8" i="6"/>
  <c r="J8" i="6"/>
  <c r="R8" i="6"/>
  <c r="Z8" i="6"/>
  <c r="S8" i="6"/>
  <c r="M8" i="6"/>
  <c r="D8" i="6"/>
  <c r="L8" i="6"/>
  <c r="T8" i="6"/>
  <c r="AB8" i="6"/>
  <c r="AC8" i="6"/>
  <c r="E5" i="6"/>
  <c r="M5" i="6"/>
  <c r="U5" i="6"/>
  <c r="AC5" i="6"/>
  <c r="R5" i="6"/>
  <c r="F5" i="6"/>
  <c r="N5" i="6"/>
  <c r="V5" i="6"/>
  <c r="AD5" i="6"/>
  <c r="C5" i="6"/>
  <c r="G5" i="6"/>
  <c r="O5" i="6"/>
  <c r="W5" i="6"/>
  <c r="AE5" i="6"/>
  <c r="Z5" i="6"/>
  <c r="AB5" i="6"/>
  <c r="H5" i="6"/>
  <c r="P5" i="6"/>
  <c r="X5" i="6"/>
  <c r="AF5" i="6"/>
  <c r="J5" i="6"/>
  <c r="I5" i="6"/>
  <c r="Q5" i="6"/>
  <c r="Y5" i="6"/>
  <c r="K5" i="6"/>
  <c r="S5" i="6"/>
  <c r="AA5" i="6"/>
  <c r="D5" i="6"/>
  <c r="L5" i="6"/>
  <c r="T5" i="6"/>
  <c r="J4" i="6"/>
  <c r="R4" i="6"/>
  <c r="Z4" i="6"/>
  <c r="G4" i="6"/>
  <c r="AE4" i="6"/>
  <c r="K4" i="6"/>
  <c r="S4" i="6"/>
  <c r="AA4" i="6"/>
  <c r="W4" i="6"/>
  <c r="D4" i="6"/>
  <c r="L4" i="6"/>
  <c r="T4" i="6"/>
  <c r="AB4" i="6"/>
  <c r="E4" i="6"/>
  <c r="M4" i="6"/>
  <c r="U4" i="6"/>
  <c r="AC4" i="6"/>
  <c r="F4" i="6"/>
  <c r="N4" i="6"/>
  <c r="V4" i="6"/>
  <c r="AD4" i="6"/>
  <c r="C4" i="6"/>
  <c r="O4" i="6"/>
  <c r="H4" i="6"/>
  <c r="P4" i="6"/>
  <c r="X4" i="6"/>
  <c r="AF4" i="6"/>
  <c r="I4" i="6"/>
  <c r="Q4" i="6"/>
  <c r="Y4" i="6"/>
  <c r="G3" i="6"/>
  <c r="O3" i="6"/>
  <c r="W3" i="6"/>
  <c r="AE3" i="6"/>
  <c r="L3" i="6"/>
  <c r="T3" i="6"/>
  <c r="H3" i="6"/>
  <c r="P3" i="6"/>
  <c r="X3" i="6"/>
  <c r="AF3" i="6"/>
  <c r="D3" i="6"/>
  <c r="AB3" i="6"/>
  <c r="I3" i="6"/>
  <c r="Q3" i="6"/>
  <c r="Y3" i="6"/>
  <c r="J3" i="6"/>
  <c r="R3" i="6"/>
  <c r="Z3" i="6"/>
  <c r="C3" i="6"/>
  <c r="K3" i="6"/>
  <c r="S3" i="6"/>
  <c r="AA3" i="6"/>
  <c r="E3" i="6"/>
  <c r="M3" i="6"/>
  <c r="U3" i="6"/>
  <c r="AC3" i="6"/>
  <c r="F3" i="6"/>
  <c r="N3" i="6"/>
  <c r="V3" i="6"/>
  <c r="AD3" i="6"/>
  <c r="D2" i="6"/>
  <c r="L2" i="6"/>
  <c r="T2" i="6"/>
  <c r="AB2" i="6"/>
  <c r="E2" i="6"/>
  <c r="M2" i="6"/>
  <c r="U2" i="6"/>
  <c r="AC2" i="6"/>
  <c r="C2" i="6"/>
  <c r="F2" i="6"/>
  <c r="N2" i="6"/>
  <c r="V2" i="6"/>
  <c r="AD2" i="6"/>
  <c r="Q2" i="6"/>
  <c r="G2" i="6"/>
  <c r="O2" i="6"/>
  <c r="W2" i="6"/>
  <c r="AE2" i="6"/>
  <c r="Y2" i="6"/>
  <c r="H2" i="6"/>
  <c r="P2" i="6"/>
  <c r="X2" i="6"/>
  <c r="AF2" i="6"/>
  <c r="I2" i="6"/>
  <c r="J2" i="6"/>
  <c r="R2" i="6"/>
  <c r="Z2" i="6"/>
  <c r="K2" i="6"/>
  <c r="S2" i="6"/>
  <c r="AA2" i="6"/>
  <c r="AF80" i="18"/>
  <c r="P80" i="18"/>
  <c r="U80" i="18"/>
  <c r="E80" i="18"/>
  <c r="Z79" i="18"/>
  <c r="N78" i="18"/>
  <c r="N80" i="18" s="1"/>
  <c r="N82" i="18" s="1"/>
  <c r="M78" i="18"/>
  <c r="M80" i="18" s="1"/>
  <c r="M81" i="18" s="1"/>
  <c r="Z80" i="18"/>
  <c r="P79" i="18"/>
  <c r="W80" i="18"/>
  <c r="E79" i="18"/>
  <c r="V79" i="18"/>
  <c r="AD78" i="18"/>
  <c r="AD80" i="18" s="1"/>
  <c r="AD82" i="18" s="1"/>
  <c r="W79" i="18"/>
  <c r="G79" i="18"/>
  <c r="U79" i="18"/>
  <c r="U81" i="18" s="1"/>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AF82" i="18" s="1"/>
  <c r="X80" i="18"/>
  <c r="AA80" i="18"/>
  <c r="G80" i="18"/>
  <c r="R80" i="18"/>
  <c r="AI80" i="18"/>
  <c r="F80" i="18"/>
  <c r="F81" i="18" s="1"/>
  <c r="Q80" i="18"/>
  <c r="V80" i="18"/>
  <c r="Y80" i="18"/>
  <c r="AC80" i="18"/>
  <c r="AB78" i="18"/>
  <c r="AB80" i="18" s="1"/>
  <c r="AB81" i="18" s="1"/>
  <c r="T78" i="18"/>
  <c r="T80" i="18" s="1"/>
  <c r="T82" i="18" s="1"/>
  <c r="L78" i="18"/>
  <c r="L80" i="18" s="1"/>
  <c r="L82" i="18" s="1"/>
  <c r="P82" i="18" l="1"/>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5" i="18" l="1"/>
  <c r="E67" i="18" s="1"/>
  <c r="E66" i="18"/>
  <c r="F65" i="18"/>
  <c r="F67" i="18" s="1"/>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4" i="18"/>
  <c r="F66" i="18" s="1"/>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R2" i="10" s="1"/>
  <c r="T9" i="24" s="1"/>
  <c r="E68" i="18"/>
  <c r="B2" i="10" s="1"/>
  <c r="D9" i="24" s="1"/>
  <c r="AG69" i="18"/>
  <c r="Y68" i="18"/>
  <c r="V2" i="10" s="1"/>
  <c r="X9" i="24" s="1"/>
  <c r="Q69" i="18"/>
  <c r="I68" i="18"/>
  <c r="F2" i="10" s="1"/>
  <c r="H9" i="24" s="1"/>
  <c r="W69" i="18"/>
  <c r="O69" i="18"/>
  <c r="AE69" i="18"/>
  <c r="AI69" i="18"/>
  <c r="AI68" i="18"/>
  <c r="AF2" i="10" s="1"/>
  <c r="AH9" i="24" s="1"/>
  <c r="S69" i="18"/>
  <c r="S68" i="18"/>
  <c r="P2" i="10" s="1"/>
  <c r="R9" i="24" s="1"/>
  <c r="K68" i="18"/>
  <c r="H2" i="10" s="1"/>
  <c r="J9" i="24" s="1"/>
  <c r="K69" i="18"/>
  <c r="AH69" i="18"/>
  <c r="AH68" i="18"/>
  <c r="AE2" i="10" s="1"/>
  <c r="AG9" i="24" s="1"/>
  <c r="Z68" i="18"/>
  <c r="W2" i="10" s="1"/>
  <c r="Y9" i="24" s="1"/>
  <c r="Z69" i="18"/>
  <c r="J69" i="18"/>
  <c r="J68" i="18"/>
  <c r="G2" i="10" s="1"/>
  <c r="I9" i="24" s="1"/>
  <c r="Y69" i="18"/>
  <c r="I69" i="18"/>
  <c r="AF68" i="18"/>
  <c r="AC2" i="10" s="1"/>
  <c r="AE9" i="24" s="1"/>
  <c r="AF69" i="18"/>
  <c r="P68" i="18"/>
  <c r="M2" i="10" s="1"/>
  <c r="O9" i="24" s="1"/>
  <c r="P69" i="18"/>
  <c r="H69" i="18"/>
  <c r="H68" i="18"/>
  <c r="E2" i="10" s="1"/>
  <c r="G9" i="24" s="1"/>
  <c r="AE68" i="18"/>
  <c r="AB2" i="10" s="1"/>
  <c r="AD9" i="24" s="1"/>
  <c r="W68" i="18"/>
  <c r="T2" i="10" s="1"/>
  <c r="V9" i="24" s="1"/>
  <c r="O68" i="18"/>
  <c r="L2" i="10" s="1"/>
  <c r="N9" i="24" s="1"/>
  <c r="G68" i="18"/>
  <c r="D2" i="10" s="1"/>
  <c r="F9" i="24" s="1"/>
  <c r="AD69" i="18"/>
  <c r="V69" i="18"/>
  <c r="N69" i="18"/>
  <c r="F69" i="18"/>
  <c r="AA69" i="18"/>
  <c r="AA68" i="18"/>
  <c r="X2" i="10" s="1"/>
  <c r="Z9" i="24" s="1"/>
  <c r="X68" i="18"/>
  <c r="U2" i="10" s="1"/>
  <c r="W9" i="24" s="1"/>
  <c r="X69" i="18"/>
  <c r="AD68" i="18"/>
  <c r="AA2" i="10" s="1"/>
  <c r="AC9" i="24" s="1"/>
  <c r="V68" i="18"/>
  <c r="S2" i="10" s="1"/>
  <c r="U9" i="24" s="1"/>
  <c r="N68" i="18"/>
  <c r="K2" i="10" s="1"/>
  <c r="M9" i="24" s="1"/>
  <c r="F68" i="18"/>
  <c r="C2" i="10" s="1"/>
  <c r="E9" i="24" s="1"/>
  <c r="U69" i="18"/>
  <c r="R69" i="18"/>
  <c r="R68" i="18"/>
  <c r="O2" i="10" s="1"/>
  <c r="Q9" i="24" s="1"/>
  <c r="AG68" i="18"/>
  <c r="AD2" i="10" s="1"/>
  <c r="AF9" i="24" s="1"/>
  <c r="Q68" i="18"/>
  <c r="N2" i="10" s="1"/>
  <c r="P9" i="24" s="1"/>
  <c r="AB68" i="18"/>
  <c r="Y2" i="10" s="1"/>
  <c r="AA9" i="24" s="1"/>
  <c r="AB69" i="18"/>
  <c r="T69" i="18"/>
  <c r="T68" i="18"/>
  <c r="Q2" i="10" s="1"/>
  <c r="S9" i="24" s="1"/>
  <c r="L68" i="18"/>
  <c r="I2" i="10" s="1"/>
  <c r="K9" i="24" s="1"/>
  <c r="L69" i="18"/>
  <c r="AC69" i="18"/>
  <c r="AC68" i="18"/>
  <c r="Z2" i="10" s="1"/>
  <c r="AB9" i="24" s="1"/>
  <c r="M69" i="18"/>
  <c r="M68" i="18"/>
  <c r="J2" i="10" s="1"/>
  <c r="L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B5" i="11"/>
  <c r="C55" i="18" l="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5" i="18"/>
  <c r="B56" i="18" s="1"/>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C49" i="18"/>
  <c r="C50" i="18"/>
  <c r="B50"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B45" i="18"/>
  <c r="B49"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AH14" i="24"/>
  <c r="D14" i="24"/>
  <c r="D3" i="24" l="1"/>
  <c r="D11" i="24" l="1"/>
  <c r="D8" i="24"/>
  <c r="E5" i="24"/>
  <c r="F2" i="24"/>
  <c r="E2" i="24"/>
  <c r="B8" i="18"/>
  <c r="B3" i="18"/>
  <c r="B5" i="18" s="1"/>
  <c r="C3" i="18"/>
  <c r="C5" i="18" s="1"/>
  <c r="C8" i="18"/>
  <c r="G2" i="24"/>
  <c r="B5" i="9" l="1"/>
  <c r="B5" i="8"/>
  <c r="B5" i="13"/>
  <c r="C5" i="13" s="1"/>
  <c r="E10" i="24"/>
  <c r="D5" i="8" l="1"/>
  <c r="Q5" i="8"/>
  <c r="N5" i="8"/>
  <c r="AF5" i="8"/>
  <c r="T5" i="8"/>
  <c r="X5" i="8"/>
  <c r="E5" i="8"/>
  <c r="P5" i="8"/>
  <c r="S5" i="8"/>
  <c r="AC5" i="8"/>
  <c r="L5" i="8"/>
  <c r="I5" i="8"/>
  <c r="G5" i="8"/>
  <c r="R5" i="8"/>
  <c r="AA5" i="8"/>
  <c r="Z5" i="8"/>
  <c r="U5" i="8"/>
  <c r="AE5" i="8"/>
  <c r="Y5" i="8"/>
  <c r="M5" i="8"/>
  <c r="O5" i="8"/>
  <c r="H5" i="8"/>
  <c r="W5" i="8"/>
  <c r="K5" i="8"/>
  <c r="F5" i="8"/>
  <c r="AD5" i="8"/>
  <c r="AB5" i="8"/>
  <c r="V5" i="8"/>
  <c r="J5" i="8"/>
  <c r="C5" i="8"/>
  <c r="E5" i="9"/>
  <c r="C5" i="9"/>
  <c r="AA5" i="9"/>
  <c r="T5" i="9"/>
  <c r="Z5" i="9"/>
  <c r="P5" i="9"/>
  <c r="M5" i="9"/>
  <c r="H5" i="9"/>
  <c r="N5" i="9"/>
  <c r="I5" i="9"/>
  <c r="S5" i="9"/>
  <c r="K5" i="9"/>
  <c r="J5" i="9"/>
  <c r="AE5" i="9"/>
  <c r="V5" i="9"/>
  <c r="W5" i="9"/>
  <c r="AF5" i="9"/>
  <c r="R5" i="9"/>
  <c r="Y5" i="9"/>
  <c r="AC5" i="9"/>
  <c r="X5" i="9"/>
  <c r="Q5" i="9"/>
  <c r="AD5" i="9"/>
  <c r="U5" i="9"/>
  <c r="AB5" i="9"/>
  <c r="O5" i="9"/>
  <c r="F5" i="9"/>
  <c r="G5" i="9"/>
  <c r="L5" i="9"/>
  <c r="D5" i="9"/>
  <c r="D5" i="13"/>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AF5" i="13" s="1"/>
  <c r="E12" i="24"/>
  <c r="D4" i="24"/>
  <c r="AG4" i="24" l="1"/>
  <c r="Y4" i="24"/>
  <c r="Q4" i="24"/>
  <c r="I4" i="24"/>
  <c r="AH4" i="24"/>
  <c r="Z4" i="24"/>
  <c r="R4" i="24"/>
  <c r="J4" i="24"/>
  <c r="O4" i="24"/>
  <c r="G4" i="24"/>
  <c r="L4" i="24"/>
  <c r="AB4" i="24"/>
  <c r="T4" i="24"/>
  <c r="AF4" i="24"/>
  <c r="X4" i="24"/>
  <c r="P4" i="24"/>
  <c r="H4" i="24"/>
  <c r="S4" i="24"/>
  <c r="K4" i="24"/>
  <c r="AE4" i="24"/>
  <c r="W4" i="24"/>
  <c r="AA4" i="24"/>
  <c r="AD4" i="24"/>
  <c r="V4" i="24"/>
  <c r="N4" i="24"/>
  <c r="F4" i="24"/>
  <c r="AC4" i="24"/>
  <c r="U4" i="24"/>
  <c r="M4" i="24"/>
  <c r="E4" i="24"/>
  <c r="B39" i="18" l="1"/>
  <c r="B35" i="18"/>
  <c r="B8" i="5" l="1"/>
  <c r="I8" i="5" l="1"/>
  <c r="Z8" i="5"/>
  <c r="D8" i="5"/>
  <c r="L8" i="5"/>
  <c r="P8" i="5"/>
  <c r="E8" i="5"/>
  <c r="AC8" i="5"/>
  <c r="Q8" i="5"/>
  <c r="AF8" i="5"/>
  <c r="R8" i="5"/>
  <c r="W8" i="5"/>
  <c r="C8" i="5"/>
  <c r="X8" i="5"/>
  <c r="AB8" i="5"/>
  <c r="O8" i="5"/>
  <c r="AA8" i="5"/>
  <c r="U8" i="5"/>
  <c r="T8" i="5"/>
  <c r="G8" i="5"/>
  <c r="S8" i="5"/>
  <c r="H8" i="5"/>
  <c r="V8" i="5"/>
  <c r="J8" i="5"/>
  <c r="AE8" i="5"/>
  <c r="K8" i="5"/>
  <c r="F8" i="5"/>
  <c r="AD8" i="5"/>
  <c r="M8" i="5"/>
  <c r="N8" i="5"/>
  <c r="Y8" i="5"/>
  <c r="E3" i="24" l="1"/>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AH3" i="24"/>
  <c r="M8" i="24" l="1"/>
  <c r="U8" i="24"/>
  <c r="AC8" i="24"/>
  <c r="AD8" i="24"/>
  <c r="Q8" i="24"/>
  <c r="AB8" i="24"/>
  <c r="F8" i="24"/>
  <c r="N8" i="24"/>
  <c r="V8" i="24"/>
  <c r="AG8" i="24"/>
  <c r="S8" i="24"/>
  <c r="G8" i="24"/>
  <c r="O8" i="24"/>
  <c r="W8" i="24"/>
  <c r="AE8" i="24"/>
  <c r="B8" i="10"/>
  <c r="H8" i="24"/>
  <c r="P8" i="24"/>
  <c r="X8" i="24"/>
  <c r="AF8" i="24"/>
  <c r="I8" i="24"/>
  <c r="Y8" i="24"/>
  <c r="J8" i="24"/>
  <c r="R8" i="24"/>
  <c r="Z8" i="24"/>
  <c r="AH8" i="24"/>
  <c r="AA8" i="24"/>
  <c r="L8" i="24"/>
  <c r="K8" i="24"/>
  <c r="T8" i="24"/>
  <c r="D13"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AH5" i="24"/>
  <c r="J8" i="10" l="1"/>
  <c r="Y8" i="10"/>
  <c r="AF8" i="10"/>
  <c r="N8" i="10"/>
  <c r="Q8" i="10"/>
  <c r="E8" i="10"/>
  <c r="X8" i="10"/>
  <c r="F8" i="10"/>
  <c r="AE8" i="10"/>
  <c r="AB8" i="10"/>
  <c r="O8" i="10"/>
  <c r="P8" i="10"/>
  <c r="T8" i="10"/>
  <c r="AD8" i="10"/>
  <c r="H8" i="10"/>
  <c r="AC8" i="10"/>
  <c r="L8" i="10"/>
  <c r="AA8" i="10"/>
  <c r="V8" i="10"/>
  <c r="R8" i="10"/>
  <c r="W8" i="10"/>
  <c r="U8" i="10"/>
  <c r="D8" i="10"/>
  <c r="S8" i="10"/>
  <c r="I8" i="10"/>
  <c r="G8" i="10"/>
  <c r="M8" i="10"/>
  <c r="Z8" i="10"/>
  <c r="K8" i="10"/>
  <c r="B8" i="14"/>
  <c r="B7" i="1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D10" i="24"/>
  <c r="D8" i="18"/>
  <c r="F10" i="24" s="1"/>
  <c r="E8" i="18"/>
  <c r="G10" i="24" s="1"/>
  <c r="F8" i="18"/>
  <c r="H10" i="24" s="1"/>
  <c r="G8" i="18"/>
  <c r="I10" i="24" s="1"/>
  <c r="H8" i="18"/>
  <c r="J10" i="24" s="1"/>
  <c r="I8" i="18"/>
  <c r="K10" i="24" s="1"/>
  <c r="J8" i="18"/>
  <c r="L10" i="24" s="1"/>
  <c r="K8" i="18"/>
  <c r="M10" i="24" s="1"/>
  <c r="L8" i="18"/>
  <c r="N10" i="24" s="1"/>
  <c r="M8" i="18"/>
  <c r="O10" i="24" s="1"/>
  <c r="N8" i="18"/>
  <c r="P10" i="24" s="1"/>
  <c r="O8" i="18"/>
  <c r="Q10" i="24" s="1"/>
  <c r="P8" i="18"/>
  <c r="R10" i="24" s="1"/>
  <c r="Q8" i="18"/>
  <c r="S10" i="24" s="1"/>
  <c r="R8" i="18"/>
  <c r="T10" i="24" s="1"/>
  <c r="S8" i="18"/>
  <c r="U10" i="24" s="1"/>
  <c r="T8" i="18"/>
  <c r="V10" i="24" s="1"/>
  <c r="U8" i="18"/>
  <c r="W10" i="24" s="1"/>
  <c r="V8" i="18"/>
  <c r="X10" i="24" s="1"/>
  <c r="W8" i="18"/>
  <c r="Y10" i="24" s="1"/>
  <c r="X8" i="18"/>
  <c r="Z10" i="24" s="1"/>
  <c r="Y8" i="18"/>
  <c r="AA10" i="24" s="1"/>
  <c r="Z8" i="18"/>
  <c r="AB10" i="24" s="1"/>
  <c r="AA8" i="18"/>
  <c r="AC10" i="24" s="1"/>
  <c r="AB8" i="18"/>
  <c r="AD10" i="24" s="1"/>
  <c r="AC8" i="18"/>
  <c r="AE10" i="24" s="1"/>
  <c r="AD8" i="18"/>
  <c r="AF10" i="24" s="1"/>
  <c r="AE8" i="18"/>
  <c r="AG10" i="24" s="1"/>
  <c r="AF8" i="18"/>
  <c r="AH10" i="24" s="1"/>
  <c r="D3" i="18"/>
  <c r="D5" i="18" s="1"/>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F2" i="9" l="1"/>
  <c r="Z7" i="24"/>
  <c r="P8" i="9"/>
  <c r="J7" i="24"/>
  <c r="AB2" i="11"/>
  <c r="AB8" i="11"/>
  <c r="T2" i="11"/>
  <c r="T8" i="11"/>
  <c r="L2" i="11"/>
  <c r="L8" i="11"/>
  <c r="D2" i="11"/>
  <c r="D8" i="11"/>
  <c r="K2" i="11"/>
  <c r="K8" i="11"/>
  <c r="Z2" i="11"/>
  <c r="Z8" i="11"/>
  <c r="R2" i="11"/>
  <c r="R8" i="11"/>
  <c r="J2" i="11"/>
  <c r="J8" i="11"/>
  <c r="B2" i="11"/>
  <c r="B8" i="11"/>
  <c r="AA2" i="11"/>
  <c r="AA8" i="11"/>
  <c r="Y2" i="11"/>
  <c r="Y8" i="11"/>
  <c r="Q2" i="11"/>
  <c r="Q8" i="11"/>
  <c r="I2" i="11"/>
  <c r="I8" i="11"/>
  <c r="AF2" i="11"/>
  <c r="AF8" i="11"/>
  <c r="X2" i="11"/>
  <c r="X8" i="11"/>
  <c r="P2" i="11"/>
  <c r="P8" i="11"/>
  <c r="H2" i="11"/>
  <c r="H8" i="11"/>
  <c r="S2" i="11"/>
  <c r="S8" i="11"/>
  <c r="AE2" i="11"/>
  <c r="AE8" i="11"/>
  <c r="W2" i="11"/>
  <c r="W8" i="11"/>
  <c r="O2" i="11"/>
  <c r="O8" i="11"/>
  <c r="G2" i="11"/>
  <c r="G8" i="11"/>
  <c r="AD2" i="11"/>
  <c r="AD8" i="11"/>
  <c r="V2" i="11"/>
  <c r="V8" i="11"/>
  <c r="N2" i="11"/>
  <c r="N8" i="11"/>
  <c r="F2" i="11"/>
  <c r="F8" i="11"/>
  <c r="C2" i="11"/>
  <c r="C8" i="11"/>
  <c r="AC2" i="11"/>
  <c r="AC8" i="11"/>
  <c r="U2" i="11"/>
  <c r="U8" i="11"/>
  <c r="M2" i="11"/>
  <c r="M8" i="11"/>
  <c r="E2" i="11"/>
  <c r="E8" i="11"/>
  <c r="C8" i="8"/>
  <c r="AG7" i="24"/>
  <c r="Y7" i="24"/>
  <c r="Q7" i="24"/>
  <c r="I7" i="24"/>
  <c r="AB7" i="24"/>
  <c r="T7" i="24"/>
  <c r="L7" i="24"/>
  <c r="X6" i="24"/>
  <c r="P6" i="24"/>
  <c r="H6" i="24"/>
  <c r="AF6" i="24"/>
  <c r="AB6" i="24"/>
  <c r="T6" i="24"/>
  <c r="L6" i="24"/>
  <c r="AA6" i="24"/>
  <c r="S6" i="24"/>
  <c r="K6" i="24"/>
  <c r="R12" i="24"/>
  <c r="Q12" i="24"/>
  <c r="AF12" i="24"/>
  <c r="X12" i="24"/>
  <c r="P12" i="24"/>
  <c r="H12" i="24"/>
  <c r="W12" i="24"/>
  <c r="R6" i="24"/>
  <c r="AD12" i="24"/>
  <c r="V12" i="24"/>
  <c r="N12" i="24"/>
  <c r="F12" i="24"/>
  <c r="Z12" i="24"/>
  <c r="Y12" i="24"/>
  <c r="O12" i="24"/>
  <c r="Z6" i="24"/>
  <c r="AG6" i="24"/>
  <c r="Y6" i="24"/>
  <c r="Q6" i="24"/>
  <c r="I6" i="24"/>
  <c r="AC12" i="24"/>
  <c r="U12" i="24"/>
  <c r="M12" i="24"/>
  <c r="J12" i="24"/>
  <c r="I12" i="24"/>
  <c r="G12" i="24"/>
  <c r="AB12" i="24"/>
  <c r="T12" i="24"/>
  <c r="L12" i="24"/>
  <c r="D12" i="24"/>
  <c r="AH12" i="24"/>
  <c r="AG12" i="24"/>
  <c r="AE12" i="24"/>
  <c r="AH6" i="24"/>
  <c r="J6" i="24"/>
  <c r="AE6" i="24"/>
  <c r="W6" i="24"/>
  <c r="O6" i="24"/>
  <c r="G6" i="24"/>
  <c r="AA12" i="24"/>
  <c r="S12" i="24"/>
  <c r="K12" i="24"/>
  <c r="D4" i="14"/>
  <c r="F13" i="24" s="1"/>
  <c r="E4" i="14"/>
  <c r="G13" i="24" s="1"/>
  <c r="F4" i="14"/>
  <c r="H13" i="24" s="1"/>
  <c r="G4" i="14"/>
  <c r="I13" i="24" s="1"/>
  <c r="H4" i="14"/>
  <c r="J13" i="24" s="1"/>
  <c r="I4" i="14"/>
  <c r="K13" i="24" s="1"/>
  <c r="J4" i="14"/>
  <c r="L13" i="24" s="1"/>
  <c r="K4" i="14"/>
  <c r="M13" i="24" s="1"/>
  <c r="L4" i="14"/>
  <c r="N13" i="24" s="1"/>
  <c r="M4" i="14"/>
  <c r="O13" i="24" s="1"/>
  <c r="N4" i="14"/>
  <c r="P13" i="24" s="1"/>
  <c r="O4" i="14"/>
  <c r="Q13" i="24" s="1"/>
  <c r="P4" i="14"/>
  <c r="R13" i="24" s="1"/>
  <c r="Q4" i="14"/>
  <c r="S13" i="24" s="1"/>
  <c r="R4" i="14"/>
  <c r="T13" i="24" s="1"/>
  <c r="S4" i="14"/>
  <c r="U13" i="24" s="1"/>
  <c r="T4" i="14"/>
  <c r="V13" i="24" s="1"/>
  <c r="U4" i="14"/>
  <c r="W13" i="24" s="1"/>
  <c r="V4" i="14"/>
  <c r="X13" i="24" s="1"/>
  <c r="W4" i="14"/>
  <c r="Y13" i="24" s="1"/>
  <c r="X4" i="14"/>
  <c r="Z13" i="24" s="1"/>
  <c r="Y4" i="14"/>
  <c r="AA13" i="24" s="1"/>
  <c r="Z4" i="14"/>
  <c r="AB13" i="24" s="1"/>
  <c r="AA4" i="14"/>
  <c r="AC13" i="24" s="1"/>
  <c r="AB4" i="14"/>
  <c r="AD13" i="24" s="1"/>
  <c r="AC4" i="14"/>
  <c r="AE13" i="24" s="1"/>
  <c r="AD4" i="14"/>
  <c r="AF13" i="24" s="1"/>
  <c r="AE4" i="14"/>
  <c r="AG13" i="24" s="1"/>
  <c r="AF4" i="14"/>
  <c r="AH13" i="24" s="1"/>
  <c r="C4" i="14"/>
  <c r="E13" i="24" s="1"/>
  <c r="D6" i="24" l="1"/>
  <c r="E6" i="24"/>
  <c r="D7" i="24"/>
  <c r="E7" i="24"/>
  <c r="C2" i="9"/>
  <c r="X8" i="9"/>
  <c r="X2" i="9"/>
  <c r="H8" i="9"/>
  <c r="H2" i="9"/>
  <c r="S2" i="9"/>
  <c r="U7" i="24"/>
  <c r="T2" i="8"/>
  <c r="V6" i="24"/>
  <c r="S8" i="8"/>
  <c r="U6" i="24"/>
  <c r="AC8" i="9"/>
  <c r="AE7" i="24"/>
  <c r="D2" i="9"/>
  <c r="F7" i="24"/>
  <c r="M8" i="9"/>
  <c r="O7" i="24"/>
  <c r="Y2" i="9"/>
  <c r="AA7" i="24"/>
  <c r="F2" i="9"/>
  <c r="H7" i="24"/>
  <c r="L2" i="9"/>
  <c r="N7" i="24"/>
  <c r="Q2" i="9"/>
  <c r="S7" i="24"/>
  <c r="AA8" i="9"/>
  <c r="AC7" i="24"/>
  <c r="K2" i="8"/>
  <c r="M6" i="24"/>
  <c r="N8" i="9"/>
  <c r="P7" i="24"/>
  <c r="T8" i="9"/>
  <c r="V7" i="24"/>
  <c r="V2" i="9"/>
  <c r="X7" i="24"/>
  <c r="AB8" i="9"/>
  <c r="AD7" i="24"/>
  <c r="AA8" i="8"/>
  <c r="AC6" i="24"/>
  <c r="P2" i="9"/>
  <c r="R7" i="24"/>
  <c r="U8" i="9"/>
  <c r="W7" i="24"/>
  <c r="AD2" i="9"/>
  <c r="AF7" i="24"/>
  <c r="AB8" i="8"/>
  <c r="AD6" i="24"/>
  <c r="L2" i="8"/>
  <c r="N6" i="24"/>
  <c r="K8" i="9"/>
  <c r="M7" i="24"/>
  <c r="E2" i="9"/>
  <c r="G7" i="24"/>
  <c r="D8" i="8"/>
  <c r="F6" i="24"/>
  <c r="I8" i="9"/>
  <c r="K7" i="24"/>
  <c r="AF8" i="9"/>
  <c r="AH7" i="24"/>
  <c r="D8" i="9"/>
  <c r="AA2" i="8"/>
  <c r="AB2" i="9"/>
  <c r="N2" i="9"/>
  <c r="T2" i="9"/>
  <c r="K8" i="8"/>
  <c r="Q8" i="9"/>
  <c r="M2" i="9"/>
  <c r="L8" i="8"/>
  <c r="K2" i="9"/>
  <c r="Y8" i="9"/>
  <c r="U2" i="9"/>
  <c r="T8" i="8"/>
  <c r="I2" i="9"/>
  <c r="E8" i="9"/>
  <c r="S8" i="9"/>
  <c r="D2" i="8"/>
  <c r="AD8" i="9"/>
  <c r="AB2" i="8"/>
  <c r="L8" i="9"/>
  <c r="F8" i="9"/>
  <c r="C2" i="8"/>
  <c r="S2" i="8"/>
  <c r="AC2" i="9"/>
  <c r="V8" i="9"/>
  <c r="C8" i="9"/>
  <c r="AA2" i="9"/>
  <c r="Q8" i="8"/>
  <c r="Q2" i="8"/>
  <c r="N2" i="8"/>
  <c r="N8" i="8"/>
  <c r="Z8" i="9"/>
  <c r="Z2" i="9"/>
  <c r="W8" i="9"/>
  <c r="W2" i="9"/>
  <c r="I2" i="13"/>
  <c r="I8" i="13"/>
  <c r="W8" i="13"/>
  <c r="W2" i="13"/>
  <c r="N8" i="13"/>
  <c r="N2" i="13"/>
  <c r="AE8" i="13"/>
  <c r="AE2" i="13"/>
  <c r="G8" i="13"/>
  <c r="G2" i="13"/>
  <c r="O8" i="8"/>
  <c r="O2" i="8"/>
  <c r="L8" i="13"/>
  <c r="L2" i="13"/>
  <c r="AD8" i="13"/>
  <c r="AD2" i="13"/>
  <c r="H8" i="8"/>
  <c r="H2" i="8"/>
  <c r="F8" i="13"/>
  <c r="F2" i="13"/>
  <c r="Q8" i="13"/>
  <c r="Q2" i="13"/>
  <c r="AE8" i="9"/>
  <c r="AE2" i="9"/>
  <c r="E8" i="13"/>
  <c r="E2" i="13"/>
  <c r="V2" i="13"/>
  <c r="V8" i="13"/>
  <c r="E2" i="8"/>
  <c r="E8" i="8"/>
  <c r="AF8" i="13"/>
  <c r="AF2" i="13"/>
  <c r="H8" i="13"/>
  <c r="H2" i="13"/>
  <c r="W8" i="8"/>
  <c r="W2" i="8"/>
  <c r="T8" i="13"/>
  <c r="T2" i="13"/>
  <c r="O8" i="13"/>
  <c r="O2" i="13"/>
  <c r="J2" i="8"/>
  <c r="J8" i="8"/>
  <c r="AD2" i="8"/>
  <c r="AD8" i="8"/>
  <c r="AF8" i="8"/>
  <c r="AF2" i="8"/>
  <c r="X8" i="13"/>
  <c r="X2" i="13"/>
  <c r="Y2" i="13"/>
  <c r="Y8" i="13"/>
  <c r="M8" i="8"/>
  <c r="M2" i="8"/>
  <c r="B8" i="13"/>
  <c r="B2" i="13"/>
  <c r="C8" i="13"/>
  <c r="C2" i="13"/>
  <c r="AE8" i="8"/>
  <c r="AE2" i="8"/>
  <c r="AB8" i="13"/>
  <c r="AB2" i="13"/>
  <c r="P8" i="13"/>
  <c r="P2" i="13"/>
  <c r="R8" i="8"/>
  <c r="R2" i="8"/>
  <c r="AA8" i="13"/>
  <c r="AA2" i="13"/>
  <c r="V2" i="8"/>
  <c r="V8" i="8"/>
  <c r="AC8" i="13"/>
  <c r="AC2" i="13"/>
  <c r="D8" i="13"/>
  <c r="D2" i="13"/>
  <c r="U8" i="8"/>
  <c r="U2" i="8"/>
  <c r="J2" i="13"/>
  <c r="J8" i="13"/>
  <c r="K8" i="13"/>
  <c r="K2" i="13"/>
  <c r="X8" i="8"/>
  <c r="X2" i="8"/>
  <c r="P8" i="8"/>
  <c r="P2" i="8"/>
  <c r="B8" i="9"/>
  <c r="B2" i="9"/>
  <c r="Z2" i="8"/>
  <c r="Z8" i="8"/>
  <c r="J2" i="9"/>
  <c r="J8" i="9"/>
  <c r="G2" i="9"/>
  <c r="G8" i="9"/>
  <c r="Z2" i="13"/>
  <c r="Z8" i="13"/>
  <c r="Y8" i="8"/>
  <c r="Y2" i="8"/>
  <c r="G8" i="8"/>
  <c r="G2" i="8"/>
  <c r="AC2" i="8"/>
  <c r="AC8" i="8"/>
  <c r="R2" i="13"/>
  <c r="R8" i="13"/>
  <c r="S8" i="13"/>
  <c r="S2" i="13"/>
  <c r="M8" i="13"/>
  <c r="M2" i="13"/>
  <c r="U8" i="13"/>
  <c r="U2" i="13"/>
  <c r="I8" i="8"/>
  <c r="I2" i="8"/>
  <c r="F2" i="8"/>
  <c r="F8" i="8"/>
  <c r="R8" i="9"/>
  <c r="R2" i="9"/>
  <c r="O2" i="9"/>
  <c r="O8" i="9"/>
  <c r="AF7" i="14"/>
  <c r="AF8" i="14"/>
  <c r="AE7" i="14"/>
  <c r="AE8" i="14"/>
  <c r="W7" i="14"/>
  <c r="W8" i="14"/>
  <c r="S7" i="14"/>
  <c r="S8" i="14"/>
  <c r="O7" i="14"/>
  <c r="O8" i="14"/>
  <c r="K7" i="14"/>
  <c r="K8" i="14"/>
  <c r="AD8" i="14"/>
  <c r="AD7" i="14"/>
  <c r="Z8" i="14"/>
  <c r="Z7" i="14"/>
  <c r="V8" i="14"/>
  <c r="V7" i="14"/>
  <c r="R8" i="14"/>
  <c r="R7" i="14"/>
  <c r="N8" i="14"/>
  <c r="N7" i="14"/>
  <c r="J8" i="14"/>
  <c r="J7" i="14"/>
  <c r="F8" i="14"/>
  <c r="F7" i="14"/>
  <c r="AC8" i="14"/>
  <c r="AC7" i="14"/>
  <c r="Y8" i="14"/>
  <c r="Y7" i="14"/>
  <c r="U8" i="14"/>
  <c r="U7" i="14"/>
  <c r="Q8" i="14"/>
  <c r="Q7" i="14"/>
  <c r="M7" i="14"/>
  <c r="M8" i="14"/>
  <c r="I8" i="14"/>
  <c r="I7" i="14"/>
  <c r="E8" i="14"/>
  <c r="E7" i="14"/>
  <c r="AB7" i="14"/>
  <c r="AB8" i="14"/>
  <c r="T7" i="14"/>
  <c r="T8" i="14"/>
  <c r="P7" i="14"/>
  <c r="P8" i="14"/>
  <c r="L7" i="14"/>
  <c r="L8" i="14"/>
  <c r="H7" i="14"/>
  <c r="H8" i="14"/>
  <c r="D7" i="14"/>
  <c r="D8" i="14"/>
  <c r="C7" i="14"/>
  <c r="C8" i="14"/>
  <c r="X7" i="14"/>
  <c r="X8" i="14"/>
  <c r="AA7" i="14"/>
  <c r="AA8" i="14"/>
  <c r="G7" i="14"/>
  <c r="G8" i="14"/>
  <c r="D2" i="14"/>
  <c r="F2" i="14"/>
  <c r="G2" i="14"/>
  <c r="L2" i="14"/>
  <c r="N2" i="14"/>
  <c r="O2" i="14"/>
  <c r="T2" i="14"/>
  <c r="V2" i="14"/>
  <c r="W2" i="14"/>
  <c r="AB2" i="14"/>
  <c r="AD2" i="14"/>
  <c r="AE2" i="14"/>
  <c r="D3" i="14"/>
  <c r="E3" i="14"/>
  <c r="I3" i="14"/>
  <c r="J3" i="14"/>
  <c r="L3" i="14"/>
  <c r="M3" i="14"/>
  <c r="Q3" i="14"/>
  <c r="R3" i="14"/>
  <c r="T3" i="14"/>
  <c r="U3" i="14"/>
  <c r="Y3" i="14"/>
  <c r="Z3" i="14"/>
  <c r="AB3" i="14"/>
  <c r="AC3" i="14"/>
  <c r="C3" i="14"/>
  <c r="E2" i="14"/>
  <c r="F3" i="14"/>
  <c r="G5" i="14"/>
  <c r="H5" i="14"/>
  <c r="I2" i="14"/>
  <c r="J5" i="14"/>
  <c r="K3" i="14"/>
  <c r="M2" i="14"/>
  <c r="N3" i="14"/>
  <c r="O5" i="14"/>
  <c r="P5" i="14"/>
  <c r="Q2" i="14"/>
  <c r="R5" i="14"/>
  <c r="S3" i="14"/>
  <c r="U2" i="14"/>
  <c r="V3" i="14"/>
  <c r="W5" i="14"/>
  <c r="X5" i="14"/>
  <c r="Y2" i="14"/>
  <c r="Z5" i="14"/>
  <c r="AA3" i="14"/>
  <c r="AC2" i="14"/>
  <c r="AD3" i="14"/>
  <c r="AE5" i="14"/>
  <c r="AF5" i="14"/>
  <c r="D5" i="14"/>
  <c r="E5" i="14"/>
  <c r="F5" i="14"/>
  <c r="I5" i="14"/>
  <c r="L5" i="14"/>
  <c r="M5" i="14"/>
  <c r="N5" i="14"/>
  <c r="Q5" i="14"/>
  <c r="T5" i="14"/>
  <c r="U5" i="14"/>
  <c r="V5" i="14"/>
  <c r="Y5" i="14"/>
  <c r="AB5" i="14"/>
  <c r="AC5" i="14"/>
  <c r="AD5" i="14"/>
  <c r="D6" i="14"/>
  <c r="E6" i="14"/>
  <c r="F6" i="14"/>
  <c r="G6" i="14"/>
  <c r="I6" i="14"/>
  <c r="L6" i="14"/>
  <c r="M6" i="14"/>
  <c r="N6" i="14"/>
  <c r="O6" i="14"/>
  <c r="Q6" i="14"/>
  <c r="T6" i="14"/>
  <c r="U6" i="14"/>
  <c r="V6" i="14"/>
  <c r="W6" i="14"/>
  <c r="Y6" i="14"/>
  <c r="AB6" i="14"/>
  <c r="AC6" i="14"/>
  <c r="AD6" i="14"/>
  <c r="AE6" i="14"/>
  <c r="B2" i="8" l="1"/>
  <c r="B8" i="8"/>
  <c r="AA6" i="14"/>
  <c r="K6" i="14"/>
  <c r="AA2" i="14"/>
  <c r="K2" i="14"/>
  <c r="Z6" i="14"/>
  <c r="J6" i="14"/>
  <c r="AF3" i="14"/>
  <c r="P3" i="14"/>
  <c r="J2" i="14"/>
  <c r="AA5" i="14"/>
  <c r="S5" i="14"/>
  <c r="K5" i="14"/>
  <c r="C5" i="14"/>
  <c r="AE3" i="14"/>
  <c r="W3" i="14"/>
  <c r="O3" i="14"/>
  <c r="G3" i="14"/>
  <c r="S6" i="14"/>
  <c r="C6" i="14"/>
  <c r="S2" i="14"/>
  <c r="C2" i="14"/>
  <c r="R6" i="14"/>
  <c r="X3" i="14"/>
  <c r="H3" i="14"/>
  <c r="Z2" i="14"/>
  <c r="R2" i="14"/>
  <c r="AF6" i="14"/>
  <c r="X6" i="14"/>
  <c r="P6" i="14"/>
  <c r="H6" i="14"/>
  <c r="AF2" i="14"/>
  <c r="X2" i="14"/>
  <c r="P2" i="14"/>
  <c r="H2" i="14"/>
  <c r="E8" i="24"/>
  <c r="C8" i="10" l="1"/>
  <c r="B6" i="14"/>
  <c r="B2" i="14"/>
  <c r="B5" i="14"/>
  <c r="B3" i="14"/>
  <c r="I11" i="24"/>
  <c r="AF11" i="24"/>
  <c r="AD11" i="24"/>
  <c r="V11" i="24"/>
  <c r="N11" i="24"/>
  <c r="F11" i="24"/>
  <c r="P11" i="24"/>
  <c r="H11" i="24"/>
  <c r="AC11" i="24"/>
  <c r="AB11" i="24"/>
  <c r="X11" i="24"/>
  <c r="E11" i="24"/>
  <c r="W11" i="24"/>
  <c r="U11" i="24"/>
  <c r="T11" i="24"/>
  <c r="L11" i="24"/>
  <c r="AA11" i="24"/>
  <c r="O11" i="24"/>
  <c r="K11" i="24"/>
  <c r="AH11" i="24"/>
  <c r="Z11" i="24"/>
  <c r="R11" i="24"/>
  <c r="J11" i="24"/>
  <c r="AE11" i="24"/>
  <c r="G11" i="24"/>
  <c r="M11" i="24"/>
  <c r="S11" i="24"/>
  <c r="AG11" i="24"/>
  <c r="Y11" i="24"/>
  <c r="Q11" i="24"/>
  <c r="D5" i="24" l="1"/>
  <c r="D2" i="2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<sst xmlns="http://schemas.openxmlformats.org/spreadsheetml/2006/main" count="6785" uniqueCount="3419">
  <si>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</si>
  <si>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</si>
  <si>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</si>
  <si>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</si>
  <si>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</si>
  <si>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</si>
  <si>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</si>
  <si>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</si>
  <si>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</si>
  <si>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</si>
  <si>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</si>
  <si>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</si>
  <si>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</si>
  <si>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</si>
  <si>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</si>
  <si>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</si>
  <si>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</si>
  <si>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</si>
  <si>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</si>
  <si>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</si>
  <si>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</si>
  <si>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</si>
  <si>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</si>
  <si>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</si>
  <si>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</si>
  <si>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</si>
  <si>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</si>
  <si>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</si>
  <si>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</si>
  <si>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</si>
  <si>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</si>
  <si>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</si>
  <si>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</si>
  <si>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</si>
  <si>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</si>
  <si>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</si>
  <si>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</si>
  <si>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</si>
  <si>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</si>
  <si>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</si>
  <si>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</si>
  <si>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</si>
  <si>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</si>
  <si>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</si>
  <si>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</si>
  <si>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</si>
  <si>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</si>
  <si>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</si>
  <si>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</si>
  <si>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</si>
  <si>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</si>
  <si>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</si>
  <si>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</si>
  <si>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</si>
  <si>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</si>
  <si>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</si>
  <si>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</si>
  <si>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</si>
  <si>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</si>
  <si>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</si>
  <si>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</si>
  <si>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</si>
  <si>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</si>
  <si>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</si>
  <si>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</si>
  <si>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</si>
  <si>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</si>
  <si>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</si>
  <si>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</si>
  <si>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</si>
  <si>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</si>
  <si>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</si>
  <si>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</si>
  <si>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</si>
  <si>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</si>
  <si>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</si>
  <si>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</si>
  <si>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</si>
  <si>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</si>
  <si>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</si>
  <si>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</si>
  <si>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</si>
  <si>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</si>
  <si>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</si>
  <si>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</si>
  <si>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</si>
  <si>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</si>
  <si>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</si>
  <si>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</si>
  <si>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</si>
  <si>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</si>
  <si>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</si>
  <si>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</si>
  <si>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</si>
  <si>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</si>
  <si>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</si>
  <si>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</si>
  <si>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</si>
  <si>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</si>
  <si>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</si>
  <si>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</si>
  <si>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</si>
  <si>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</si>
  <si>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</si>
  <si>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</si>
  <si>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</si>
  <si>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</si>
  <si>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</si>
  <si>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</si>
  <si>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</si>
  <si>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</si>
  <si>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</si>
  <si>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</si>
  <si>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</si>
  <si>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</si>
  <si>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</si>
  <si>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</si>
  <si>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</si>
  <si>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</si>
  <si>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</si>
  <si>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</si>
  <si>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</si>
  <si>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</si>
  <si>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</si>
  <si>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</si>
  <si>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</si>
  <si>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</si>
  <si>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</si>
  <si>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</si>
  <si>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</si>
  <si>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</si>
  <si>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</si>
  <si>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</si>
  <si>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</si>
  <si>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</si>
  <si>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</si>
  <si>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</si>
  <si>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</si>
  <si>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</si>
  <si>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</si>
  <si>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</si>
  <si>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</si>
  <si>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</si>
  <si>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</si>
  <si>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</si>
  <si>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</si>
  <si>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</si>
  <si>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</si>
  <si>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</si>
  <si>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</si>
  <si>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</si>
  <si>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</si>
  <si>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</si>
  <si>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</si>
  <si>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</si>
  <si>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</si>
  <si>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</si>
  <si>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</si>
  <si>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</si>
  <si>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</si>
  <si>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</si>
  <si>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</si>
  <si>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</si>
  <si>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</si>
  <si>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</si>
  <si>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</si>
  <si>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</si>
  <si>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</si>
  <si>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</si>
  <si>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</si>
  <si>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</si>
  <si>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</si>
  <si>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</si>
  <si>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</si>
  <si>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</si>
  <si>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</si>
  <si>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</si>
  <si>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</si>
  <si>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</si>
  <si>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</si>
  <si>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</si>
  <si>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</si>
  <si>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</si>
  <si>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</si>
  <si>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</si>
  <si>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</si>
  <si>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</si>
  <si>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</si>
  <si>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</si>
  <si>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</si>
  <si>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</si>
  <si>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</si>
  <si>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</si>
  <si>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</si>
  <si>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</si>
  <si>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</si>
  <si>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</si>
  <si>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</si>
  <si>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</si>
  <si>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</si>
  <si>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</si>
  <si>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</si>
  <si>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</si>
  <si>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</si>
  <si>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</si>
  <si>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</si>
  <si>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</si>
  <si>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</si>
  <si>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</si>
  <si>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</si>
  <si>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</si>
  <si>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</si>
  <si>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</si>
  <si>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</si>
  <si>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</si>
  <si>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</si>
  <si>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</si>
  <si>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</si>
  <si>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</si>
  <si>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</si>
  <si>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</si>
  <si>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</si>
  <si>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</si>
  <si>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</si>
  <si>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</si>
  <si>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</si>
  <si>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</si>
  <si>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</si>
  <si>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</si>
  <si>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</si>
  <si>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</si>
  <si>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</si>
  <si>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</si>
  <si>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</si>
  <si>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</si>
  <si>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</si>
  <si>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</si>
  <si>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</si>
  <si>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</si>
  <si>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</si>
  <si>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</si>
  <si>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</si>
  <si>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</si>
  <si>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</si>
  <si>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</si>
  <si>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</si>
  <si>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</si>
  <si>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</si>
  <si>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</si>
  <si>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</si>
  <si>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</si>
  <si>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</si>
  <si>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</si>
  <si>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</si>
  <si>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</si>
  <si>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</si>
  <si>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</si>
  <si>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</si>
  <si>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</si>
  <si>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</si>
  <si>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</si>
  <si>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</si>
  <si>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</si>
  <si>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</si>
  <si>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</si>
  <si>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</si>
  <si>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</si>
  <si>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</si>
  <si>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</si>
  <si>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</si>
  <si>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</si>
  <si>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</si>
  <si>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</si>
  <si>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</si>
  <si>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</si>
  <si>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</si>
  <si>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</si>
  <si>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</si>
  <si>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</si>
  <si>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</si>
  <si>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</si>
  <si>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</si>
  <si>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</si>
  <si>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</si>
  <si>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</si>
  <si>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</si>
  <si>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</si>
  <si>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</si>
  <si>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</si>
  <si>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</si>
  <si>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</si>
  <si>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</si>
  <si>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</si>
  <si>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</si>
  <si>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</si>
  <si>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</si>
  <si>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</si>
  <si>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</si>
  <si>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</si>
  <si>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</si>
  <si>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</si>
  <si>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</si>
  <si>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</si>
  <si>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</si>
  <si>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</si>
  <si>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</si>
  <si>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</si>
  <si>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</si>
  <si>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</si>
  <si>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</si>
  <si>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</si>
  <si>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</si>
  <si>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</si>
  <si>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</si>
  <si>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</si>
  <si>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</si>
  <si>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</si>
  <si>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</si>
  <si>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</si>
  <si>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</si>
  <si>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</si>
  <si>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</si>
  <si>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</si>
  <si>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</si>
  <si>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</si>
  <si>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</si>
  <si>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</si>
  <si>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</si>
  <si>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</si>
  <si>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</si>
  <si>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</si>
  <si>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</si>
  <si>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</si>
  <si>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</si>
  <si>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</si>
  <si>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</si>
  <si>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</si>
  <si>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</si>
  <si>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</si>
  <si>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</si>
  <si>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</si>
  <si>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</si>
  <si>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</si>
  <si>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</si>
  <si>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</si>
  <si>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</si>
  <si>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</si>
  <si>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</si>
  <si>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</si>
  <si>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</si>
  <si>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</si>
  <si>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</si>
  <si>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</si>
  <si>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</si>
  <si>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</si>
  <si>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</si>
  <si>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</si>
  <si>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</si>
  <si>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</si>
  <si>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</si>
  <si>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</si>
  <si>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</si>
  <si>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</si>
  <si>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</si>
  <si>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</si>
  <si>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</si>
  <si>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</si>
  <si>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</si>
  <si>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</si>
  <si>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</si>
  <si>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</si>
  <si>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</si>
  <si>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</si>
  <si>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</si>
  <si>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</si>
  <si>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</si>
  <si>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</si>
  <si>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</si>
  <si>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</si>
  <si>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</si>
  <si>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</si>
  <si>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</si>
  <si>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</si>
  <si>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</si>
  <si>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</si>
  <si>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</si>
  <si>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</si>
  <si>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</si>
  <si>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</si>
  <si>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</si>
  <si>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</si>
  <si>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</si>
  <si>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</si>
  <si>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</si>
  <si>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</si>
  <si>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</si>
  <si>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</si>
  <si>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</si>
  <si>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</si>
  <si>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</si>
  <si>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</si>
  <si>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</si>
  <si>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</si>
  <si>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</si>
  <si>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</si>
  <si>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</si>
  <si>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</si>
  <si>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</si>
  <si>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</si>
  <si>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</si>
  <si>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</si>
  <si>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</si>
  <si>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</si>
  <si>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</si>
  <si>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</si>
  <si>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</si>
  <si>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</si>
  <si>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</si>
  <si>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</si>
  <si>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</si>
  <si>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</si>
  <si>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</si>
  <si>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</si>
  <si>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</si>
  <si>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</si>
  <si>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</si>
  <si>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</si>
  <si>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</si>
  <si>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</si>
  <si>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</si>
  <si>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</si>
  <si>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</si>
  <si>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</si>
  <si>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</si>
  <si>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</si>
  <si>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</si>
  <si>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</si>
  <si>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</si>
  <si>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</si>
  <si>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</si>
  <si>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</si>
  <si>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</si>
  <si>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</si>
  <si>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</si>
  <si>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</si>
  <si>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</si>
  <si>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</si>
  <si>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</si>
  <si>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</si>
  <si>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</si>
  <si>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</si>
  <si>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</si>
  <si>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</si>
  <si>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</si>
  <si>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</si>
  <si>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</si>
  <si>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</si>
  <si>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</si>
  <si>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</si>
  <si>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</si>
  <si>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</si>
  <si>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</si>
  <si>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</si>
  <si>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</si>
  <si>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</si>
  <si>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</si>
  <si>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</si>
  <si>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</si>
  <si>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</si>
  <si>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</si>
  <si>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</si>
  <si>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</si>
  <si>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</si>
  <si>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</si>
  <si>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</si>
  <si>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</si>
  <si>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</si>
  <si>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</si>
  <si>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</si>
  <si>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</si>
  <si>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</si>
  <si>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</si>
  <si>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</si>
  <si>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</si>
  <si>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</si>
  <si>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</si>
  <si>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</si>
  <si>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</si>
  <si>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</si>
  <si>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</si>
  <si>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</si>
  <si>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</si>
  <si>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</si>
  <si>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</si>
  <si>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</si>
  <si>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</si>
  <si>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</si>
  <si>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</si>
  <si>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</si>
  <si>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</si>
  <si>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</si>
  <si>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</si>
  <si>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</si>
  <si>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</si>
  <si>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</si>
  <si>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</si>
  <si>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</si>
  <si>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</si>
  <si>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</si>
  <si>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</si>
  <si>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</si>
  <si>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</si>
  <si>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</si>
  <si>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</si>
  <si>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</si>
  <si>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</si>
  <si>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</si>
  <si>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</si>
  <si>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</si>
  <si>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</si>
  <si>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</si>
  <si>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</si>
  <si>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</si>
  <si>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</si>
  <si>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</si>
  <si>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</si>
  <si>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</si>
  <si>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</si>
  <si>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</si>
  <si>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</si>
  <si>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</si>
  <si>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</si>
  <si>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</si>
  <si>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</si>
  <si>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</si>
  <si>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</si>
  <si>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</si>
  <si>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</si>
  <si>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</si>
  <si>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</si>
  <si>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</si>
  <si>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</si>
  <si>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</si>
  <si>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</si>
  <si>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</si>
  <si>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</si>
  <si>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</si>
  <si>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</si>
  <si>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</si>
  <si>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</si>
  <si>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</si>
  <si>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</si>
  <si>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</si>
  <si>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</si>
  <si>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</si>
  <si>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</si>
  <si>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</si>
  <si>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</si>
  <si>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</si>
  <si>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</si>
  <si>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</si>
  <si>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</si>
  <si>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</si>
  <si>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</si>
  <si>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</si>
  <si>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</si>
  <si>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</si>
  <si>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</si>
  <si>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</si>
  <si>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</si>
  <si>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</si>
  <si>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</si>
  <si>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</si>
  <si>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</si>
  <si>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</si>
  <si>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</si>
  <si>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</si>
  <si>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</si>
  <si>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</si>
  <si>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</si>
  <si>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</si>
  <si>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</si>
  <si>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</si>
  <si>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</si>
  <si>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</si>
  <si>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</si>
  <si>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</si>
  <si>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</si>
  <si>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</si>
  <si>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</si>
  <si>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</si>
  <si>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</si>
  <si>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</si>
  <si>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</si>
  <si>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</si>
  <si>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</si>
  <si>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</si>
  <si>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</si>
  <si>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</si>
  <si>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</si>
  <si>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</si>
  <si>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</si>
  <si>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</si>
  <si>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</si>
  <si>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</si>
  <si>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</si>
  <si>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</si>
  <si>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</si>
  <si>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</si>
  <si>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</si>
  <si>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</si>
  <si>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</si>
  <si>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</si>
  <si>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</si>
  <si>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</si>
  <si>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</si>
  <si>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</si>
  <si>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</si>
  <si>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</si>
  <si>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</si>
  <si>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</si>
  <si>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</si>
  <si>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</si>
  <si>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</si>
  <si>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</si>
  <si>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</si>
  <si>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</si>
  <si>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</si>
  <si>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</si>
  <si>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</si>
  <si>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</si>
  <si>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</si>
  <si>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</si>
  <si>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</si>
  <si>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</si>
  <si>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</si>
  <si>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</si>
  <si>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</si>
  <si>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</si>
  <si>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</si>
  <si>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</si>
  <si>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</si>
  <si>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</si>
  <si>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</si>
  <si>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</si>
  <si>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</si>
  <si>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</si>
  <si>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</si>
  <si>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</si>
  <si>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</si>
  <si>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</si>
  <si>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</si>
  <si>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</si>
  <si>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</si>
  <si>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</si>
  <si>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</si>
  <si>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</si>
  <si>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</si>
  <si>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</si>
  <si>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</si>
  <si>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</si>
  <si>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</si>
  <si>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</si>
  <si>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</si>
  <si>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</si>
  <si>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</si>
  <si>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</si>
  <si>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</si>
  <si>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</si>
  <si>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</si>
  <si>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</si>
  <si>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</si>
  <si>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</si>
  <si>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</si>
  <si>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</si>
  <si>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</si>
  <si>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</si>
  <si>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</si>
  <si>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</si>
  <si>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</si>
  <si>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</si>
  <si>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</si>
  <si>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</si>
  <si>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</si>
  <si>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</si>
  <si>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</si>
  <si>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</si>
  <si>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</si>
  <si>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</si>
  <si>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</si>
  <si>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</si>
  <si>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</si>
  <si>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</si>
  <si>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</si>
  <si>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</si>
  <si>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</si>
  <si>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</si>
  <si>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</si>
  <si>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</si>
  <si>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</si>
  <si>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</si>
  <si>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</si>
  <si>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</si>
  <si>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</si>
  <si>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</si>
  <si>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</si>
  <si>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</si>
  <si>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</si>
  <si>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</si>
  <si>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</si>
  <si>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</si>
  <si>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</si>
  <si>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</si>
  <si>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</si>
  <si>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</si>
  <si>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</si>
  <si>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</si>
  <si>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</si>
  <si>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</si>
  <si>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</si>
  <si>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</si>
  <si>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</si>
  <si>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</si>
  <si>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</si>
  <si>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</si>
  <si>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</si>
  <si>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</si>
  <si>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</si>
  <si>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</si>
  <si>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</si>
  <si>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</si>
  <si>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</si>
  <si>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</si>
  <si>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</si>
  <si>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</si>
  <si>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</si>
  <si>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</si>
  <si>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</si>
  <si>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</si>
  <si>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</si>
  <si>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</si>
  <si>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</si>
  <si>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</si>
  <si>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</si>
  <si>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</si>
  <si>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</si>
  <si>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</si>
  <si>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</si>
  <si>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</si>
  <si>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</si>
  <si>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</si>
  <si>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</si>
  <si>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</si>
  <si>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</si>
  <si>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</si>
  <si>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</si>
  <si>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</si>
  <si>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</si>
  <si>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</si>
  <si>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</si>
  <si>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</si>
  <si>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</si>
  <si>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</si>
  <si>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</si>
  <si>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</si>
  <si>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</si>
  <si>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</si>
  <si>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</si>
  <si>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</si>
  <si>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</si>
  <si>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</si>
  <si>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</si>
  <si>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</si>
  <si>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</si>
  <si>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</si>
  <si>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</si>
  <si>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</si>
  <si>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</si>
  <si>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</si>
  <si>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</si>
  <si>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</si>
  <si>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</si>
  <si>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</si>
  <si>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</si>
  <si>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</si>
  <si>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</si>
  <si>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</si>
  <si>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</si>
  <si>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</si>
  <si>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</si>
  <si>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</si>
  <si>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</si>
  <si>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</si>
  <si>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</si>
  <si>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</si>
  <si>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</si>
  <si>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</si>
  <si>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</si>
  <si>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</si>
  <si>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</si>
  <si>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</si>
  <si>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</si>
  <si>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</si>
  <si>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</si>
  <si>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</si>
  <si>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</si>
  <si>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</si>
  <si>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</si>
  <si>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</si>
  <si>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</si>
  <si>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</si>
  <si>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</si>
  <si>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</si>
  <si>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</si>
  <si>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</si>
  <si>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</si>
  <si>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</si>
  <si>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</si>
  <si>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</si>
  <si>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</si>
  <si>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</si>
  <si>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</si>
  <si>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</si>
  <si>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</si>
  <si>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</si>
  <si>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</si>
  <si>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</si>
  <si>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</si>
  <si>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</si>
  <si>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</si>
  <si>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</si>
  <si>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</si>
  <si>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</si>
  <si>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</si>
  <si>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</si>
  <si>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</si>
  <si>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</si>
  <si>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</si>
  <si>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</si>
  <si>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</si>
  <si>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</si>
  <si>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</si>
  <si>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</si>
  <si>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</si>
  <si>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</si>
  <si>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</si>
  <si>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</si>
  <si>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</si>
  <si>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</si>
  <si>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</si>
  <si>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</si>
  <si>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</si>
  <si>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</si>
  <si>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</si>
  <si>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</si>
  <si>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</si>
  <si>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</si>
  <si>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</si>
  <si>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</si>
  <si>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</si>
  <si>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</si>
  <si>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</si>
  <si>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</si>
  <si>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</si>
  <si>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</si>
  <si>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</si>
  <si>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</si>
  <si>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</si>
  <si>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</si>
  <si>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</si>
  <si>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</si>
  <si>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</si>
  <si>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</si>
  <si>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</si>
  <si>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</si>
  <si>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</si>
  <si>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</si>
  <si>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</si>
  <si>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</si>
  <si>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</si>
  <si>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</si>
  <si>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</si>
  <si>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</si>
  <si>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</si>
  <si>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</si>
  <si>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</si>
  <si>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</si>
  <si>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</si>
  <si>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</si>
  <si>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</si>
  <si>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</si>
  <si>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</si>
  <si>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</si>
  <si>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</si>
  <si>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</si>
  <si>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</si>
  <si>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</si>
  <si>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</si>
  <si>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</si>
  <si>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</si>
  <si>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</si>
  <si>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</si>
  <si>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</si>
  <si>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</si>
  <si>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</si>
  <si>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</si>
  <si>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</si>
  <si>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</si>
  <si>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</si>
  <si>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</si>
  <si>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</si>
  <si>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</si>
  <si>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</si>
  <si>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</si>
  <si>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</si>
  <si>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</si>
  <si>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</si>
  <si>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</si>
  <si>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</si>
  <si>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</si>
  <si>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</si>
  <si>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</si>
  <si>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</si>
  <si>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</si>
  <si>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</si>
  <si>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</si>
  <si>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</si>
  <si>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</si>
  <si>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</si>
  <si>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</si>
  <si>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</si>
  <si>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</si>
  <si>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</si>
  <si>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</si>
  <si>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</si>
  <si>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</si>
  <si>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</si>
  <si>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</si>
  <si>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</si>
  <si>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</si>
  <si>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</si>
  <si>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</si>
  <si>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</si>
  <si>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</si>
  <si>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</si>
  <si>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</si>
  <si>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</si>
  <si>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</si>
  <si>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</si>
  <si>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</si>
  <si>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</si>
  <si>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</si>
  <si>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</si>
  <si>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</si>
  <si>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</si>
  <si>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</si>
  <si>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</si>
  <si>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</si>
  <si>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</si>
  <si>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</si>
  <si>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</si>
  <si>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</si>
  <si>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</si>
  <si>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</si>
  <si>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</si>
  <si>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</si>
  <si>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</si>
  <si>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</si>
  <si>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</si>
  <si>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</si>
  <si>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</si>
  <si>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</si>
  <si>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</si>
  <si>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</si>
  <si>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</si>
  <si>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</si>
  <si>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</si>
  <si>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</si>
  <si>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</si>
  <si>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</si>
  <si>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</si>
  <si>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</si>
  <si>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</si>
  <si>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</si>
  <si>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</si>
  <si>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</si>
  <si>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</si>
  <si>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</si>
  <si>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</si>
  <si>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</si>
  <si>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</si>
  <si>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</si>
  <si>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</si>
  <si>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</si>
  <si>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</si>
  <si>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</si>
  <si>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</si>
  <si>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</si>
  <si>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</si>
  <si>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</si>
  <si>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</si>
  <si>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</si>
  <si>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</si>
  <si>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</si>
  <si>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</si>
  <si>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</si>
  <si>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</si>
  <si>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</si>
  <si>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</si>
  <si>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</si>
  <si>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</si>
  <si>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</si>
  <si>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</si>
  <si>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</si>
  <si>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</si>
  <si>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</si>
  <si>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</si>
  <si>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</si>
  <si>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</si>
  <si>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</si>
  <si>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</si>
  <si>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</si>
  <si>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</si>
  <si>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</si>
  <si>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</si>
  <si>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</si>
  <si>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</si>
  <si>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</si>
  <si>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</si>
  <si>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</si>
  <si>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</si>
  <si>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</si>
  <si>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</si>
  <si>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</si>
  <si>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</si>
  <si>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</si>
  <si>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</si>
  <si>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</si>
  <si>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</si>
  <si>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</si>
  <si>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</si>
  <si>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</si>
  <si>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</si>
  <si>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</si>
  <si>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</si>
  <si>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</si>
  <si>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</si>
  <si>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</si>
  <si>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</si>
  <si>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</si>
  <si>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</si>
  <si>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</si>
  <si>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</si>
  <si>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</si>
  <si>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</si>
  <si>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</si>
  <si>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</si>
  <si>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</si>
  <si>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</si>
  <si>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</si>
  <si>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</si>
  <si>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</si>
  <si>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</si>
  <si>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</si>
  <si>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</si>
  <si>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</si>
  <si>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</si>
  <si>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</si>
  <si>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</si>
  <si>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</si>
  <si>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</si>
  <si>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</si>
  <si>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</si>
  <si>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</si>
  <si>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</si>
  <si>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</si>
  <si>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</si>
  <si>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</si>
  <si>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</si>
  <si>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</si>
  <si>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</si>
  <si>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</si>
  <si>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</si>
  <si>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</si>
  <si>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</si>
  <si>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</si>
  <si>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</si>
  <si>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</si>
  <si>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</si>
  <si>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</si>
  <si>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</si>
  <si>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</si>
  <si>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</si>
  <si>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</si>
  <si>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</si>
  <si>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</si>
  <si>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</si>
  <si>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</si>
  <si>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</si>
  <si>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</si>
  <si>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</si>
  <si>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</si>
  <si>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</si>
  <si>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</si>
  <si>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</si>
  <si>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</si>
  <si>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</si>
  <si>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</si>
  <si>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</si>
  <si>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</si>
  <si>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</si>
  <si>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</si>
  <si>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</si>
  <si>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Sources: AEO 7, 36, and others as noted on "Calculations Etc" tab</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</si>
  <si>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</si>
  <si>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</si>
  <si>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</si>
  <si>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</si>
  <si>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</si>
  <si>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</si>
  <si>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</si>
  <si>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</si>
  <si>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</si>
  <si>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</si>
  <si>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</si>
  <si>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</si>
  <si>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</si>
  <si>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</si>
  <si>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</si>
  <si>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</si>
  <si>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</si>
  <si>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</si>
  <si>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</si>
  <si>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</si>
  <si>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</si>
  <si>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</si>
  <si>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</si>
  <si>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</si>
  <si>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</si>
  <si>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</si>
  <si>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</si>
  <si>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</si>
  <si>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</si>
  <si>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</si>
  <si>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</si>
  <si>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</si>
  <si>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</si>
  <si>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</si>
  <si>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</si>
  <si>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</si>
  <si>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</si>
  <si>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</si>
  <si>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</si>
  <si>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</si>
  <si>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</si>
  <si>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</si>
  <si>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</si>
  <si>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</si>
  <si>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</si>
  <si>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</si>
  <si>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</si>
  <si>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</si>
  <si>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</si>
  <si>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</si>
  <si>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</si>
  <si>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</si>
  <si>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</si>
  <si>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</si>
  <si>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</si>
  <si>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</si>
  <si>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</si>
  <si>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</si>
  <si>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</si>
  <si>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</si>
  <si>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</si>
  <si>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</si>
  <si>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</si>
  <si>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</si>
  <si>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</si>
  <si>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</si>
  <si>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</si>
  <si>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</si>
  <si>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</si>
  <si>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</si>
  <si>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</si>
  <si>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</si>
  <si>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</si>
  <si>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</si>
  <si>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</si>
  <si>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</si>
  <si>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</si>
  <si>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</si>
  <si>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</si>
  <si>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</si>
  <si>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</si>
  <si>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</si>
  <si>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</si>
  <si>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</si>
  <si>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</si>
  <si>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</si>
  <si>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</si>
  <si>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</si>
  <si>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</si>
  <si>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</si>
  <si>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</si>
  <si>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</si>
  <si>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</si>
  <si>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</si>
  <si>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</si>
  <si>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</si>
  <si>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</si>
  <si>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</si>
  <si>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</si>
  <si>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</si>
  <si>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</si>
  <si>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</si>
  <si>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</si>
  <si>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</si>
  <si>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</si>
  <si>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</si>
  <si>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</si>
  <si>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</si>
  <si>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</si>
  <si>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</si>
  <si>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</si>
  <si>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</si>
  <si>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</si>
  <si>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</si>
  <si>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</si>
  <si>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</si>
  <si>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</si>
  <si>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</si>
  <si>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</si>
  <si>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</si>
  <si>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</si>
  <si>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</si>
  <si>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</si>
  <si>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</si>
  <si>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</si>
  <si>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</si>
  <si>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</si>
  <si>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</si>
  <si>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</si>
  <si>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</si>
  <si>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</si>
  <si>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</si>
  <si>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</si>
  <si>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</si>
  <si>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</si>
  <si>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</si>
  <si>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</si>
  <si>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</si>
  <si>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</si>
  <si>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</si>
  <si>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</si>
  <si>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</si>
  <si>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</si>
  <si>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</si>
  <si>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</si>
  <si>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</si>
  <si>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</si>
  <si>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</si>
  <si>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</si>
  <si>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</si>
  <si>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</si>
  <si>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</si>
  <si>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</si>
  <si>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</si>
  <si>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</si>
  <si>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</si>
  <si>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</si>
  <si>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</si>
  <si>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</si>
  <si>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</si>
  <si>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</si>
  <si>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</si>
  <si>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</si>
  <si>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</si>
  <si>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</si>
  <si>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</si>
  <si>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</si>
  <si>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</si>
  <si>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</si>
  <si>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</si>
  <si>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</si>
  <si>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</si>
  <si>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</si>
  <si>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</si>
  <si>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</si>
  <si>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</si>
  <si>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</si>
  <si>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</si>
  <si>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</si>
  <si>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</si>
  <si>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</si>
  <si>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</si>
  <si>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</si>
  <si>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</si>
  <si>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</si>
  <si>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</si>
  <si>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</si>
  <si>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</si>
  <si>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</si>
  <si>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</si>
  <si>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</si>
  <si>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</si>
  <si>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</si>
  <si>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</si>
  <si>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</si>
  <si>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</si>
  <si>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</si>
  <si>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</si>
  <si>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</si>
  <si>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</si>
  <si>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</si>
  <si>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</si>
  <si>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</si>
  <si>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</si>
  <si>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</si>
  <si>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</si>
  <si>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</si>
  <si>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</si>
  <si>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</si>
  <si>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</si>
  <si>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</si>
  <si>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</si>
  <si>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</si>
  <si>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</si>
  <si>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</si>
  <si>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</si>
  <si>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</si>
  <si>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</si>
  <si>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</si>
  <si>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</si>
  <si>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</si>
  <si>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</si>
  <si>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</si>
  <si>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</si>
  <si>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</si>
  <si>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</si>
  <si>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</si>
  <si>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</si>
  <si>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</si>
  <si>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</si>
  <si>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</si>
  <si>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</si>
  <si>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</si>
  <si>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</si>
  <si>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</si>
  <si>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</si>
  <si>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</si>
  <si>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</si>
  <si>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</si>
  <si>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</si>
  <si>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</si>
  <si>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</si>
  <si>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</si>
  <si>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</si>
  <si>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</si>
  <si>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</si>
  <si>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</si>
  <si>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</si>
  <si>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</si>
  <si>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</si>
  <si>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</si>
  <si>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</si>
  <si>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</si>
  <si>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</si>
  <si>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</si>
  <si>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</si>
  <si>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</si>
  <si>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</si>
  <si>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</si>
  <si>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</si>
  <si>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</si>
  <si>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</si>
  <si>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</si>
  <si>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</si>
  <si>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</si>
  <si>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</si>
  <si>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</si>
  <si>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</si>
  <si>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</si>
  <si>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</si>
  <si>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</si>
  <si>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</si>
  <si>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</si>
  <si>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</si>
  <si>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</si>
  <si>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</si>
  <si>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</si>
  <si>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</si>
  <si>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</si>
  <si>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</si>
  <si>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</si>
  <si>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</si>
  <si>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</si>
  <si>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</si>
  <si>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</si>
  <si>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</si>
  <si>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</si>
  <si>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</si>
  <si>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</si>
  <si>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</si>
  <si>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</si>
  <si>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</si>
  <si>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</si>
  <si>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</si>
  <si>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</si>
  <si>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</si>
  <si>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</si>
  <si>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</si>
  <si>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</si>
  <si>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</si>
  <si>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</si>
  <si>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</si>
  <si>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</si>
  <si>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</si>
  <si>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</si>
  <si>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</si>
  <si>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</si>
  <si>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</si>
  <si>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</si>
  <si>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</si>
  <si>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</si>
  <si>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</si>
  <si>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</si>
  <si>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</si>
  <si>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</si>
  <si>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</si>
  <si>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</si>
  <si>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</si>
  <si>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</si>
  <si>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</si>
  <si>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</si>
  <si>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</si>
  <si>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</si>
  <si>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</si>
  <si>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</si>
  <si>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</si>
  <si>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</si>
  <si>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</si>
  <si>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</si>
  <si>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</si>
  <si>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</si>
  <si>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</si>
  <si>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</si>
  <si>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</si>
  <si>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</si>
  <si>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</si>
  <si>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</si>
  <si>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</si>
  <si>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</si>
  <si>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</si>
  <si>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</si>
  <si>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</si>
  <si>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</si>
  <si>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</si>
  <si>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</si>
  <si>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</si>
  <si>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</si>
  <si>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</si>
  <si>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</si>
  <si>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</si>
  <si>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</si>
  <si>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</si>
  <si>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</si>
  <si>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</si>
  <si>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</si>
  <si>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</si>
  <si>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</si>
  <si>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</si>
  <si>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</si>
  <si>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</si>
  <si>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</si>
  <si>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</si>
  <si>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</si>
  <si>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</si>
  <si>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</si>
  <si>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</si>
  <si>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</si>
  <si>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</si>
  <si>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</si>
  <si>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</si>
  <si>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</si>
  <si>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</si>
  <si>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</si>
  <si>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</si>
  <si>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</si>
  <si>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</si>
  <si>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</si>
  <si>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</si>
  <si>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</si>
  <si>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</si>
  <si>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</si>
  <si>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</si>
  <si>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</si>
  <si>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</si>
  <si>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</si>
  <si>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</si>
  <si>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</si>
  <si>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</si>
  <si>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</si>
  <si>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</si>
  <si>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</si>
  <si>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</si>
  <si>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</si>
  <si>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</si>
  <si>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</si>
  <si>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</si>
  <si>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</si>
  <si>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</si>
  <si>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</si>
  <si>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</si>
  <si>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</si>
  <si>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</si>
  <si>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</si>
  <si>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</si>
  <si>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</si>
  <si>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</si>
  <si>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</si>
  <si>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</si>
  <si>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</si>
  <si>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</si>
  <si>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</si>
  <si>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</si>
  <si>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</si>
  <si>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</si>
  <si>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</si>
  <si>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</si>
  <si>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</si>
  <si>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</si>
  <si>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</si>
  <si>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</si>
  <si>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</si>
  <si>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</si>
  <si>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</si>
  <si>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</si>
  <si>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</si>
  <si>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</si>
  <si>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</si>
  <si>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</si>
  <si>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</si>
  <si>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</si>
  <si>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</si>
  <si>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</si>
  <si>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</si>
  <si>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</si>
  <si>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</si>
  <si>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</si>
  <si>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</si>
  <si>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</si>
  <si>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</si>
  <si>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</si>
  <si>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</si>
  <si>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</si>
  <si>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</si>
  <si>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</si>
  <si>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</si>
  <si>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</si>
  <si>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</si>
  <si>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</si>
  <si>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</si>
  <si>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</si>
  <si>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</si>
  <si>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</si>
  <si>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</si>
  <si>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</si>
  <si>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</si>
  <si>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</si>
  <si>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</si>
  <si>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</si>
  <si>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</si>
  <si>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</si>
  <si>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</si>
  <si>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</si>
  <si>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</si>
  <si>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</si>
  <si>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</si>
  <si>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</si>
  <si>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</si>
  <si>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</si>
  <si>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</si>
  <si>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</si>
  <si>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</si>
  <si>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</si>
  <si>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</si>
  <si>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</si>
  <si>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</si>
  <si>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</si>
  <si>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</si>
  <si>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</si>
  <si>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</si>
  <si>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</si>
  <si>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</si>
  <si>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</si>
  <si>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</si>
  <si>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</si>
  <si>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</si>
  <si>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</si>
  <si>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</si>
  <si>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</si>
  <si>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</si>
  <si>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</si>
  <si>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</si>
  <si>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</si>
  <si>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</si>
  <si>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</si>
  <si>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</si>
  <si>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</si>
  <si>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</si>
  <si>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</si>
  <si>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</si>
  <si>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</si>
  <si>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</si>
  <si>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</si>
  <si>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</si>
  <si>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</si>
  <si>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</si>
  <si>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</si>
  <si>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</si>
  <si>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</si>
  <si>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</si>
  <si>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</si>
  <si>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</si>
  <si>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</si>
  <si>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</si>
  <si>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</si>
  <si>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</si>
  <si>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</si>
  <si>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</si>
  <si>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</si>
  <si>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</si>
  <si>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</si>
  <si>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</si>
  <si>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</si>
  <si>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</si>
  <si>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</si>
  <si>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</si>
  <si>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</si>
  <si>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</si>
  <si>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</si>
  <si>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</si>
  <si>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</si>
  <si>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</si>
  <si>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</si>
  <si>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</si>
  <si>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</si>
  <si>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</si>
  <si>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</si>
  <si>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</si>
  <si>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</si>
  <si>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</si>
  <si>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</si>
  <si>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</si>
  <si>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</si>
  <si>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</si>
  <si>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</si>
  <si>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</si>
  <si>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</si>
  <si>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</si>
  <si>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</si>
  <si>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</si>
  <si>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</si>
  <si>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</si>
  <si>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</si>
  <si>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</si>
  <si>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</si>
  <si>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</si>
  <si>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</si>
  <si>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</si>
  <si>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</si>
  <si>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</si>
  <si>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</si>
  <si>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</si>
  <si>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</si>
  <si>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</si>
  <si>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</si>
  <si>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</si>
  <si>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</si>
  <si>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</si>
  <si>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</si>
  <si>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</si>
  <si>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</si>
  <si>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</si>
  <si>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</si>
  <si>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</si>
  <si>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</si>
  <si>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</si>
  <si>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</si>
  <si>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</si>
  <si>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</si>
  <si>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</si>
  <si>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</si>
  <si>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</si>
  <si>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</si>
  <si>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</si>
  <si>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</si>
  <si>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</si>
  <si>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</si>
  <si>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</si>
  <si>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</si>
  <si>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</si>
  <si>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</si>
  <si>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</si>
  <si>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</si>
  <si>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</si>
  <si>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</si>
  <si>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</si>
  <si>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</si>
  <si>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</si>
  <si>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</si>
  <si>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</si>
  <si>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</si>
  <si>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</si>
  <si>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</si>
  <si>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</si>
  <si>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</si>
  <si>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</si>
  <si>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</si>
  <si>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</si>
  <si>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</si>
  <si>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</si>
  <si>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</si>
  <si>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</si>
  <si>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</si>
  <si>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</si>
  <si>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</si>
  <si>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</si>
  <si>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</si>
  <si>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</si>
  <si>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</si>
  <si>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</si>
  <si>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</si>
  <si>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</si>
  <si>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</si>
  <si>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</si>
  <si>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</si>
  <si>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</si>
  <si>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</si>
  <si>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</si>
  <si>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</si>
  <si>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</si>
  <si>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</si>
  <si>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</si>
  <si>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</si>
  <si>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</si>
  <si>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</si>
  <si>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</si>
  <si>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</si>
  <si>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</si>
  <si>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</si>
  <si>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</si>
  <si>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</si>
  <si>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</si>
  <si>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</si>
  <si>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</si>
  <si>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</si>
  <si>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</si>
  <si>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</si>
  <si>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</si>
  <si>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</si>
  <si>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</si>
  <si>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</si>
  <si>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</si>
  <si>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</si>
  <si>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</si>
  <si>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</si>
  <si>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</si>
  <si>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</si>
  <si>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</si>
  <si>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</si>
  <si>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</si>
  <si>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</si>
  <si>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</si>
  <si>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</si>
  <si>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</si>
  <si>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</si>
  <si>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</si>
  <si>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</si>
  <si>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</si>
  <si>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</si>
  <si>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</si>
  <si>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</si>
  <si>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</si>
  <si>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</si>
  <si>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</si>
  <si>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</si>
  <si>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</si>
  <si>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</si>
  <si>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</si>
  <si>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</si>
  <si>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</si>
  <si>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</si>
  <si>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</si>
  <si>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</si>
  <si>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</si>
  <si>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</si>
  <si>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</si>
  <si>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</si>
  <si>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</si>
  <si>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</si>
  <si>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</si>
  <si>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</si>
  <si>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</si>
  <si>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</si>
  <si>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</si>
  <si>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</si>
  <si>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</si>
  <si>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</si>
  <si>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</si>
  <si>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</si>
  <si>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</si>
  <si>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</si>
  <si>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</si>
  <si>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</si>
  <si>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</si>
  <si>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</si>
  <si>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</si>
  <si>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</si>
  <si>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</si>
  <si>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</si>
  <si>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</si>
  <si>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</si>
  <si>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</si>
  <si>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</si>
  <si>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</si>
  <si>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</si>
  <si>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</si>
  <si>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</si>
  <si>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</si>
  <si>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</si>
  <si>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</si>
  <si>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</si>
  <si>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</si>
  <si>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</si>
  <si>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</si>
  <si>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</si>
  <si>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</si>
  <si>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</si>
  <si>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</si>
  <si>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</si>
  <si>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</si>
  <si>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</si>
  <si>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</si>
  <si>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</si>
  <si>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</si>
  <si>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</si>
  <si>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</si>
  <si>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</si>
  <si>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</si>
  <si>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</si>
  <si>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</si>
  <si>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</si>
  <si>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</si>
  <si>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</si>
  <si>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</si>
  <si>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</si>
  <si>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</si>
  <si>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</si>
  <si>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</si>
  <si>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</si>
  <si>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</si>
  <si>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</si>
  <si>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</si>
  <si>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</si>
  <si>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</si>
  <si>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</si>
  <si>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</si>
  <si>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</si>
  <si>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</si>
  <si>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</si>
  <si>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</si>
  <si>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</si>
  <si>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</si>
  <si>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</si>
  <si>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</si>
  <si>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</si>
  <si>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</si>
  <si>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</si>
  <si>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</si>
  <si>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</si>
  <si>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</si>
  <si>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</si>
  <si>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</si>
  <si>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</si>
  <si>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</si>
  <si>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</si>
  <si>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</si>
  <si>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</si>
  <si>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</si>
  <si>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</si>
  <si>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</si>
  <si>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</si>
  <si>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</si>
  <si>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</si>
  <si>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</si>
  <si>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</si>
  <si>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</si>
  <si>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</si>
  <si>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</si>
  <si>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</si>
  <si>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</si>
  <si>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</si>
  <si>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</si>
  <si>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</si>
  <si>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</si>
  <si>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</si>
  <si>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</si>
  <si>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</si>
  <si>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</si>
  <si>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</si>
  <si>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</si>
  <si>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</si>
  <si>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</si>
  <si>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</si>
  <si>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</si>
  <si>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</si>
  <si>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</si>
  <si>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</si>
  <si>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</si>
  <si>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</si>
  <si>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</si>
  <si>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</si>
  <si>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</si>
  <si>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</si>
  <si>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</si>
  <si>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</si>
  <si>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</si>
  <si>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</si>
  <si>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</si>
  <si>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</si>
  <si>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</si>
  <si>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</si>
  <si>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</si>
  <si>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</si>
  <si>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</si>
  <si>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</si>
  <si>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</si>
  <si>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</si>
  <si>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</si>
  <si>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</si>
  <si>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</si>
  <si>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</si>
  <si>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</si>
  <si>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</si>
  <si>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</si>
  <si>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</si>
  <si>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</si>
  <si>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</si>
  <si>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</si>
  <si>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</si>
  <si>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</si>
  <si>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</si>
  <si>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</si>
  <si>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</si>
  <si>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</si>
  <si>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</si>
  <si>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</si>
  <si>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</si>
  <si>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</si>
  <si>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</si>
  <si>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</si>
  <si>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</si>
  <si>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</si>
  <si>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</si>
  <si>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</si>
  <si>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</si>
  <si>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</si>
  <si>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</si>
  <si>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</si>
  <si>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</si>
  <si>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</si>
  <si>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</si>
  <si>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</si>
  <si>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</si>
  <si>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</si>
  <si>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</si>
  <si>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</si>
  <si>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</si>
  <si>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</si>
  <si>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</si>
  <si>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</si>
  <si>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</si>
  <si>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</si>
  <si>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</si>
  <si>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</si>
  <si>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</si>
  <si>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</si>
  <si>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</si>
  <si>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</si>
  <si>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</si>
  <si>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</si>
  <si>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</si>
  <si>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</si>
  <si>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</si>
  <si>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</si>
  <si>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</si>
  <si>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</si>
  <si>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</si>
  <si>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</si>
  <si>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</si>
  <si>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</si>
  <si>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</si>
  <si>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</si>
  <si>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</si>
  <si>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</si>
  <si>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</si>
  <si>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</si>
  <si>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</si>
  <si>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</si>
  <si>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</si>
  <si>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</si>
  <si>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</si>
  <si>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</si>
  <si>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</si>
  <si>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</si>
  <si>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</si>
  <si>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</si>
  <si>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</si>
  <si>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</si>
  <si>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</si>
  <si>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</si>
  <si>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</si>
  <si>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</si>
  <si>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</si>
  <si>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</si>
  <si>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</si>
  <si>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</si>
  <si>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</si>
  <si>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</si>
  <si>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</si>
  <si>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</si>
  <si>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</si>
  <si>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</si>
  <si>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</si>
  <si>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</si>
  <si>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</si>
  <si>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</si>
  <si>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</si>
  <si>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</si>
  <si>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</si>
  <si>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</si>
  <si>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</si>
  <si>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</si>
  <si>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</si>
  <si>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</si>
  <si>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</si>
  <si>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</si>
  <si>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</si>
  <si>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</si>
  <si>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</si>
  <si>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</si>
  <si>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</si>
  <si>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</si>
  <si>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</si>
  <si>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</si>
  <si>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</si>
  <si>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</si>
  <si>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</si>
  <si>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</si>
  <si>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</si>
  <si>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</si>
  <si>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</si>
  <si>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</si>
  <si>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</si>
  <si>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</si>
  <si>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</si>
  <si>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</si>
  <si>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</si>
  <si>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</si>
  <si>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</si>
  <si>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</si>
  <si>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</si>
  <si>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</si>
  <si>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</si>
  <si>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</si>
  <si>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</si>
  <si>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</si>
  <si>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</si>
  <si>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</si>
  <si>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</si>
  <si>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</si>
  <si>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</si>
  <si>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</si>
  <si>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</si>
  <si>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</si>
  <si>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</si>
  <si>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</si>
  <si>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</si>
  <si>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</si>
  <si>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</si>
  <si>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</si>
  <si>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</si>
  <si>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</si>
  <si>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</si>
  <si>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</si>
  <si>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</si>
  <si>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</si>
  <si>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</si>
  <si>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</si>
  <si>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</si>
  <si>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</si>
  <si>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</si>
  <si>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</si>
  <si>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</si>
  <si>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</si>
  <si>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</si>
  <si>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</si>
  <si>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</si>
  <si>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</si>
  <si>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</si>
  <si>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</si>
  <si>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</si>
  <si>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</si>
  <si>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</si>
  <si>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</si>
  <si>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</si>
  <si>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</si>
  <si>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</si>
  <si>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</si>
  <si>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</si>
  <si>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</si>
  <si>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</si>
  <si>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</si>
  <si>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</si>
  <si>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</si>
  <si>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</si>
  <si>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</si>
  <si>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</si>
  <si>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</si>
  <si>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</si>
  <si>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</si>
  <si>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</si>
  <si>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</si>
  <si>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</si>
  <si>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</si>
  <si>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</si>
  <si>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</si>
  <si>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</si>
  <si>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</si>
  <si>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</si>
  <si>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</si>
  <si>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</si>
  <si>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</si>
  <si>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</si>
  <si>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</si>
  <si>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</si>
  <si>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</si>
  <si>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</si>
  <si>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</si>
  <si>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</si>
  <si>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</si>
  <si>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</si>
  <si>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</si>
  <si>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</si>
  <si>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</si>
  <si>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</si>
  <si>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</si>
  <si>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</si>
  <si>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</si>
  <si>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</si>
  <si>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</si>
  <si>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</si>
  <si>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</si>
  <si>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</si>
  <si>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</si>
  <si>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</si>
  <si>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</si>
  <si>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</si>
  <si>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</si>
  <si>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</si>
  <si>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</si>
  <si>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</si>
  <si>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</si>
  <si>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</si>
  <si>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</si>
  <si>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</si>
  <si>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</si>
  <si>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</si>
  <si>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</si>
  <si>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</si>
  <si>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</si>
  <si>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</si>
  <si>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</si>
  <si>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</si>
  <si>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</si>
  <si>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</si>
  <si>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</si>
  <si>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</si>
  <si>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</si>
  <si>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</si>
  <si>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</si>
  <si>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</si>
  <si>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</si>
  <si>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</si>
  <si>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</si>
  <si>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</si>
  <si>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</si>
  <si>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</si>
  <si>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</si>
  <si>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</si>
  <si>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</si>
  <si>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</si>
  <si>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</si>
  <si>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</si>
  <si>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</si>
  <si>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</si>
  <si>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</si>
  <si>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</si>
  <si>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</si>
  <si>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</si>
  <si>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</si>
  <si>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</si>
  <si>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</si>
  <si>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</si>
  <si>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</si>
  <si>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</si>
  <si>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</si>
  <si>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</si>
  <si>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</si>
  <si>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</si>
  <si>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</si>
  <si>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</si>
  <si>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</si>
  <si>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</si>
  <si>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</si>
  <si>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</si>
  <si>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</si>
  <si>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</si>
  <si>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</si>
  <si>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</si>
  <si>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</si>
  <si>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</si>
  <si>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</si>
  <si>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</si>
  <si>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</si>
  <si>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</si>
  <si>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</si>
  <si>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</si>
  <si>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</si>
  <si>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</si>
  <si>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</si>
  <si>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</si>
  <si>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</si>
  <si>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</si>
  <si>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</si>
  <si>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</si>
  <si>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</si>
  <si>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</si>
  <si>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</si>
  <si>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</si>
  <si>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</si>
  <si>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</si>
  <si>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</si>
  <si>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</si>
  <si>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</si>
  <si>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</si>
  <si>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</si>
  <si>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</si>
  <si>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</si>
  <si>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</si>
  <si>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</si>
  <si>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</si>
  <si>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</si>
  <si>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</si>
  <si>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</si>
  <si>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</si>
  <si>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</si>
  <si>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</si>
  <si>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</si>
  <si>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</si>
  <si>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</si>
  <si>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</si>
  <si>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</si>
  <si>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</si>
  <si>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</si>
  <si>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</si>
  <si>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</si>
  <si>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</si>
  <si>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</si>
  <si>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</si>
  <si>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</si>
  <si>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</si>
  <si>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</si>
  <si>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</si>
  <si>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</si>
  <si>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</si>
  <si>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</si>
  <si>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</si>
  <si>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</si>
  <si>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</si>
  <si>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</si>
  <si>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</si>
  <si>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</si>
  <si>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</si>
  <si>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</si>
  <si>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</si>
  <si>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</si>
  <si>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</si>
  <si>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</si>
  <si>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</si>
  <si>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</si>
  <si>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</si>
  <si>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</si>
  <si>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</si>
  <si>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</si>
  <si>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</si>
  <si>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</si>
  <si>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</si>
  <si>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</si>
  <si>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</si>
  <si>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</si>
  <si>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</si>
  <si>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</si>
  <si>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</si>
  <si>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</si>
  <si>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</si>
  <si>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</si>
  <si>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</si>
  <si>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</si>
  <si>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</si>
  <si>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</si>
  <si>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</si>
  <si>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</si>
  <si>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</si>
  <si>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</si>
  <si>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</si>
  <si>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</si>
  <si>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</si>
  <si>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</si>
  <si>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</si>
  <si>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</si>
  <si>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</si>
  <si>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</si>
  <si>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</si>
  <si>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</si>
  <si>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</si>
  <si>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</si>
  <si>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</si>
  <si>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</si>
  <si>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</si>
  <si>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</si>
  <si>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</si>
  <si>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</si>
  <si>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</si>
  <si>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</si>
  <si>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</si>
  <si>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</si>
  <si>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</si>
  <si>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</si>
  <si>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</si>
  <si>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</si>
  <si>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</si>
  <si>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</si>
  <si>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</si>
  <si>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</si>
  <si>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</si>
  <si>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</si>
  <si>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</si>
  <si>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</si>
  <si>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</si>
  <si>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</si>
  <si>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</si>
  <si>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</si>
  <si>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</si>
  <si>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</si>
  <si>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</si>
  <si>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</si>
  <si>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</si>
  <si>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</si>
  <si>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</si>
  <si>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</si>
  <si>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</si>
  <si>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</si>
  <si>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</si>
  <si>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</si>
  <si>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</si>
  <si>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</si>
  <si>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</si>
  <si>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</si>
  <si>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</si>
  <si>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</si>
  <si>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</si>
  <si>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</si>
  <si>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</si>
  <si>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</si>
  <si>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</si>
  <si>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</si>
  <si>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</si>
  <si>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</si>
  <si>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</si>
  <si>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</si>
  <si>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</si>
  <si>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</si>
  <si>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</si>
  <si>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</si>
  <si>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</si>
  <si>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</si>
  <si>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</si>
  <si>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</si>
  <si>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</si>
  <si>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</si>
  <si>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</si>
  <si>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</si>
  <si>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</si>
  <si>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</si>
  <si>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</si>
  <si>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</si>
  <si>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</si>
  <si>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</si>
  <si>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</si>
  <si>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</si>
  <si>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</si>
  <si>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</si>
  <si>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</si>
  <si>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</si>
  <si>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</si>
  <si>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</si>
  <si>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</si>
  <si>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</si>
  <si>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</si>
  <si>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</si>
  <si>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</si>
  <si>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</si>
  <si>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</si>
  <si>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</si>
  <si>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</si>
  <si>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</si>
  <si>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</si>
  <si>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</si>
  <si>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</si>
  <si>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</si>
  <si>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</si>
  <si>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</si>
  <si>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</si>
  <si>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</si>
  <si>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</si>
  <si>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</si>
  <si>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</si>
  <si>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</si>
  <si>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</si>
  <si>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</si>
  <si>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</si>
  <si>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</si>
  <si>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</si>
  <si>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</si>
  <si>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</si>
  <si>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</si>
  <si>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</si>
  <si>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</si>
  <si>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</si>
  <si>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</si>
  <si>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</si>
  <si>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</si>
  <si>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</si>
  <si>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</si>
  <si>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</si>
  <si>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</si>
  <si>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</si>
  <si>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</si>
  <si>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</si>
  <si>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</si>
  <si>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</si>
  <si>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</si>
  <si>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</si>
  <si>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</si>
  <si>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</si>
  <si>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</si>
  <si>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</si>
  <si>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</si>
  <si>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</si>
  <si>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</si>
  <si>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</si>
  <si>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</si>
  <si>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</si>
  <si>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</si>
  <si>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</si>
  <si>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</si>
  <si>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</si>
  <si>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</si>
  <si>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</si>
  <si>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</si>
  <si>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</si>
  <si>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</si>
  <si>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</si>
  <si>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</si>
  <si>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</si>
  <si>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</si>
  <si>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</si>
  <si>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</si>
  <si>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</si>
  <si>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</si>
  <si>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</si>
  <si>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</si>
  <si>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</si>
  <si>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</si>
  <si>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</si>
  <si>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</si>
  <si>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</si>
  <si>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</si>
  <si>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</si>
  <si>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</si>
  <si>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</si>
  <si>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</si>
  <si>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</si>
  <si>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</si>
  <si>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</si>
  <si>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</si>
  <si>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</si>
  <si>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</si>
  <si>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</si>
  <si>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</si>
  <si>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</si>
  <si>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</si>
  <si>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</si>
  <si>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</si>
  <si>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</si>
  <si>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</si>
  <si>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</si>
  <si>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</si>
  <si>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</si>
  <si>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</si>
  <si>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</si>
  <si>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</si>
  <si>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</si>
  <si>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</si>
  <si>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</si>
  <si>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</si>
  <si>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</si>
  <si>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</si>
  <si>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</si>
  <si>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</si>
  <si>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</si>
  <si>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</si>
  <si>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</si>
  <si>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</si>
  <si>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</si>
  <si>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</si>
  <si>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</si>
  <si>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</si>
  <si>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</si>
  <si>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</si>
  <si>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</si>
  <si>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</si>
  <si>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</si>
  <si>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</si>
  <si>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</si>
  <si>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</si>
  <si>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</si>
  <si>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</si>
  <si>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</si>
  <si>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</si>
  <si>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</si>
  <si>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</si>
  <si>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</si>
  <si>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</si>
  <si>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</si>
  <si>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</si>
  <si>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</si>
  <si>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</si>
  <si>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</si>
  <si>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</si>
  <si>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</si>
  <si>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</si>
  <si>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</si>
  <si>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</si>
  <si>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</si>
  <si>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</si>
  <si>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</si>
  <si>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</si>
  <si>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</si>
  <si>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</si>
  <si>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</si>
  <si>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</si>
  <si>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</si>
  <si>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</si>
  <si>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</si>
  <si>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</si>
  <si>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</si>
  <si>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</si>
  <si>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</si>
  <si>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</si>
  <si>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</si>
  <si>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</si>
  <si>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</si>
  <si>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</si>
  <si>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</si>
  <si>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</si>
  <si>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</si>
  <si>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</si>
  <si>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</si>
  <si>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</si>
  <si>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</si>
  <si>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</si>
  <si>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</si>
  <si>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</si>
  <si>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</si>
  <si>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</si>
  <si>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</si>
  <si>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</si>
  <si>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</si>
  <si>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</si>
  <si>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</si>
  <si>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</si>
  <si>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</si>
  <si>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</si>
  <si>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</si>
  <si>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</si>
  <si>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</si>
  <si>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</si>
  <si>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</si>
  <si>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</si>
  <si>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</si>
  <si>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</si>
  <si>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</si>
  <si>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</si>
  <si>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</si>
  <si>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</si>
  <si>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</si>
  <si>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</si>
  <si>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</si>
  <si>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</si>
  <si>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</si>
  <si>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</si>
  <si>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</si>
  <si>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</si>
  <si>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</si>
  <si>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</si>
  <si>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</si>
  <si>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</si>
  <si>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</si>
  <si>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</si>
  <si>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</si>
  <si>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</si>
  <si>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</si>
  <si>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</si>
  <si>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</si>
  <si>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</si>
  <si>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</si>
  <si>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</si>
  <si>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</si>
  <si>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</si>
  <si>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</si>
  <si>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</si>
  <si>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</si>
  <si>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</si>
  <si>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</si>
  <si>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</si>
  <si>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</si>
  <si>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</si>
  <si>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</si>
  <si>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</si>
  <si>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</si>
  <si>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</si>
  <si>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</si>
  <si>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</si>
  <si>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</si>
  <si>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</si>
  <si>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</si>
  <si>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</si>
  <si>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</si>
  <si>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</si>
  <si>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</si>
  <si>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</si>
  <si>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</si>
  <si>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</si>
  <si>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</si>
  <si>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</si>
  <si>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</si>
  <si>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</si>
  <si>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</si>
  <si>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</si>
  <si>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</si>
  <si>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</si>
  <si>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</si>
  <si>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</si>
  <si>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</si>
  <si>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</si>
  <si>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</si>
  <si>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</si>
  <si>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</si>
  <si>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</si>
  <si>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</si>
  <si>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</si>
  <si>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</si>
  <si>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</si>
  <si>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</si>
  <si>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</si>
  <si>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</si>
  <si>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</si>
  <si>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</si>
  <si>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</si>
  <si>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</si>
  <si>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</si>
  <si>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</si>
  <si>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</si>
  <si>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</si>
  <si>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</si>
  <si>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</si>
  <si>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</si>
  <si>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</si>
  <si>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</si>
  <si>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</si>
  <si>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</si>
  <si>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</si>
  <si>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</si>
  <si>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</si>
  <si>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</si>
  <si>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</si>
  <si>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</si>
  <si>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</si>
  <si>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</si>
  <si>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</si>
  <si>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</si>
  <si>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</si>
  <si>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</si>
  <si>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</si>
  <si>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</si>
  <si>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</si>
  <si>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</si>
  <si>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</si>
  <si>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</si>
  <si>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</si>
  <si>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</si>
  <si>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</si>
  <si>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</si>
  <si>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</si>
  <si>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</si>
  <si>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</si>
  <si>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</si>
  <si>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</si>
  <si>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</si>
  <si>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</si>
  <si>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</si>
  <si>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</si>
  <si>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</si>
  <si>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</si>
  <si>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</si>
  <si>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</si>
  <si>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</si>
  <si>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</si>
  <si>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</si>
  <si>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</si>
  <si>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</si>
  <si>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</si>
  <si>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</si>
  <si>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</si>
  <si>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</si>
  <si>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</si>
  <si>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</si>
  <si>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</si>
  <si>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</si>
  <si>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</si>
  <si>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</si>
  <si>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</si>
  <si>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</si>
  <si>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</si>
  <si>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</si>
  <si>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</si>
  <si>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</si>
  <si>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</si>
  <si>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</si>
  <si>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</si>
  <si>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</si>
  <si>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</si>
  <si>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</si>
  <si>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</si>
  <si>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</si>
  <si>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</si>
  <si>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</si>
  <si>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</si>
  <si>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</si>
  <si>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</si>
  <si>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</si>
  <si>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</si>
  <si>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</si>
  <si>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</si>
  <si>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</si>
  <si>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</si>
  <si>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</si>
  <si>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</si>
  <si>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</si>
  <si>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</si>
  <si>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</si>
  <si>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</si>
  <si>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</si>
  <si>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</si>
  <si>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</si>
  <si>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</si>
  <si>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</si>
  <si>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</si>
  <si>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</si>
  <si>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</si>
  <si>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</si>
  <si>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</si>
  <si>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</si>
  <si>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</si>
  <si>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</si>
  <si>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</si>
  <si>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</si>
  <si>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</si>
  <si>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</si>
  <si>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</si>
  <si>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</si>
  <si>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</si>
  <si>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</si>
  <si>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</si>
  <si>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</si>
  <si>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</si>
  <si>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</si>
  <si>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</si>
  <si>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</si>
  <si>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</si>
  <si>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</si>
  <si>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</si>
  <si>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</si>
  <si>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</si>
  <si>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</si>
  <si>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</si>
  <si>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</si>
  <si>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</si>
  <si>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</si>
  <si>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</si>
  <si>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</si>
  <si>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</si>
  <si>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</si>
  <si>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</si>
  <si>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</si>
  <si>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</si>
  <si>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</si>
  <si>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</si>
  <si>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</si>
  <si>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</si>
  <si>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</si>
  <si>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</si>
  <si>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</si>
  <si>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</si>
  <si>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</si>
  <si>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</si>
  <si>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</si>
  <si>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</si>
  <si>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</si>
  <si>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</si>
  <si>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</si>
  <si>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</si>
  <si>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</si>
  <si>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</si>
  <si>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</si>
  <si>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</si>
  <si>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</si>
  <si>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</si>
  <si>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</si>
  <si>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</si>
  <si>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</si>
  <si>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</si>
  <si>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</si>
  <si>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</si>
  <si>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</si>
  <si>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</si>
  <si>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</si>
  <si>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</si>
  <si>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</si>
  <si>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</si>
  <si>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</si>
  <si>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</si>
  <si>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</si>
  <si>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</si>
  <si>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</si>
  <si>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</si>
  <si>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</si>
  <si>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</si>
  <si>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</si>
  <si>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</si>
  <si>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</si>
  <si>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</si>
  <si>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</si>
  <si>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</si>
  <si>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</si>
  <si>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</si>
  <si>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</si>
  <si>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</si>
  <si>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</si>
  <si>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</si>
  <si>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</si>
  <si>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</si>
  <si>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</si>
  <si>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</si>
  <si>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</si>
  <si>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</si>
  <si>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</si>
  <si>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</si>
  <si>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</si>
  <si>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</si>
  <si>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</si>
  <si>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</si>
  <si>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</si>
  <si>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</si>
  <si>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</si>
  <si>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</si>
  <si>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</si>
  <si>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</si>
  <si>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</si>
  <si>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</si>
  <si>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</si>
  <si>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</si>
  <si>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</si>
  <si>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</si>
  <si>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</si>
  <si>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</si>
  <si>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</si>
  <si>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</si>
  <si>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</si>
  <si>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</si>
  <si>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</si>
  <si>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</si>
  <si>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</si>
  <si>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</si>
  <si>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</si>
  <si>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</si>
  <si>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</si>
  <si>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</si>
  <si>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</si>
  <si>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</si>
  <si>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</si>
  <si>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</si>
  <si>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</si>
  <si>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</si>
  <si>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</si>
  <si>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</si>
  <si>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</si>
  <si>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</si>
  <si>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</si>
  <si>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</si>
  <si>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</si>
  <si>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</si>
  <si>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</si>
  <si>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</si>
  <si>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</si>
  <si>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</si>
  <si>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</si>
  <si>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</si>
  <si>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</si>
  <si>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</si>
  <si>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</si>
  <si>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</si>
  <si>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</si>
  <si>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</si>
  <si>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</si>
  <si>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</si>
  <si>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</si>
  <si>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</si>
  <si>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</si>
  <si>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</si>
  <si>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</si>
  <si>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</si>
  <si>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</si>
  <si>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</si>
  <si>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</si>
  <si>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</si>
  <si>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</si>
  <si>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</si>
  <si>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</si>
  <si>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</si>
  <si>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</si>
  <si>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</si>
  <si>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</si>
  <si>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</si>
  <si>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</si>
  <si>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</si>
  <si>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</si>
  <si>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</si>
  <si>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</si>
  <si>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</si>
  <si>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</si>
  <si>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</si>
  <si>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</si>
  <si>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</si>
  <si>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</si>
  <si>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</si>
  <si>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</si>
  <si>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</si>
  <si>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</si>
  <si>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</si>
  <si>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</si>
  <si>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</si>
  <si>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</si>
  <si>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</si>
  <si>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</si>
  <si>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</si>
  <si>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</si>
  <si>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</si>
  <si>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</si>
  <si>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</si>
  <si>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</si>
  <si>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</si>
  <si>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</si>
  <si>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</si>
  <si>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</si>
  <si>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</si>
  <si>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</si>
  <si>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</si>
  <si>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</si>
  <si>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</si>
  <si>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</si>
  <si>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</si>
  <si>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</si>
  <si>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</si>
  <si>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</si>
  <si>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</si>
  <si>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</si>
  <si>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</si>
  <si>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</si>
  <si>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</si>
  <si>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</si>
  <si>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</si>
  <si>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</si>
  <si>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</si>
  <si>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</si>
  <si>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</si>
  <si>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</si>
  <si>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</si>
  <si>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</si>
  <si>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</si>
  <si>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</si>
  <si>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</si>
  <si>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</si>
  <si>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</si>
  <si>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</si>
  <si>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</si>
  <si>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</si>
  <si>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</si>
  <si>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</si>
  <si>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</si>
  <si>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</si>
  <si>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</si>
  <si>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</si>
  <si>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</si>
  <si>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</si>
  <si>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</si>
  <si>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</si>
  <si>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</si>
  <si>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</si>
  <si>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</si>
  <si>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</si>
  <si>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</si>
  <si>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</si>
  <si>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</si>
  <si>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</si>
  <si>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</si>
  <si>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</si>
  <si>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</si>
  <si>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</si>
  <si>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</si>
  <si>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</si>
  <si>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</si>
  <si>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</si>
  <si>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</si>
  <si>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</si>
  <si>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</si>
  <si>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</si>
  <si>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</si>
  <si>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</si>
  <si>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</si>
  <si>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</si>
  <si>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</si>
  <si>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</si>
  <si>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</si>
  <si>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</si>
  <si>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</si>
  <si>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</si>
  <si>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</si>
  <si>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</si>
  <si>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</si>
  <si>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</si>
  <si>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</si>
  <si>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</si>
  <si>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</si>
  <si>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</si>
  <si>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</si>
  <si>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</si>
  <si>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</si>
  <si>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</si>
  <si>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</si>
  <si>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</si>
  <si>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</si>
  <si>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</si>
  <si>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</si>
  <si>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</si>
  <si>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</si>
  <si>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</si>
  <si>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</si>
  <si>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</si>
  <si>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</si>
  <si>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</si>
  <si>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</si>
  <si>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</si>
  <si>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</si>
  <si>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</si>
  <si>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</si>
  <si>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</si>
  <si>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</si>
  <si>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</si>
  <si>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</si>
  <si>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</si>
  <si>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</si>
  <si>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</si>
  <si>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</si>
  <si>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</si>
  <si>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</si>
  <si>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</si>
  <si>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</si>
  <si>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</si>
  <si>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</si>
  <si>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</si>
  <si>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</si>
  <si>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</si>
  <si>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</si>
  <si>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</si>
  <si>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</si>
  <si>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</si>
  <si>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</si>
  <si>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</si>
  <si>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</si>
  <si>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</si>
  <si>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</si>
  <si>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</si>
  <si>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</si>
  <si>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</si>
  <si>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</si>
  <si>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</si>
  <si>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</si>
  <si>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</si>
  <si>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</si>
  <si>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</si>
  <si>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</si>
  <si>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</si>
  <si>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</si>
  <si>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</si>
  <si>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</si>
  <si>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</si>
  <si>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</si>
  <si>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</si>
  <si>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</si>
  <si>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</si>
  <si>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</si>
  <si>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</si>
  <si>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</si>
  <si>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</si>
  <si>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</si>
  <si>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</si>
  <si>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</si>
  <si>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</si>
  <si>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</si>
  <si>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</si>
  <si>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</si>
  <si>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</si>
  <si>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</si>
  <si>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</si>
  <si>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</si>
  <si>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</si>
  <si>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</si>
  <si>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</si>
  <si>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</si>
  <si>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</si>
  <si>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</si>
  <si>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</si>
  <si>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</si>
  <si>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</si>
  <si>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</si>
  <si>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</si>
  <si>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</si>
  <si>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</si>
  <si>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</si>
  <si>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</si>
  <si>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</si>
  <si>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</si>
  <si>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</si>
  <si>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</si>
  <si>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</si>
  <si>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</si>
  <si>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</si>
  <si>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</si>
  <si>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</si>
  <si>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</si>
  <si>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</si>
  <si>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</si>
  <si>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</si>
  <si>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</si>
  <si>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</si>
  <si>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</si>
  <si>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</si>
  <si>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</si>
  <si>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</si>
  <si>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</si>
  <si>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</si>
  <si>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</si>
  <si>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</si>
  <si>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</si>
  <si>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</si>
  <si>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</si>
  <si>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</si>
  <si>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</si>
  <si>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</si>
  <si>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</si>
  <si>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</si>
  <si>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</si>
  <si>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</si>
  <si>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</si>
  <si>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</si>
  <si>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</si>
  <si>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</si>
  <si>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</si>
  <si>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</si>
  <si>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</si>
  <si>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</si>
  <si>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</si>
  <si>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</si>
  <si>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</si>
  <si>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</si>
  <si>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</si>
  <si>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</si>
  <si>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</si>
  <si>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</si>
  <si>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</si>
  <si>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</si>
  <si>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</si>
  <si>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</si>
  <si>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</si>
  <si>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</si>
  <si>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</si>
  <si>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</si>
  <si>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</si>
  <si>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</si>
  <si>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</si>
  <si>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</si>
  <si>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</si>
  <si>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</si>
  <si>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</si>
  <si>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</si>
  <si>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</si>
  <si>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</si>
  <si>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</si>
  <si>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</si>
  <si>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</si>
  <si>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</si>
  <si>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</si>
  <si>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</si>
  <si>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</si>
  <si>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</si>
  <si>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</si>
  <si>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</si>
  <si>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</si>
  <si>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</si>
  <si>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</si>
  <si>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</si>
  <si>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</si>
  <si>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</si>
  <si>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</si>
  <si>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</si>
  <si>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</si>
  <si>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</si>
  <si>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</si>
  <si>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</si>
  <si>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</si>
  <si>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</si>
  <si>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</si>
  <si>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</si>
  <si>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</si>
  <si>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</si>
  <si>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</si>
  <si>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</si>
  <si>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</si>
  <si>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</si>
  <si>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</si>
  <si>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</si>
  <si>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</si>
  <si>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</si>
  <si>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</si>
  <si>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</si>
  <si>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</si>
  <si>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</si>
  <si>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</si>
  <si>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</si>
  <si>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</si>
  <si>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</si>
  <si>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</si>
  <si>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</si>
  <si>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</si>
  <si>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</si>
  <si>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</si>
  <si>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</si>
  <si>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</si>
  <si>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</si>
  <si>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</si>
  <si>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</si>
  <si>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</si>
  <si>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</si>
  <si>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</si>
  <si>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</si>
  <si>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</si>
  <si>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</si>
  <si>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</si>
  <si>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</si>
  <si>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</si>
  <si>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</si>
  <si>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</si>
  <si>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</si>
  <si>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</si>
  <si>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</si>
  <si>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</si>
  <si>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</si>
  <si>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</si>
  <si>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</si>
  <si>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</si>
  <si>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</si>
  <si>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</si>
  <si>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</si>
  <si>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</si>
  <si>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</si>
  <si>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</si>
  <si>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</si>
  <si>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</si>
  <si>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</si>
  <si>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</si>
  <si>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</si>
  <si>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</si>
  <si>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</si>
  <si>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</si>
  <si>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</si>
  <si>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</si>
  <si>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</si>
  <si>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</si>
  <si>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</si>
  <si>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</si>
  <si>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</si>
  <si>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</si>
  <si>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</si>
  <si>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</si>
  <si>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</si>
  <si>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</si>
  <si>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</si>
  <si>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</si>
  <si>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</si>
  <si>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</si>
  <si>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</si>
  <si>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</si>
  <si>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</si>
  <si>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</si>
  <si>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</si>
  <si>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</si>
  <si>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</si>
  <si>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</si>
  <si>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</si>
  <si>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</si>
  <si>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</si>
  <si>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</si>
  <si>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</si>
  <si>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</si>
  <si>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</si>
  <si>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</si>
  <si>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</si>
  <si>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</si>
  <si>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</si>
  <si>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</si>
  <si>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</si>
  <si>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</si>
  <si>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</si>
  <si>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</si>
  <si>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</si>
  <si>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</si>
  <si>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</si>
  <si>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</si>
  <si>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</si>
  <si>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2020:2019</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</si>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</sst>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cellStyleXfs>
  <cellXfs count="135">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164"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14" fontId="0" fillId="0" borderId="0" xfId="0" applyNumberFormat="1"/>
    <xf numFmtId="0" fontId="0" fillId="0" borderId="0" xfId="0"/>
    <xf numFmtId="0" fontId="58" fillId="0" borderId="2" xfId="2" applyFont="1">
      <alignment wrapText="1"/>
    </xf>
    <xf numFmtId="0" fontId="0" fillId="0" borderId="2" xfId="0" applyBorder="1"/>
    <xf numFmtId="0" fontId="3" fillId="0" borderId="2" xfId="2">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9"/>
  <sheetViews>
    <sheetView workbookViewId="0">
      <selection activeCell="A95" sqref="A95:XFD95"/>
    </sheetView>
  </sheetViews>
  <sheetFormatPr defaultRowHeight="14.5"/>
  <cols>
    <col min="1" max="1" width="13.36328125" customWidth="1"/>
    <col min="2" max="2" width="107.36328125" customWidth="1"/>
  </cols>
  <sheetData>
    <row r="1" spans="1:3">
      <c r="A1" s="1" t="s">
        <v>0</v>
      </c>
      <c r="B1" t="s">
        <v>3418</v>
      </c>
      <c r="C1" s="130">
        <v>44834</v>
      </c>
    </row>
    <row r="3" spans="1:3">
      <c r="A3" s="1" t="s">
        <v>1</v>
      </c>
      <c r="B3" s="2" t="s">
        <v>503</v>
      </c>
    </row>
    <row r="4" spans="1:3">
      <c r="B4" t="s">
        <v>473</v>
      </c>
    </row>
    <row r="5" spans="1:3">
      <c r="B5" s="5" t="s">
        <v>3321</v>
      </c>
    </row>
    <row r="6" spans="1:3">
      <c r="B6" t="s">
        <v>3322</v>
      </c>
    </row>
    <row r="7" spans="1:3">
      <c r="B7" t="s">
        <v>474</v>
      </c>
    </row>
    <row r="8" spans="1:3">
      <c r="B8" t="s">
        <v>3323</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9" t="s">
        <v>871</v>
      </c>
    </row>
    <row r="27" spans="2:2">
      <c r="B27" t="s">
        <v>833</v>
      </c>
    </row>
    <row r="29" spans="2:2">
      <c r="B29" s="2" t="s">
        <v>1100</v>
      </c>
    </row>
    <row r="30" spans="2:2">
      <c r="B30" t="s">
        <v>1101</v>
      </c>
    </row>
    <row r="31" spans="2:2">
      <c r="B31" s="5">
        <v>2018</v>
      </c>
    </row>
    <row r="32" spans="2:2">
      <c r="B32" t="s">
        <v>1102</v>
      </c>
    </row>
    <row r="33" spans="1:2">
      <c r="B33" s="19" t="s">
        <v>1103</v>
      </c>
    </row>
    <row r="34" spans="1:2">
      <c r="B34" t="s">
        <v>1104</v>
      </c>
    </row>
    <row r="36" spans="1:2">
      <c r="A36" s="1" t="s">
        <v>111</v>
      </c>
    </row>
    <row r="37" spans="1:2">
      <c r="A37" t="s">
        <v>855</v>
      </c>
    </row>
    <row r="39" spans="1:2">
      <c r="A39" s="1" t="s">
        <v>595</v>
      </c>
    </row>
    <row r="40" spans="1:2">
      <c r="A40" s="8" t="s">
        <v>3324</v>
      </c>
    </row>
    <row r="41" spans="1:2">
      <c r="A41" t="s">
        <v>3318</v>
      </c>
    </row>
    <row r="42" spans="1:2">
      <c r="A42" t="s">
        <v>3319</v>
      </c>
    </row>
    <row r="43" spans="1:2">
      <c r="A43" t="s">
        <v>3320</v>
      </c>
    </row>
    <row r="45" spans="1:2">
      <c r="A45" s="1" t="s">
        <v>3063</v>
      </c>
    </row>
    <row r="46" spans="1:2">
      <c r="A46" s="8" t="s">
        <v>3064</v>
      </c>
    </row>
    <row r="47" spans="1:2">
      <c r="A47" t="s">
        <v>3377</v>
      </c>
    </row>
    <row r="48" spans="1:2">
      <c r="A48" t="s">
        <v>3378</v>
      </c>
    </row>
    <row r="49" spans="1:1">
      <c r="A49" s="8"/>
    </row>
    <row r="50" spans="1:1">
      <c r="A50" t="s">
        <v>3060</v>
      </c>
    </row>
    <row r="51" spans="1:1">
      <c r="A51" t="s">
        <v>3061</v>
      </c>
    </row>
    <row r="52" spans="1:1">
      <c r="A52" t="s">
        <v>3379</v>
      </c>
    </row>
    <row r="54" spans="1:1">
      <c r="A54" t="s">
        <v>3315</v>
      </c>
    </row>
    <row r="55" spans="1:1">
      <c r="A55" t="s">
        <v>3316</v>
      </c>
    </row>
    <row r="56" spans="1:1">
      <c r="A56" t="s">
        <v>3317</v>
      </c>
    </row>
    <row r="57" spans="1:1">
      <c r="A57" t="s">
        <v>3381</v>
      </c>
    </row>
    <row r="58" spans="1:1">
      <c r="A58" t="s">
        <v>3382</v>
      </c>
    </row>
    <row r="60" spans="1:1">
      <c r="A60" s="1" t="s">
        <v>597</v>
      </c>
    </row>
    <row r="61" spans="1:1">
      <c r="A61" s="8" t="s">
        <v>1114</v>
      </c>
    </row>
    <row r="62" spans="1:1">
      <c r="A62" t="s">
        <v>3380</v>
      </c>
    </row>
    <row r="63" spans="1:1">
      <c r="A63" t="s">
        <v>3383</v>
      </c>
    </row>
    <row r="64" spans="1:1">
      <c r="A64" t="s">
        <v>3384</v>
      </c>
    </row>
    <row r="65" spans="1:1">
      <c r="A65" s="8"/>
    </row>
    <row r="66" spans="1:1">
      <c r="A66" s="1" t="s">
        <v>509</v>
      </c>
    </row>
    <row r="67" spans="1:1">
      <c r="A67" s="8" t="s">
        <v>501</v>
      </c>
    </row>
    <row r="68" spans="1:1">
      <c r="A68" t="s">
        <v>3385</v>
      </c>
    </row>
    <row r="69" spans="1:1">
      <c r="A69" t="s">
        <v>3386</v>
      </c>
    </row>
    <row r="71" spans="1:1">
      <c r="A71" s="1" t="s">
        <v>504</v>
      </c>
    </row>
    <row r="72" spans="1:1">
      <c r="A72" s="8" t="s">
        <v>502</v>
      </c>
    </row>
    <row r="73" spans="1:1">
      <c r="A73" t="s">
        <v>505</v>
      </c>
    </row>
    <row r="74" spans="1:1">
      <c r="A74" t="s">
        <v>506</v>
      </c>
    </row>
    <row r="75" spans="1:1">
      <c r="A75" t="s">
        <v>507</v>
      </c>
    </row>
    <row r="77" spans="1:1">
      <c r="A77" s="1" t="s">
        <v>508</v>
      </c>
    </row>
    <row r="78" spans="1:1">
      <c r="A78" s="8" t="s">
        <v>1113</v>
      </c>
    </row>
    <row r="79" spans="1:1">
      <c r="A79" t="s">
        <v>1110</v>
      </c>
    </row>
    <row r="80" spans="1:1">
      <c r="A80" t="s">
        <v>1111</v>
      </c>
    </row>
    <row r="81" spans="1:1">
      <c r="A81" t="s">
        <v>1112</v>
      </c>
    </row>
    <row r="82" spans="1:1">
      <c r="A82" s="8"/>
    </row>
    <row r="83" spans="1:1">
      <c r="A83" s="1" t="s">
        <v>477</v>
      </c>
    </row>
    <row r="84" spans="1:1">
      <c r="A84" s="8" t="s">
        <v>502</v>
      </c>
    </row>
    <row r="85" spans="1:1">
      <c r="A85" t="s">
        <v>478</v>
      </c>
    </row>
    <row r="86" spans="1:1">
      <c r="A86" t="s">
        <v>1116</v>
      </c>
    </row>
    <row r="87" spans="1:1">
      <c r="A87" t="s">
        <v>1117</v>
      </c>
    </row>
    <row r="88" spans="1:1">
      <c r="A88" t="s">
        <v>1118</v>
      </c>
    </row>
    <row r="89" spans="1:1">
      <c r="A89" t="s">
        <v>1115</v>
      </c>
    </row>
    <row r="90" spans="1:1">
      <c r="A90" t="s">
        <v>480</v>
      </c>
    </row>
    <row r="91" spans="1:1">
      <c r="A91" t="s">
        <v>479</v>
      </c>
    </row>
    <row r="93" spans="1:1">
      <c r="A93" s="1" t="s">
        <v>3387</v>
      </c>
    </row>
    <row r="94" spans="1:1">
      <c r="A94" t="s">
        <v>3388</v>
      </c>
    </row>
    <row r="95" spans="1:1">
      <c r="A95" s="1"/>
    </row>
    <row r="96" spans="1:1">
      <c r="A96" s="1" t="s">
        <v>540</v>
      </c>
    </row>
    <row r="97" spans="1:2">
      <c r="A97" t="s">
        <v>541</v>
      </c>
    </row>
    <row r="99" spans="1:2">
      <c r="A99" t="s">
        <v>860</v>
      </c>
      <c r="B99">
        <v>2019</v>
      </c>
    </row>
  </sheetData>
  <hyperlinks>
    <hyperlink ref="B25" r:id="rId1" xr:uid="{00000000-0004-0000-0000-000000000000}"/>
    <hyperlink ref="B33"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265625" customWidth="1"/>
    <col min="2" max="2" width="49" customWidth="1"/>
  </cols>
  <sheetData>
    <row r="1" spans="1:34" ht="15" customHeight="1" thickBot="1">
      <c r="B1" s="21" t="s">
        <v>1175</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110</v>
      </c>
      <c r="D3" s="104" t="s">
        <v>1176</v>
      </c>
      <c r="E3" s="105"/>
      <c r="F3" s="105"/>
      <c r="G3" s="105"/>
      <c r="H3" s="105"/>
    </row>
    <row r="4" spans="1:34" ht="15" customHeight="1">
      <c r="C4" s="104" t="s">
        <v>109</v>
      </c>
      <c r="D4" s="104" t="s">
        <v>1177</v>
      </c>
      <c r="E4" s="105"/>
      <c r="F4" s="105"/>
      <c r="G4" s="104" t="s">
        <v>108</v>
      </c>
      <c r="H4" s="105"/>
    </row>
    <row r="5" spans="1:34" ht="15" customHeight="1">
      <c r="C5" s="104" t="s">
        <v>107</v>
      </c>
      <c r="D5" s="104" t="s">
        <v>1178</v>
      </c>
      <c r="E5" s="105"/>
      <c r="F5" s="105"/>
      <c r="G5" s="105"/>
      <c r="H5" s="105"/>
    </row>
    <row r="6" spans="1:34" ht="15" customHeight="1">
      <c r="C6" s="104" t="s">
        <v>106</v>
      </c>
      <c r="D6" s="105"/>
      <c r="E6" s="104" t="s">
        <v>1179</v>
      </c>
      <c r="F6" s="105"/>
      <c r="G6" s="105"/>
      <c r="H6" s="105"/>
    </row>
    <row r="7" spans="1:34" ht="15" customHeight="1">
      <c r="C7" s="105"/>
      <c r="D7" s="105"/>
      <c r="E7" s="105"/>
      <c r="F7" s="105"/>
      <c r="G7" s="105"/>
      <c r="H7" s="105"/>
    </row>
    <row r="10" spans="1:34" ht="15" customHeight="1">
      <c r="A10" s="15" t="s">
        <v>105</v>
      </c>
      <c r="B10" s="24" t="s">
        <v>104</v>
      </c>
      <c r="AH10" s="106" t="s">
        <v>1180</v>
      </c>
    </row>
    <row r="11" spans="1:34" ht="15" customHeight="1">
      <c r="B11" s="21"/>
      <c r="AH11" s="106" t="s">
        <v>1181</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1182</v>
      </c>
    </row>
    <row r="13" spans="1:34" ht="15" customHeight="1" thickBot="1">
      <c r="B13" s="22" t="s">
        <v>103</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1183</v>
      </c>
    </row>
    <row r="14" spans="1:34" ht="15" customHeight="1" thickTop="1"/>
    <row r="15" spans="1:34" ht="15" customHeight="1">
      <c r="B15" s="25" t="s">
        <v>102</v>
      </c>
    </row>
    <row r="16" spans="1:34" ht="15" customHeight="1">
      <c r="B16" s="25" t="s">
        <v>101</v>
      </c>
    </row>
    <row r="17" spans="1:34" ht="15" customHeight="1">
      <c r="B17" s="25" t="s">
        <v>100</v>
      </c>
    </row>
    <row r="18" spans="1:34" ht="15" customHeight="1">
      <c r="A18" s="15" t="s">
        <v>99</v>
      </c>
      <c r="B18" s="32" t="s">
        <v>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97</v>
      </c>
      <c r="B19" s="32" t="s">
        <v>96</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95</v>
      </c>
      <c r="B20" s="32" t="s">
        <v>94</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840</v>
      </c>
    </row>
    <row r="22" spans="1:34" ht="15" customHeight="1">
      <c r="A22" s="15" t="s">
        <v>834</v>
      </c>
      <c r="B22" s="32" t="s">
        <v>835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836</v>
      </c>
      <c r="B23" s="32" t="s">
        <v>837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93</v>
      </c>
    </row>
    <row r="25" spans="1:34" ht="15" customHeight="1">
      <c r="A25" s="15" t="s">
        <v>92</v>
      </c>
      <c r="B25" s="32" t="s">
        <v>91</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90</v>
      </c>
    </row>
    <row r="27" spans="1:34" ht="15" customHeight="1">
      <c r="A27" s="15" t="s">
        <v>89</v>
      </c>
      <c r="B27" s="32" t="s">
        <v>48</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88</v>
      </c>
      <c r="B28" s="32" t="s">
        <v>46</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87</v>
      </c>
    </row>
    <row r="31" spans="1:34" ht="14.5">
      <c r="B31" s="25" t="s">
        <v>86</v>
      </c>
    </row>
    <row r="32" spans="1:34" ht="14.5">
      <c r="A32" s="15" t="s">
        <v>85</v>
      </c>
      <c r="B32" s="32" t="s">
        <v>84</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4.5">
      <c r="A33" s="15" t="s">
        <v>83</v>
      </c>
      <c r="B33" s="32" t="s">
        <v>82</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4.5">
      <c r="A34" s="15" t="s">
        <v>81</v>
      </c>
      <c r="B34" s="32" t="s">
        <v>80</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4.5">
      <c r="A35" s="15" t="s">
        <v>79</v>
      </c>
      <c r="B35" s="32" t="s">
        <v>78</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4.5">
      <c r="A36" s="15" t="s">
        <v>77</v>
      </c>
      <c r="B36" s="32" t="s">
        <v>76</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4.5">
      <c r="A37" s="15" t="s">
        <v>75</v>
      </c>
      <c r="B37" s="32" t="s">
        <v>74</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4.5">
      <c r="A38" s="15" t="s">
        <v>73</v>
      </c>
      <c r="B38" s="32" t="s">
        <v>72</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4.5">
      <c r="A39" s="15" t="s">
        <v>71</v>
      </c>
      <c r="B39" s="32" t="s">
        <v>70</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4.5">
      <c r="A40" s="15" t="s">
        <v>69</v>
      </c>
      <c r="B40" s="32" t="s">
        <v>68</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4.5">
      <c r="A41" s="15" t="s">
        <v>67</v>
      </c>
      <c r="B41" s="32" t="s">
        <v>66</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4.5">
      <c r="A42" s="15" t="s">
        <v>65</v>
      </c>
      <c r="B42" s="32" t="s">
        <v>64</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4.5">
      <c r="A43" s="15" t="s">
        <v>63</v>
      </c>
      <c r="B43" s="32" t="s">
        <v>62</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4.5">
      <c r="A44" s="15" t="s">
        <v>61</v>
      </c>
      <c r="B44" s="32" t="s">
        <v>60</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4.5">
      <c r="A45" s="15" t="s">
        <v>59</v>
      </c>
      <c r="B45" s="32" t="s">
        <v>58</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4.5">
      <c r="A46" s="15" t="s">
        <v>57</v>
      </c>
      <c r="B46" s="32" t="s">
        <v>56</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4.5">
      <c r="A47" s="15" t="s">
        <v>55</v>
      </c>
      <c r="B47" s="32" t="s">
        <v>54</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4.5">
      <c r="B48" s="25" t="s">
        <v>53</v>
      </c>
    </row>
    <row r="49" spans="1:34" ht="14.5">
      <c r="A49" s="15" t="s">
        <v>52</v>
      </c>
      <c r="B49" s="32" t="s">
        <v>51</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50</v>
      </c>
    </row>
    <row r="51" spans="1:34" ht="15" customHeight="1">
      <c r="A51" s="15" t="s">
        <v>49</v>
      </c>
      <c r="B51" s="32" t="s">
        <v>48</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47</v>
      </c>
      <c r="B52" s="32" t="s">
        <v>46</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45</v>
      </c>
    </row>
    <row r="55" spans="1:34" ht="15" customHeight="1">
      <c r="B55" s="25" t="s">
        <v>44</v>
      </c>
    </row>
    <row r="56" spans="1:34" ht="15" customHeight="1">
      <c r="A56" s="15" t="s">
        <v>43</v>
      </c>
      <c r="B56" s="32" t="s">
        <v>27</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42</v>
      </c>
      <c r="B57" s="32" t="s">
        <v>25</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41</v>
      </c>
      <c r="B58" s="32" t="s">
        <v>23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40</v>
      </c>
      <c r="B59" s="32" t="s">
        <v>21</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39</v>
      </c>
      <c r="B60" s="32" t="s">
        <v>19</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38</v>
      </c>
      <c r="B61" s="32" t="s">
        <v>17</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37</v>
      </c>
      <c r="B62" s="32" t="s">
        <v>15</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36</v>
      </c>
      <c r="B63" s="32" t="s">
        <v>13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35</v>
      </c>
      <c r="B64" s="32" t="s">
        <v>11</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34</v>
      </c>
      <c r="B65" s="32" t="s">
        <v>9</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4.5">
      <c r="A66" s="15" t="s">
        <v>33</v>
      </c>
      <c r="B66" s="32" t="s">
        <v>7</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32</v>
      </c>
      <c r="B67" s="32" t="s">
        <v>5</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31</v>
      </c>
      <c r="B68" s="32" t="s">
        <v>841</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30</v>
      </c>
      <c r="B69" s="25" t="s">
        <v>2</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29</v>
      </c>
    </row>
    <row r="72" spans="1:34" ht="15" customHeight="1">
      <c r="A72" s="15" t="s">
        <v>28</v>
      </c>
      <c r="B72" s="32" t="s">
        <v>27</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4.5">
      <c r="A73" s="15" t="s">
        <v>26</v>
      </c>
      <c r="B73" s="32" t="s">
        <v>25</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24</v>
      </c>
      <c r="B74" s="32" t="s">
        <v>23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22</v>
      </c>
      <c r="B75" s="32" t="s">
        <v>21</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20</v>
      </c>
      <c r="B76" s="32" t="s">
        <v>19</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18</v>
      </c>
      <c r="B77" s="32" t="s">
        <v>17</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16</v>
      </c>
      <c r="B78" s="32" t="s">
        <v>15</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4.5">
      <c r="A79" s="15" t="s">
        <v>14</v>
      </c>
      <c r="B79" s="32" t="s">
        <v>13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12</v>
      </c>
      <c r="B80" s="32" t="s">
        <v>11</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4.5">
      <c r="A81" s="15" t="s">
        <v>10</v>
      </c>
      <c r="B81" s="32" t="s">
        <v>9</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8</v>
      </c>
      <c r="B82" s="32" t="s">
        <v>7</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6</v>
      </c>
      <c r="B83" s="32" t="s">
        <v>5</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4</v>
      </c>
      <c r="B84" s="32" t="s">
        <v>841</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v>
      </c>
      <c r="B85" s="25" t="s">
        <v>2</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32" t="s">
        <v>1184</v>
      </c>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08"/>
    </row>
    <row r="88" spans="1:34" ht="15" customHeight="1">
      <c r="B88" s="16" t="s">
        <v>1185</v>
      </c>
    </row>
    <row r="89" spans="1:34" ht="15" customHeight="1">
      <c r="B89" s="16" t="s">
        <v>1186</v>
      </c>
    </row>
    <row r="90" spans="1:34" ht="15" customHeight="1">
      <c r="B90" s="16" t="s">
        <v>1187</v>
      </c>
    </row>
    <row r="91" spans="1:34" ht="15" customHeight="1">
      <c r="B91" s="16" t="s">
        <v>1188</v>
      </c>
    </row>
    <row r="92" spans="1:34" ht="14.5">
      <c r="B92" s="16" t="s">
        <v>1189</v>
      </c>
    </row>
    <row r="93" spans="1:34" ht="15" customHeight="1">
      <c r="B93" s="16" t="s">
        <v>1190</v>
      </c>
    </row>
    <row r="94" spans="1:34" ht="15" customHeight="1">
      <c r="B94" s="16" t="s">
        <v>1191</v>
      </c>
    </row>
    <row r="95" spans="1:34" ht="15" customHeight="1">
      <c r="B95" s="16" t="s">
        <v>1192</v>
      </c>
    </row>
    <row r="96" spans="1:34" ht="15" customHeight="1">
      <c r="B96" s="16" t="s">
        <v>1193</v>
      </c>
    </row>
    <row r="97" spans="2:34" ht="15" customHeight="1">
      <c r="B97" s="16" t="s">
        <v>1194</v>
      </c>
    </row>
    <row r="112" spans="2:34" ht="15" customHeight="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c r="AA112" s="131"/>
      <c r="AB112" s="131"/>
      <c r="AC112" s="131"/>
      <c r="AD112" s="131"/>
      <c r="AE112" s="131"/>
      <c r="AF112" s="131"/>
      <c r="AG112" s="131"/>
      <c r="AH112" s="131"/>
    </row>
    <row r="308" spans="2:34" ht="15" customHeight="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c r="AA308" s="131"/>
      <c r="AB308" s="131"/>
      <c r="AC308" s="131"/>
      <c r="AD308" s="131"/>
      <c r="AE308" s="131"/>
      <c r="AF308" s="131"/>
      <c r="AG308" s="131"/>
      <c r="AH308" s="131"/>
    </row>
    <row r="511" spans="2:34" ht="15" customHeight="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c r="AA511" s="131"/>
      <c r="AB511" s="131"/>
      <c r="AC511" s="131"/>
      <c r="AD511" s="131"/>
      <c r="AE511" s="131"/>
      <c r="AF511" s="131"/>
      <c r="AG511" s="131"/>
      <c r="AH511" s="131"/>
    </row>
    <row r="712" spans="2:34" ht="15" customHeight="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c r="AA712" s="131"/>
      <c r="AB712" s="131"/>
      <c r="AC712" s="131"/>
      <c r="AD712" s="131"/>
      <c r="AE712" s="131"/>
      <c r="AF712" s="131"/>
      <c r="AG712" s="131"/>
      <c r="AH712" s="131"/>
    </row>
    <row r="887" spans="2:34" ht="15" customHeight="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c r="AA887" s="131"/>
      <c r="AB887" s="131"/>
      <c r="AC887" s="131"/>
      <c r="AD887" s="131"/>
      <c r="AE887" s="131"/>
      <c r="AF887" s="131"/>
      <c r="AG887" s="131"/>
      <c r="AH887" s="131"/>
    </row>
    <row r="1100" spans="2:34" ht="15" customHeight="1">
      <c r="B1100" s="131"/>
      <c r="C1100" s="131"/>
      <c r="D1100" s="131"/>
      <c r="E1100" s="131"/>
      <c r="F1100" s="131"/>
      <c r="G1100" s="131"/>
      <c r="H1100" s="131"/>
      <c r="I1100" s="131"/>
      <c r="J1100" s="131"/>
      <c r="K1100" s="131"/>
      <c r="L1100" s="131"/>
      <c r="M1100" s="131"/>
      <c r="N1100" s="131"/>
      <c r="O1100" s="131"/>
      <c r="P1100" s="131"/>
      <c r="Q1100" s="131"/>
      <c r="R1100" s="131"/>
      <c r="S1100" s="131"/>
      <c r="T1100" s="131"/>
      <c r="U1100" s="131"/>
      <c r="V1100" s="131"/>
      <c r="W1100" s="131"/>
      <c r="X1100" s="131"/>
      <c r="Y1100" s="131"/>
      <c r="Z1100" s="131"/>
      <c r="AA1100" s="131"/>
      <c r="AB1100" s="131"/>
      <c r="AC1100" s="131"/>
      <c r="AD1100" s="131"/>
      <c r="AE1100" s="131"/>
      <c r="AF1100" s="131"/>
      <c r="AG1100" s="131"/>
      <c r="AH1100" s="131"/>
    </row>
    <row r="1227" spans="2:34" ht="15" customHeight="1">
      <c r="B1227" s="131"/>
      <c r="C1227" s="131"/>
      <c r="D1227" s="131"/>
      <c r="E1227" s="131"/>
      <c r="F1227" s="131"/>
      <c r="G1227" s="131"/>
      <c r="H1227" s="131"/>
      <c r="I1227" s="131"/>
      <c r="J1227" s="131"/>
      <c r="K1227" s="131"/>
      <c r="L1227" s="131"/>
      <c r="M1227" s="131"/>
      <c r="N1227" s="131"/>
      <c r="O1227" s="131"/>
      <c r="P1227" s="131"/>
      <c r="Q1227" s="131"/>
      <c r="R1227" s="131"/>
      <c r="S1227" s="131"/>
      <c r="T1227" s="131"/>
      <c r="U1227" s="131"/>
      <c r="V1227" s="131"/>
      <c r="W1227" s="131"/>
      <c r="X1227" s="131"/>
      <c r="Y1227" s="131"/>
      <c r="Z1227" s="131"/>
      <c r="AA1227" s="131"/>
      <c r="AB1227" s="131"/>
      <c r="AC1227" s="131"/>
      <c r="AD1227" s="131"/>
      <c r="AE1227" s="131"/>
      <c r="AF1227" s="131"/>
      <c r="AG1227" s="131"/>
      <c r="AH1227" s="131"/>
    </row>
    <row r="1390" spans="2:34" ht="15" customHeight="1">
      <c r="B1390" s="131"/>
      <c r="C1390" s="131"/>
      <c r="D1390" s="131"/>
      <c r="E1390" s="131"/>
      <c r="F1390" s="131"/>
      <c r="G1390" s="131"/>
      <c r="H1390" s="131"/>
      <c r="I1390" s="131"/>
      <c r="J1390" s="131"/>
      <c r="K1390" s="131"/>
      <c r="L1390" s="131"/>
      <c r="M1390" s="131"/>
      <c r="N1390" s="131"/>
      <c r="O1390" s="131"/>
      <c r="P1390" s="131"/>
      <c r="Q1390" s="131"/>
      <c r="R1390" s="131"/>
      <c r="S1390" s="131"/>
      <c r="T1390" s="131"/>
      <c r="U1390" s="131"/>
      <c r="V1390" s="131"/>
      <c r="W1390" s="131"/>
      <c r="X1390" s="131"/>
      <c r="Y1390" s="131"/>
      <c r="Z1390" s="131"/>
      <c r="AA1390" s="131"/>
      <c r="AB1390" s="131"/>
      <c r="AC1390" s="131"/>
      <c r="AD1390" s="131"/>
      <c r="AE1390" s="131"/>
      <c r="AF1390" s="131"/>
      <c r="AG1390" s="131"/>
      <c r="AH1390" s="131"/>
    </row>
    <row r="1502" spans="2:34" ht="15" customHeight="1">
      <c r="B1502" s="131"/>
      <c r="C1502" s="131"/>
      <c r="D1502" s="131"/>
      <c r="E1502" s="131"/>
      <c r="F1502" s="131"/>
      <c r="G1502" s="131"/>
      <c r="H1502" s="131"/>
      <c r="I1502" s="131"/>
      <c r="J1502" s="131"/>
      <c r="K1502" s="131"/>
      <c r="L1502" s="131"/>
      <c r="M1502" s="131"/>
      <c r="N1502" s="131"/>
      <c r="O1502" s="131"/>
      <c r="P1502" s="131"/>
      <c r="Q1502" s="131"/>
      <c r="R1502" s="131"/>
      <c r="S1502" s="131"/>
      <c r="T1502" s="131"/>
      <c r="U1502" s="131"/>
      <c r="V1502" s="131"/>
      <c r="W1502" s="131"/>
      <c r="X1502" s="131"/>
      <c r="Y1502" s="131"/>
      <c r="Z1502" s="131"/>
      <c r="AA1502" s="131"/>
      <c r="AB1502" s="131"/>
      <c r="AC1502" s="131"/>
      <c r="AD1502" s="131"/>
      <c r="AE1502" s="131"/>
      <c r="AF1502" s="131"/>
      <c r="AG1502" s="131"/>
      <c r="AH1502" s="131"/>
    </row>
    <row r="1604" spans="2:34" ht="15" customHeight="1">
      <c r="B1604" s="131"/>
      <c r="C1604" s="131"/>
      <c r="D1604" s="131"/>
      <c r="E1604" s="131"/>
      <c r="F1604" s="131"/>
      <c r="G1604" s="131"/>
      <c r="H1604" s="131"/>
      <c r="I1604" s="131"/>
      <c r="J1604" s="131"/>
      <c r="K1604" s="131"/>
      <c r="L1604" s="131"/>
      <c r="M1604" s="131"/>
      <c r="N1604" s="131"/>
      <c r="O1604" s="131"/>
      <c r="P1604" s="131"/>
      <c r="Q1604" s="131"/>
      <c r="R1604" s="131"/>
      <c r="S1604" s="131"/>
      <c r="T1604" s="131"/>
      <c r="U1604" s="131"/>
      <c r="V1604" s="131"/>
      <c r="W1604" s="131"/>
      <c r="X1604" s="131"/>
      <c r="Y1604" s="131"/>
      <c r="Z1604" s="131"/>
      <c r="AA1604" s="131"/>
      <c r="AB1604" s="131"/>
      <c r="AC1604" s="131"/>
      <c r="AD1604" s="131"/>
      <c r="AE1604" s="131"/>
      <c r="AF1604" s="131"/>
      <c r="AG1604" s="131"/>
      <c r="AH1604" s="131"/>
    </row>
    <row r="1698" spans="2:34" ht="15" customHeight="1">
      <c r="B1698" s="131"/>
      <c r="C1698" s="131"/>
      <c r="D1698" s="131"/>
      <c r="E1698" s="131"/>
      <c r="F1698" s="131"/>
      <c r="G1698" s="131"/>
      <c r="H1698" s="131"/>
      <c r="I1698" s="131"/>
      <c r="J1698" s="131"/>
      <c r="K1698" s="131"/>
      <c r="L1698" s="131"/>
      <c r="M1698" s="131"/>
      <c r="N1698" s="131"/>
      <c r="O1698" s="131"/>
      <c r="P1698" s="131"/>
      <c r="Q1698" s="131"/>
      <c r="R1698" s="131"/>
      <c r="S1698" s="131"/>
      <c r="T1698" s="131"/>
      <c r="U1698" s="131"/>
      <c r="V1698" s="131"/>
      <c r="W1698" s="131"/>
      <c r="X1698" s="131"/>
      <c r="Y1698" s="131"/>
      <c r="Z1698" s="131"/>
      <c r="AA1698" s="131"/>
      <c r="AB1698" s="131"/>
      <c r="AC1698" s="131"/>
      <c r="AD1698" s="131"/>
      <c r="AE1698" s="131"/>
      <c r="AF1698" s="131"/>
      <c r="AG1698" s="131"/>
      <c r="AH1698" s="131"/>
    </row>
    <row r="1945" spans="2:34" ht="15" customHeight="1">
      <c r="B1945" s="131"/>
      <c r="C1945" s="131"/>
      <c r="D1945" s="131"/>
      <c r="E1945" s="131"/>
      <c r="F1945" s="131"/>
      <c r="G1945" s="131"/>
      <c r="H1945" s="131"/>
      <c r="I1945" s="131"/>
      <c r="J1945" s="131"/>
      <c r="K1945" s="131"/>
      <c r="L1945" s="131"/>
      <c r="M1945" s="131"/>
      <c r="N1945" s="131"/>
      <c r="O1945" s="131"/>
      <c r="P1945" s="131"/>
      <c r="Q1945" s="131"/>
      <c r="R1945" s="131"/>
      <c r="S1945" s="131"/>
      <c r="T1945" s="131"/>
      <c r="U1945" s="131"/>
      <c r="V1945" s="131"/>
      <c r="W1945" s="131"/>
      <c r="X1945" s="131"/>
      <c r="Y1945" s="131"/>
      <c r="Z1945" s="131"/>
      <c r="AA1945" s="131"/>
      <c r="AB1945" s="131"/>
      <c r="AC1945" s="131"/>
      <c r="AD1945" s="131"/>
      <c r="AE1945" s="131"/>
      <c r="AF1945" s="131"/>
      <c r="AG1945" s="131"/>
      <c r="AH1945" s="131"/>
    </row>
    <row r="2031" spans="2:34" ht="15" customHeight="1">
      <c r="B2031" s="131"/>
      <c r="C2031" s="131"/>
      <c r="D2031" s="131"/>
      <c r="E2031" s="131"/>
      <c r="F2031" s="131"/>
      <c r="G2031" s="131"/>
      <c r="H2031" s="131"/>
      <c r="I2031" s="131"/>
      <c r="J2031" s="131"/>
      <c r="K2031" s="131"/>
      <c r="L2031" s="131"/>
      <c r="M2031" s="131"/>
      <c r="N2031" s="131"/>
      <c r="O2031" s="131"/>
      <c r="P2031" s="131"/>
      <c r="Q2031" s="131"/>
      <c r="R2031" s="131"/>
      <c r="S2031" s="131"/>
      <c r="T2031" s="131"/>
      <c r="U2031" s="131"/>
      <c r="V2031" s="131"/>
      <c r="W2031" s="131"/>
      <c r="X2031" s="131"/>
      <c r="Y2031" s="131"/>
      <c r="Z2031" s="131"/>
      <c r="AA2031" s="131"/>
      <c r="AB2031" s="131"/>
      <c r="AC2031" s="131"/>
      <c r="AD2031" s="131"/>
      <c r="AE2031" s="131"/>
      <c r="AF2031" s="131"/>
      <c r="AG2031" s="131"/>
      <c r="AH2031" s="131"/>
    </row>
    <row r="2153" spans="2:34" ht="15" customHeight="1">
      <c r="B2153" s="131"/>
      <c r="C2153" s="131"/>
      <c r="D2153" s="131"/>
      <c r="E2153" s="131"/>
      <c r="F2153" s="131"/>
      <c r="G2153" s="131"/>
      <c r="H2153" s="131"/>
      <c r="I2153" s="131"/>
      <c r="J2153" s="131"/>
      <c r="K2153" s="131"/>
      <c r="L2153" s="131"/>
      <c r="M2153" s="131"/>
      <c r="N2153" s="131"/>
      <c r="O2153" s="131"/>
      <c r="P2153" s="131"/>
      <c r="Q2153" s="131"/>
      <c r="R2153" s="131"/>
      <c r="S2153" s="131"/>
      <c r="T2153" s="131"/>
      <c r="U2153" s="131"/>
      <c r="V2153" s="131"/>
      <c r="W2153" s="131"/>
      <c r="X2153" s="131"/>
      <c r="Y2153" s="131"/>
      <c r="Z2153" s="131"/>
      <c r="AA2153" s="131"/>
      <c r="AB2153" s="131"/>
      <c r="AC2153" s="131"/>
      <c r="AD2153" s="131"/>
      <c r="AE2153" s="131"/>
      <c r="AF2153" s="131"/>
      <c r="AG2153" s="131"/>
      <c r="AH2153" s="131"/>
    </row>
    <row r="2317" spans="2:34" ht="15" customHeight="1">
      <c r="B2317" s="131"/>
      <c r="C2317" s="131"/>
      <c r="D2317" s="131"/>
      <c r="E2317" s="131"/>
      <c r="F2317" s="131"/>
      <c r="G2317" s="131"/>
      <c r="H2317" s="131"/>
      <c r="I2317" s="131"/>
      <c r="J2317" s="131"/>
      <c r="K2317" s="131"/>
      <c r="L2317" s="131"/>
      <c r="M2317" s="131"/>
      <c r="N2317" s="131"/>
      <c r="O2317" s="131"/>
      <c r="P2317" s="131"/>
      <c r="Q2317" s="131"/>
      <c r="R2317" s="131"/>
      <c r="S2317" s="131"/>
      <c r="T2317" s="131"/>
      <c r="U2317" s="131"/>
      <c r="V2317" s="131"/>
      <c r="W2317" s="131"/>
      <c r="X2317" s="131"/>
      <c r="Y2317" s="131"/>
      <c r="Z2317" s="131"/>
      <c r="AA2317" s="131"/>
      <c r="AB2317" s="131"/>
      <c r="AC2317" s="131"/>
      <c r="AD2317" s="131"/>
      <c r="AE2317" s="131"/>
      <c r="AF2317" s="131"/>
      <c r="AG2317" s="131"/>
      <c r="AH2317" s="131"/>
    </row>
    <row r="2419" spans="2:34" ht="15" customHeight="1">
      <c r="B2419" s="131"/>
      <c r="C2419" s="131"/>
      <c r="D2419" s="131"/>
      <c r="E2419" s="131"/>
      <c r="F2419" s="131"/>
      <c r="G2419" s="131"/>
      <c r="H2419" s="131"/>
      <c r="I2419" s="131"/>
      <c r="J2419" s="131"/>
      <c r="K2419" s="131"/>
      <c r="L2419" s="131"/>
      <c r="M2419" s="131"/>
      <c r="N2419" s="131"/>
      <c r="O2419" s="131"/>
      <c r="P2419" s="131"/>
      <c r="Q2419" s="131"/>
      <c r="R2419" s="131"/>
      <c r="S2419" s="131"/>
      <c r="T2419" s="131"/>
      <c r="U2419" s="131"/>
      <c r="V2419" s="131"/>
      <c r="W2419" s="131"/>
      <c r="X2419" s="131"/>
      <c r="Y2419" s="131"/>
      <c r="Z2419" s="131"/>
      <c r="AA2419" s="131"/>
      <c r="AB2419" s="131"/>
      <c r="AC2419" s="131"/>
      <c r="AD2419" s="131"/>
      <c r="AE2419" s="131"/>
      <c r="AF2419" s="131"/>
      <c r="AG2419" s="131"/>
      <c r="AH2419" s="131"/>
    </row>
    <row r="2509" spans="2:34" ht="15" customHeight="1">
      <c r="B2509" s="131"/>
      <c r="C2509" s="131"/>
      <c r="D2509" s="131"/>
      <c r="E2509" s="131"/>
      <c r="F2509" s="131"/>
      <c r="G2509" s="131"/>
      <c r="H2509" s="131"/>
      <c r="I2509" s="131"/>
      <c r="J2509" s="131"/>
      <c r="K2509" s="131"/>
      <c r="L2509" s="131"/>
      <c r="M2509" s="131"/>
      <c r="N2509" s="131"/>
      <c r="O2509" s="131"/>
      <c r="P2509" s="131"/>
      <c r="Q2509" s="131"/>
      <c r="R2509" s="131"/>
      <c r="S2509" s="131"/>
      <c r="T2509" s="131"/>
      <c r="U2509" s="131"/>
      <c r="V2509" s="131"/>
      <c r="W2509" s="131"/>
      <c r="X2509" s="131"/>
      <c r="Y2509" s="131"/>
      <c r="Z2509" s="131"/>
      <c r="AA2509" s="131"/>
      <c r="AB2509" s="131"/>
      <c r="AC2509" s="131"/>
      <c r="AD2509" s="131"/>
      <c r="AE2509" s="131"/>
      <c r="AF2509" s="131"/>
      <c r="AG2509" s="131"/>
      <c r="AH2509" s="131"/>
    </row>
    <row r="2598" spans="2:34" ht="15" customHeight="1">
      <c r="B2598" s="131"/>
      <c r="C2598" s="131"/>
      <c r="D2598" s="131"/>
      <c r="E2598" s="131"/>
      <c r="F2598" s="131"/>
      <c r="G2598" s="131"/>
      <c r="H2598" s="131"/>
      <c r="I2598" s="131"/>
      <c r="J2598" s="131"/>
      <c r="K2598" s="131"/>
      <c r="L2598" s="131"/>
      <c r="M2598" s="131"/>
      <c r="N2598" s="131"/>
      <c r="O2598" s="131"/>
      <c r="P2598" s="131"/>
      <c r="Q2598" s="131"/>
      <c r="R2598" s="131"/>
      <c r="S2598" s="131"/>
      <c r="T2598" s="131"/>
      <c r="U2598" s="131"/>
      <c r="V2598" s="131"/>
      <c r="W2598" s="131"/>
      <c r="X2598" s="131"/>
      <c r="Y2598" s="131"/>
      <c r="Z2598" s="131"/>
      <c r="AA2598" s="131"/>
      <c r="AB2598" s="131"/>
      <c r="AC2598" s="131"/>
      <c r="AD2598" s="131"/>
      <c r="AE2598" s="131"/>
      <c r="AF2598" s="131"/>
      <c r="AG2598" s="131"/>
      <c r="AH2598" s="131"/>
    </row>
    <row r="2719" spans="2:34" ht="15" customHeight="1">
      <c r="B2719" s="131"/>
      <c r="C2719" s="131"/>
      <c r="D2719" s="131"/>
      <c r="E2719" s="131"/>
      <c r="F2719" s="131"/>
      <c r="G2719" s="131"/>
      <c r="H2719" s="131"/>
      <c r="I2719" s="131"/>
      <c r="J2719" s="131"/>
      <c r="K2719" s="131"/>
      <c r="L2719" s="131"/>
      <c r="M2719" s="131"/>
      <c r="N2719" s="131"/>
      <c r="O2719" s="131"/>
      <c r="P2719" s="131"/>
      <c r="Q2719" s="131"/>
      <c r="R2719" s="131"/>
      <c r="S2719" s="131"/>
      <c r="T2719" s="131"/>
      <c r="U2719" s="131"/>
      <c r="V2719" s="131"/>
      <c r="W2719" s="131"/>
      <c r="X2719" s="131"/>
      <c r="Y2719" s="131"/>
      <c r="Z2719" s="131"/>
      <c r="AA2719" s="131"/>
      <c r="AB2719" s="131"/>
      <c r="AC2719" s="131"/>
      <c r="AD2719" s="131"/>
      <c r="AE2719" s="131"/>
      <c r="AF2719" s="131"/>
      <c r="AG2719" s="131"/>
      <c r="AH2719" s="131"/>
    </row>
    <row r="2837" spans="2:34" ht="15" customHeight="1">
      <c r="B2837" s="131"/>
      <c r="C2837" s="131"/>
      <c r="D2837" s="131"/>
      <c r="E2837" s="131"/>
      <c r="F2837" s="131"/>
      <c r="G2837" s="131"/>
      <c r="H2837" s="131"/>
      <c r="I2837" s="131"/>
      <c r="J2837" s="131"/>
      <c r="K2837" s="131"/>
      <c r="L2837" s="131"/>
      <c r="M2837" s="131"/>
      <c r="N2837" s="131"/>
      <c r="O2837" s="131"/>
      <c r="P2837" s="131"/>
      <c r="Q2837" s="131"/>
      <c r="R2837" s="131"/>
      <c r="S2837" s="131"/>
      <c r="T2837" s="131"/>
      <c r="U2837" s="131"/>
      <c r="V2837" s="131"/>
      <c r="W2837" s="131"/>
      <c r="X2837" s="131"/>
      <c r="Y2837" s="131"/>
      <c r="Z2837" s="131"/>
      <c r="AA2837" s="131"/>
      <c r="AB2837" s="131"/>
      <c r="AC2837" s="131"/>
      <c r="AD2837" s="131"/>
      <c r="AE2837" s="131"/>
      <c r="AF2837" s="131"/>
      <c r="AG2837" s="131"/>
      <c r="AH2837" s="13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08984375" defaultRowHeight="14.5"/>
  <cols>
    <col min="1" max="1" width="31.81640625" customWidth="1"/>
    <col min="2" max="2" width="45.7265625" customWidth="1"/>
  </cols>
  <sheetData>
    <row r="1" spans="1:35" ht="15" customHeight="1" thickBot="1">
      <c r="B1" s="21" t="s">
        <v>3042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1" t="s">
        <v>110</v>
      </c>
      <c r="D3" s="121" t="s">
        <v>859</v>
      </c>
      <c r="E3" s="121"/>
      <c r="F3" s="121"/>
      <c r="G3" s="121"/>
    </row>
    <row r="4" spans="1:35" ht="15" customHeight="1">
      <c r="C4" s="121" t="s">
        <v>109</v>
      </c>
      <c r="D4" s="121" t="s">
        <v>3043</v>
      </c>
      <c r="E4" s="121"/>
      <c r="F4" s="121"/>
      <c r="G4" s="121" t="s">
        <v>3044</v>
      </c>
    </row>
    <row r="5" spans="1:35" ht="15" customHeight="1">
      <c r="C5" s="121" t="s">
        <v>107</v>
      </c>
      <c r="D5" s="121" t="s">
        <v>3045</v>
      </c>
      <c r="E5" s="121"/>
      <c r="F5" s="121"/>
      <c r="G5" s="121"/>
    </row>
    <row r="6" spans="1:35" ht="15" customHeight="1">
      <c r="C6" s="121" t="s">
        <v>106</v>
      </c>
      <c r="D6" s="121"/>
      <c r="E6" s="121" t="s">
        <v>3046</v>
      </c>
      <c r="F6" s="121"/>
      <c r="G6" s="121"/>
    </row>
    <row r="10" spans="1:35" ht="15" customHeight="1">
      <c r="A10" s="15" t="s">
        <v>105</v>
      </c>
      <c r="B10" s="24" t="s">
        <v>104</v>
      </c>
    </row>
    <row r="11" spans="1:35" ht="15" customHeight="1">
      <c r="B11" s="21" t="s">
        <v>3047</v>
      </c>
    </row>
    <row r="12" spans="1:35" ht="15" customHeight="1">
      <c r="B12" s="21" t="s">
        <v>3047</v>
      </c>
      <c r="C12" s="5" t="s">
        <v>3047</v>
      </c>
      <c r="D12" s="5" t="s">
        <v>3047</v>
      </c>
      <c r="E12" s="5" t="s">
        <v>3047</v>
      </c>
      <c r="F12" s="5" t="s">
        <v>3047</v>
      </c>
      <c r="G12" s="5" t="s">
        <v>3047</v>
      </c>
      <c r="H12" s="5" t="s">
        <v>3047</v>
      </c>
      <c r="I12" s="5" t="s">
        <v>3047</v>
      </c>
      <c r="J12" s="5" t="s">
        <v>3047</v>
      </c>
      <c r="K12" s="5" t="s">
        <v>3047</v>
      </c>
      <c r="L12" s="5" t="s">
        <v>3047</v>
      </c>
      <c r="M12" s="5" t="s">
        <v>3047</v>
      </c>
      <c r="N12" s="5" t="s">
        <v>3047</v>
      </c>
      <c r="O12" s="5" t="s">
        <v>3047</v>
      </c>
      <c r="P12" s="5" t="s">
        <v>3047</v>
      </c>
      <c r="Q12" s="5" t="s">
        <v>3047</v>
      </c>
      <c r="R12" s="5" t="s">
        <v>3047</v>
      </c>
      <c r="S12" s="5" t="s">
        <v>3047</v>
      </c>
      <c r="T12" s="5" t="s">
        <v>3047</v>
      </c>
      <c r="U12" s="5" t="s">
        <v>3047</v>
      </c>
      <c r="V12" s="5" t="s">
        <v>3047</v>
      </c>
      <c r="W12" s="5" t="s">
        <v>3047</v>
      </c>
      <c r="X12" s="5" t="s">
        <v>3047</v>
      </c>
      <c r="Y12" s="5" t="s">
        <v>3047</v>
      </c>
      <c r="Z12" s="5" t="s">
        <v>3047</v>
      </c>
      <c r="AA12" s="5" t="s">
        <v>3047</v>
      </c>
      <c r="AB12" s="5" t="s">
        <v>3047</v>
      </c>
      <c r="AC12" s="5" t="s">
        <v>3047</v>
      </c>
      <c r="AD12" s="5" t="s">
        <v>3047</v>
      </c>
      <c r="AE12" s="5" t="s">
        <v>3047</v>
      </c>
      <c r="AF12" s="5" t="s">
        <v>3047</v>
      </c>
      <c r="AG12" s="5" t="s">
        <v>3047</v>
      </c>
      <c r="AH12" s="5" t="s">
        <v>3047</v>
      </c>
      <c r="AI12" s="5" t="s">
        <v>3048</v>
      </c>
    </row>
    <row r="13" spans="1:35" ht="15" customHeight="1" thickBot="1">
      <c r="B13" s="22" t="s">
        <v>103</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102</v>
      </c>
    </row>
    <row r="16" spans="1:35" ht="15" customHeight="1">
      <c r="B16" s="25" t="s">
        <v>101</v>
      </c>
    </row>
    <row r="17" spans="1:35" ht="15" customHeight="1">
      <c r="B17" s="25" t="s">
        <v>100</v>
      </c>
    </row>
    <row r="18" spans="1:35" ht="15" customHeight="1">
      <c r="A18" s="15" t="s">
        <v>99</v>
      </c>
      <c r="B18" s="32" t="s">
        <v>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97</v>
      </c>
      <c r="B19" s="32" t="s">
        <v>96</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95</v>
      </c>
      <c r="B20" s="32" t="s">
        <v>94</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840</v>
      </c>
    </row>
    <row r="22" spans="1:35" ht="15" customHeight="1">
      <c r="A22" s="15" t="s">
        <v>834</v>
      </c>
      <c r="B22" s="32" t="s">
        <v>835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836</v>
      </c>
      <c r="B23" s="32" t="s">
        <v>837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93</v>
      </c>
    </row>
    <row r="25" spans="1:35" ht="15" customHeight="1">
      <c r="A25" s="15" t="s">
        <v>92</v>
      </c>
      <c r="B25" s="32" t="s">
        <v>91</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90</v>
      </c>
    </row>
    <row r="27" spans="1:35" ht="15" customHeight="1">
      <c r="A27" s="15" t="s">
        <v>89</v>
      </c>
      <c r="B27" s="32" t="s">
        <v>48</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88</v>
      </c>
      <c r="B28" s="32" t="s">
        <v>46</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87</v>
      </c>
    </row>
    <row r="31" spans="1:35" ht="15" customHeight="1">
      <c r="B31" s="25" t="s">
        <v>86</v>
      </c>
    </row>
    <row r="32" spans="1:35" ht="15" customHeight="1">
      <c r="A32" s="15" t="s">
        <v>85</v>
      </c>
      <c r="B32" s="32" t="s">
        <v>84</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83</v>
      </c>
      <c r="B33" s="32" t="s">
        <v>82</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81</v>
      </c>
      <c r="B34" s="32" t="s">
        <v>80</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79</v>
      </c>
      <c r="B35" s="32" t="s">
        <v>78</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77</v>
      </c>
      <c r="B36" s="32" t="s">
        <v>76</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75</v>
      </c>
      <c r="B37" s="32" t="s">
        <v>74</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73</v>
      </c>
      <c r="B38" s="32" t="s">
        <v>72</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71</v>
      </c>
      <c r="B39" s="32" t="s">
        <v>70</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69</v>
      </c>
      <c r="B40" s="32" t="s">
        <v>68</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67</v>
      </c>
      <c r="B41" s="32" t="s">
        <v>66</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65</v>
      </c>
      <c r="B42" s="32" t="s">
        <v>64</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63</v>
      </c>
      <c r="B43" s="32" t="s">
        <v>62</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61</v>
      </c>
      <c r="B44" s="32" t="s">
        <v>60</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59</v>
      </c>
      <c r="B45" s="32" t="s">
        <v>58</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57</v>
      </c>
      <c r="B46" s="32" t="s">
        <v>56</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55</v>
      </c>
      <c r="B47" s="32" t="s">
        <v>54</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53</v>
      </c>
    </row>
    <row r="49" spans="1:35" ht="15" customHeight="1">
      <c r="A49" s="15" t="s">
        <v>52</v>
      </c>
      <c r="B49" s="32" t="s">
        <v>51</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50</v>
      </c>
    </row>
    <row r="51" spans="1:35" ht="15" customHeight="1">
      <c r="A51" s="15" t="s">
        <v>49</v>
      </c>
      <c r="B51" s="32" t="s">
        <v>48</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47</v>
      </c>
      <c r="B52" s="32" t="s">
        <v>46</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45</v>
      </c>
    </row>
    <row r="55" spans="1:35" ht="15" customHeight="1">
      <c r="B55" s="25" t="s">
        <v>44</v>
      </c>
    </row>
    <row r="56" spans="1:35" ht="15" customHeight="1">
      <c r="A56" s="15" t="s">
        <v>43</v>
      </c>
      <c r="B56" s="32" t="s">
        <v>27</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42</v>
      </c>
      <c r="B57" s="32" t="s">
        <v>25</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41</v>
      </c>
      <c r="B58" s="32" t="s">
        <v>23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40</v>
      </c>
      <c r="B59" s="32" t="s">
        <v>21</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39</v>
      </c>
      <c r="B60" s="32" t="s">
        <v>19</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38</v>
      </c>
      <c r="B61" s="32" t="s">
        <v>17</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37</v>
      </c>
      <c r="B62" s="32" t="s">
        <v>15</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36</v>
      </c>
      <c r="B63" s="32" t="s">
        <v>13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35</v>
      </c>
      <c r="B64" s="32" t="s">
        <v>11</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34</v>
      </c>
      <c r="B65" s="32" t="s">
        <v>9</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33</v>
      </c>
      <c r="B66" s="32" t="s">
        <v>7</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32</v>
      </c>
      <c r="B67" s="32" t="s">
        <v>5</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31</v>
      </c>
      <c r="B68" s="32" t="s">
        <v>841</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30</v>
      </c>
      <c r="B69" s="25" t="s">
        <v>2</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29</v>
      </c>
    </row>
    <row r="72" spans="1:35" ht="15" customHeight="1">
      <c r="A72" s="15" t="s">
        <v>28</v>
      </c>
      <c r="B72" s="32" t="s">
        <v>27</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26</v>
      </c>
      <c r="B73" s="32" t="s">
        <v>25</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24</v>
      </c>
      <c r="B74" s="32" t="s">
        <v>23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22</v>
      </c>
      <c r="B75" s="32" t="s">
        <v>21</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20</v>
      </c>
      <c r="B76" s="32" t="s">
        <v>19</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18</v>
      </c>
      <c r="B77" s="32" t="s">
        <v>17</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16</v>
      </c>
      <c r="B78" s="32" t="s">
        <v>15</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14</v>
      </c>
      <c r="B79" s="32" t="s">
        <v>13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12</v>
      </c>
      <c r="B80" s="32" t="s">
        <v>11</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10</v>
      </c>
      <c r="B81" s="32" t="s">
        <v>9</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8</v>
      </c>
      <c r="B82" s="32" t="s">
        <v>7</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6</v>
      </c>
      <c r="B83" s="32" t="s">
        <v>5</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4</v>
      </c>
      <c r="B84" s="32" t="s">
        <v>841</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v>
      </c>
      <c r="B85" s="25" t="s">
        <v>2</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34" t="s">
        <v>3049</v>
      </c>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c r="AA87" s="134"/>
      <c r="AB87" s="134"/>
      <c r="AC87" s="134"/>
      <c r="AD87" s="134"/>
      <c r="AE87" s="134"/>
      <c r="AF87" s="134"/>
      <c r="AG87" s="134"/>
      <c r="AH87" s="134"/>
      <c r="AI87" s="134"/>
    </row>
    <row r="88" spans="1:35" ht="15" customHeight="1">
      <c r="B88" s="16" t="s">
        <v>3050</v>
      </c>
    </row>
    <row r="89" spans="1:35" ht="15" customHeight="1">
      <c r="B89" s="16" t="s">
        <v>3051</v>
      </c>
    </row>
    <row r="90" spans="1:35" ht="15" customHeight="1">
      <c r="B90" s="16" t="s">
        <v>3052</v>
      </c>
    </row>
    <row r="91" spans="1:35" ht="15" customHeight="1">
      <c r="B91" s="16" t="s">
        <v>3053</v>
      </c>
    </row>
    <row r="92" spans="1:35" ht="15" customHeight="1">
      <c r="B92" s="16" t="s">
        <v>3054</v>
      </c>
    </row>
    <row r="93" spans="1:35" ht="15" customHeight="1">
      <c r="B93" s="16" t="s">
        <v>3055</v>
      </c>
    </row>
    <row r="94" spans="1:35" ht="15" customHeight="1">
      <c r="B94" s="16" t="s">
        <v>3056</v>
      </c>
    </row>
    <row r="95" spans="1:35" ht="15" customHeight="1">
      <c r="B95" s="16" t="s">
        <v>3057</v>
      </c>
    </row>
    <row r="96" spans="1:35" ht="15" customHeight="1">
      <c r="B96" s="16" t="s">
        <v>3058</v>
      </c>
    </row>
    <row r="97" spans="2:2" ht="15" customHeight="1">
      <c r="B97" s="16" t="s">
        <v>3059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08984375" defaultRowHeight="15" customHeight="1"/>
  <cols>
    <col min="1" max="1" width="21.81640625" style="54" customWidth="1"/>
    <col min="2" max="4" width="9.08984375"/>
  </cols>
  <sheetData>
    <row r="1" spans="1:37" s="54" customFormat="1" ht="15" customHeight="1">
      <c r="A1" s="54" t="s">
        <v>1347</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row>
    <row r="10" spans="1:37" ht="15" customHeight="1">
      <c r="A10" s="110" t="s">
        <v>542</v>
      </c>
      <c r="B10" t="s">
        <v>1195</v>
      </c>
    </row>
    <row r="11" spans="1:37" ht="15" customHeight="1">
      <c r="B11" t="s">
        <v>1196</v>
      </c>
    </row>
    <row r="12" spans="1:37" ht="15" customHeight="1">
      <c r="B12" t="s">
        <v>1197</v>
      </c>
    </row>
    <row r="13" spans="1:37" ht="15" customHeight="1">
      <c r="B13" t="s">
        <v>1198</v>
      </c>
    </row>
    <row r="14" spans="1:37" ht="15" customHeight="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7" ht="15" customHeight="1">
      <c r="B15" t="s">
        <v>45</v>
      </c>
      <c r="D15" t="s">
        <v>1291</v>
      </c>
    </row>
    <row r="16" spans="1:37" ht="15" customHeight="1">
      <c r="B16" t="s">
        <v>1200</v>
      </c>
      <c r="D16" t="s">
        <v>1292</v>
      </c>
    </row>
    <row r="17" spans="1:37" ht="15" customHeight="1">
      <c r="A17" s="110" t="s">
        <v>543</v>
      </c>
      <c r="B17" t="s">
        <v>1201</v>
      </c>
      <c r="C17" t="s">
        <v>1202</v>
      </c>
      <c r="D17" t="s">
        <v>1293</v>
      </c>
      <c r="E17" t="s">
        <v>1294</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544</v>
      </c>
      <c r="B18" t="s">
        <v>1203</v>
      </c>
      <c r="C18" t="s">
        <v>1204</v>
      </c>
      <c r="D18" t="s">
        <v>1295</v>
      </c>
      <c r="E18" t="s">
        <v>1294</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545</v>
      </c>
      <c r="B19" t="s">
        <v>1205</v>
      </c>
      <c r="C19" t="s">
        <v>1206</v>
      </c>
      <c r="D19" t="s">
        <v>1296</v>
      </c>
      <c r="E19" t="s">
        <v>1294</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546</v>
      </c>
      <c r="B20" t="s">
        <v>1207</v>
      </c>
      <c r="C20" t="s">
        <v>1208</v>
      </c>
      <c r="D20" t="s">
        <v>1297</v>
      </c>
      <c r="E20" t="s">
        <v>1294</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547</v>
      </c>
      <c r="B21" t="s">
        <v>1209</v>
      </c>
      <c r="C21" t="s">
        <v>1210</v>
      </c>
      <c r="D21" t="s">
        <v>1298</v>
      </c>
      <c r="E21" t="s">
        <v>1294</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548</v>
      </c>
      <c r="B22" t="s">
        <v>1211</v>
      </c>
      <c r="C22" t="s">
        <v>1212</v>
      </c>
      <c r="D22" t="s">
        <v>1299</v>
      </c>
      <c r="E22" t="s">
        <v>1294</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549</v>
      </c>
      <c r="B23" t="s">
        <v>1213</v>
      </c>
      <c r="C23" t="s">
        <v>1214</v>
      </c>
      <c r="D23" t="s">
        <v>1300</v>
      </c>
      <c r="E23" t="s">
        <v>1294</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550</v>
      </c>
      <c r="B24" t="s">
        <v>1215</v>
      </c>
      <c r="C24" t="s">
        <v>1216</v>
      </c>
      <c r="D24" t="s">
        <v>1301</v>
      </c>
      <c r="E24" t="s">
        <v>1294</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551</v>
      </c>
      <c r="B25" t="s">
        <v>1217</v>
      </c>
      <c r="C25" t="s">
        <v>1218</v>
      </c>
      <c r="D25" t="s">
        <v>1302</v>
      </c>
      <c r="E25" t="s">
        <v>1294</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552</v>
      </c>
      <c r="B26" t="s">
        <v>1219</v>
      </c>
      <c r="C26" t="s">
        <v>1220</v>
      </c>
      <c r="D26" t="s">
        <v>1303</v>
      </c>
      <c r="E26" t="s">
        <v>1294</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838</v>
      </c>
      <c r="B27" t="s">
        <v>1221</v>
      </c>
      <c r="C27" t="s">
        <v>1222</v>
      </c>
      <c r="D27" t="s">
        <v>1304</v>
      </c>
      <c r="E27" t="s">
        <v>1294</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839</v>
      </c>
      <c r="B28" t="s">
        <v>1223</v>
      </c>
      <c r="C28" t="s">
        <v>1224</v>
      </c>
      <c r="D28" t="s">
        <v>1305</v>
      </c>
      <c r="E28" t="s">
        <v>1294</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553</v>
      </c>
      <c r="B29" t="s">
        <v>1225</v>
      </c>
      <c r="C29" t="s">
        <v>1226</v>
      </c>
      <c r="D29" t="s">
        <v>1306</v>
      </c>
      <c r="E29" t="s">
        <v>1294</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1227</v>
      </c>
      <c r="D30" t="s">
        <v>1307</v>
      </c>
    </row>
    <row r="31" spans="1:37" ht="15" customHeight="1">
      <c r="A31" s="110" t="s">
        <v>554</v>
      </c>
      <c r="B31" t="s">
        <v>534</v>
      </c>
      <c r="C31" t="s">
        <v>1228</v>
      </c>
      <c r="D31" t="s">
        <v>1308</v>
      </c>
      <c r="E31" t="s">
        <v>1294</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555</v>
      </c>
      <c r="B32" t="s">
        <v>1229</v>
      </c>
      <c r="C32" t="s">
        <v>1230</v>
      </c>
      <c r="D32" t="s">
        <v>1309</v>
      </c>
      <c r="E32" t="s">
        <v>1294</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556</v>
      </c>
      <c r="B33" t="s">
        <v>1231</v>
      </c>
      <c r="C33" t="s">
        <v>1232</v>
      </c>
      <c r="D33" t="s">
        <v>1310</v>
      </c>
      <c r="E33" t="s">
        <v>1294</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557</v>
      </c>
      <c r="B34" t="s">
        <v>1233</v>
      </c>
      <c r="C34" t="s">
        <v>1234</v>
      </c>
      <c r="D34" t="s">
        <v>1311</v>
      </c>
      <c r="E34" t="s">
        <v>1294</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558</v>
      </c>
      <c r="B35" t="s">
        <v>1235</v>
      </c>
      <c r="C35" t="s">
        <v>1236</v>
      </c>
      <c r="D35" t="s">
        <v>1312</v>
      </c>
      <c r="E35" t="s">
        <v>1294</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559</v>
      </c>
      <c r="B36" t="s">
        <v>1237</v>
      </c>
      <c r="C36" t="s">
        <v>1238</v>
      </c>
      <c r="D36" t="s">
        <v>1313</v>
      </c>
      <c r="E36" t="s">
        <v>1294</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560</v>
      </c>
      <c r="B37" t="s">
        <v>1239</v>
      </c>
      <c r="C37" t="s">
        <v>1240</v>
      </c>
      <c r="D37" t="s">
        <v>1314</v>
      </c>
      <c r="E37" t="s">
        <v>1294</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561</v>
      </c>
      <c r="B38" t="s">
        <v>627</v>
      </c>
      <c r="C38" t="s">
        <v>1241</v>
      </c>
      <c r="D38" t="s">
        <v>1315</v>
      </c>
      <c r="E38" t="s">
        <v>1294</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562</v>
      </c>
      <c r="B39" t="s">
        <v>620</v>
      </c>
      <c r="C39" t="s">
        <v>1242</v>
      </c>
      <c r="D39" t="s">
        <v>1316</v>
      </c>
      <c r="E39" t="s">
        <v>1294</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563</v>
      </c>
      <c r="B40" t="s">
        <v>1082</v>
      </c>
      <c r="C40" t="s">
        <v>1243</v>
      </c>
      <c r="D40" t="s">
        <v>1317</v>
      </c>
      <c r="E40" t="s">
        <v>1294</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564</v>
      </c>
      <c r="B41" t="s">
        <v>529</v>
      </c>
      <c r="C41" t="s">
        <v>1244</v>
      </c>
      <c r="D41" t="s">
        <v>1318</v>
      </c>
      <c r="E41" t="s">
        <v>1294</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565</v>
      </c>
      <c r="B42" t="s">
        <v>1239</v>
      </c>
      <c r="C42" t="s">
        <v>1245</v>
      </c>
      <c r="D42" t="s">
        <v>1319</v>
      </c>
      <c r="E42" t="s">
        <v>1294</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566</v>
      </c>
      <c r="B43" t="s">
        <v>1246</v>
      </c>
      <c r="C43" t="s">
        <v>1247</v>
      </c>
      <c r="D43" t="s">
        <v>1320</v>
      </c>
      <c r="E43" t="s">
        <v>1294</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567</v>
      </c>
      <c r="B44" t="s">
        <v>1215</v>
      </c>
      <c r="C44" t="s">
        <v>1248</v>
      </c>
      <c r="D44" t="s">
        <v>1321</v>
      </c>
      <c r="E44" t="s">
        <v>1294</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568</v>
      </c>
      <c r="B45" t="s">
        <v>1213</v>
      </c>
      <c r="C45" t="s">
        <v>1249</v>
      </c>
      <c r="D45" t="s">
        <v>1322</v>
      </c>
      <c r="E45" t="s">
        <v>1294</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569</v>
      </c>
      <c r="B46" t="s">
        <v>1250</v>
      </c>
      <c r="C46" t="s">
        <v>1251</v>
      </c>
      <c r="D46" t="s">
        <v>1323</v>
      </c>
      <c r="E46" t="s">
        <v>1294</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570</v>
      </c>
      <c r="B47" t="s">
        <v>1086</v>
      </c>
      <c r="C47" t="s">
        <v>1252</v>
      </c>
      <c r="D47" t="s">
        <v>1324</v>
      </c>
      <c r="E47" t="s">
        <v>1294</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571</v>
      </c>
      <c r="B48" t="s">
        <v>1088</v>
      </c>
      <c r="C48" t="s">
        <v>1253</v>
      </c>
      <c r="D48" t="s">
        <v>1325</v>
      </c>
      <c r="E48" t="s">
        <v>1294</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572</v>
      </c>
      <c r="B49" t="s">
        <v>1037</v>
      </c>
      <c r="C49" t="s">
        <v>1254</v>
      </c>
      <c r="D49" t="s">
        <v>1326</v>
      </c>
      <c r="E49" t="s">
        <v>1294</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573</v>
      </c>
      <c r="B50" t="s">
        <v>1255</v>
      </c>
      <c r="C50" t="s">
        <v>1256</v>
      </c>
      <c r="D50" t="s">
        <v>1327</v>
      </c>
      <c r="E50" t="s">
        <v>1294</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574</v>
      </c>
      <c r="B51" t="s">
        <v>1257</v>
      </c>
      <c r="C51" t="s">
        <v>1258</v>
      </c>
      <c r="D51" t="s">
        <v>1328</v>
      </c>
      <c r="E51" t="s">
        <v>1294</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575</v>
      </c>
      <c r="B52" t="s">
        <v>1259</v>
      </c>
      <c r="C52" t="s">
        <v>1260</v>
      </c>
      <c r="D52" t="s">
        <v>1329</v>
      </c>
      <c r="E52" t="s">
        <v>1294</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576</v>
      </c>
      <c r="B53" t="s">
        <v>577</v>
      </c>
      <c r="C53" t="s">
        <v>1261</v>
      </c>
      <c r="D53" t="s">
        <v>1330</v>
      </c>
      <c r="E53" t="s">
        <v>1294</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578</v>
      </c>
      <c r="D54" t="s">
        <v>1331</v>
      </c>
    </row>
    <row r="55" spans="1:37" ht="15" customHeight="1">
      <c r="A55" s="110" t="s">
        <v>579</v>
      </c>
      <c r="B55" t="s">
        <v>1262</v>
      </c>
      <c r="C55" t="s">
        <v>1263</v>
      </c>
      <c r="D55" t="s">
        <v>1332</v>
      </c>
      <c r="E55" t="s">
        <v>1294</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580</v>
      </c>
      <c r="B56" t="s">
        <v>1264</v>
      </c>
      <c r="C56" t="s">
        <v>1265</v>
      </c>
      <c r="D56" t="s">
        <v>1333</v>
      </c>
      <c r="E56" t="s">
        <v>1294</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581</v>
      </c>
      <c r="B57" t="s">
        <v>1266</v>
      </c>
      <c r="C57" t="s">
        <v>1267</v>
      </c>
      <c r="D57" t="s">
        <v>1334</v>
      </c>
      <c r="E57" t="s">
        <v>1294</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582</v>
      </c>
      <c r="B58" t="s">
        <v>1268</v>
      </c>
      <c r="C58" t="s">
        <v>1269</v>
      </c>
      <c r="D58" t="s">
        <v>1335</v>
      </c>
      <c r="E58" t="s">
        <v>1294</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583</v>
      </c>
      <c r="B59" t="s">
        <v>1257</v>
      </c>
      <c r="C59" t="s">
        <v>1270</v>
      </c>
      <c r="D59" t="s">
        <v>1336</v>
      </c>
      <c r="E59" t="s">
        <v>1294</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584</v>
      </c>
      <c r="B60" t="s">
        <v>1271</v>
      </c>
      <c r="C60" t="s">
        <v>1272</v>
      </c>
      <c r="D60" t="s">
        <v>1337</v>
      </c>
      <c r="E60" t="s">
        <v>1294</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585</v>
      </c>
      <c r="B61" t="s">
        <v>1273</v>
      </c>
      <c r="C61" t="s">
        <v>1274</v>
      </c>
      <c r="D61" t="s">
        <v>1338</v>
      </c>
      <c r="E61" t="s">
        <v>1294</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586</v>
      </c>
      <c r="B62" t="s">
        <v>1086</v>
      </c>
      <c r="C62" t="s">
        <v>1275</v>
      </c>
      <c r="D62" t="s">
        <v>1339</v>
      </c>
      <c r="E62" t="s">
        <v>1294</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587</v>
      </c>
      <c r="B63" t="s">
        <v>1276</v>
      </c>
      <c r="C63" t="s">
        <v>1277</v>
      </c>
      <c r="D63" t="s">
        <v>1340</v>
      </c>
      <c r="E63" t="s">
        <v>1294</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588</v>
      </c>
      <c r="B64" t="s">
        <v>1278</v>
      </c>
      <c r="C64" t="s">
        <v>1279</v>
      </c>
      <c r="D64" t="s">
        <v>1341</v>
      </c>
      <c r="E64" t="s">
        <v>1294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10" t="s">
        <v>589</v>
      </c>
      <c r="B65" t="s">
        <v>1280</v>
      </c>
      <c r="C65" t="s">
        <v>1281</v>
      </c>
      <c r="D65" t="s">
        <v>1342</v>
      </c>
      <c r="E65" t="s">
        <v>1294</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590</v>
      </c>
      <c r="B66" t="s">
        <v>1282</v>
      </c>
      <c r="C66" t="s">
        <v>1283</v>
      </c>
      <c r="D66" t="s">
        <v>1343</v>
      </c>
      <c r="E66" t="s">
        <v>1294</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591</v>
      </c>
      <c r="B67" t="s">
        <v>1284</v>
      </c>
      <c r="C67" t="s">
        <v>1285</v>
      </c>
      <c r="D67" t="s">
        <v>1344</v>
      </c>
      <c r="E67" t="s">
        <v>1294</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592</v>
      </c>
      <c r="B68" t="s">
        <v>1088</v>
      </c>
      <c r="C68" t="s">
        <v>1286</v>
      </c>
      <c r="D68" t="s">
        <v>1345</v>
      </c>
      <c r="E68" t="s">
        <v>1294</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593</v>
      </c>
      <c r="B69" t="s">
        <v>594</v>
      </c>
      <c r="C69" t="s">
        <v>1287</v>
      </c>
      <c r="D69" t="s">
        <v>1346</v>
      </c>
      <c r="E69" t="s">
        <v>1294</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4.5"/>
  <cols>
    <col min="1" max="1" width="9.08984375"/>
    <col min="2" max="2" width="19.36328125" style="41" customWidth="1"/>
    <col min="4" max="4" width="43.90625" customWidth="1"/>
  </cols>
  <sheetData>
    <row r="1" spans="2:38" s="54" customFormat="1" ht="15" customHeight="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991</v>
      </c>
      <c r="C10" t="s">
        <v>1348</v>
      </c>
    </row>
    <row r="11" spans="2:38" ht="15" customHeight="1">
      <c r="C11" t="s">
        <v>1349</v>
      </c>
    </row>
    <row r="12" spans="2:38" ht="15" customHeight="1">
      <c r="C12" t="s">
        <v>1350</v>
      </c>
    </row>
    <row r="13" spans="2:38" ht="15" customHeight="1">
      <c r="C13" t="s">
        <v>1198</v>
      </c>
    </row>
    <row r="14" spans="2: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2:38" ht="15" customHeight="1">
      <c r="B15" s="111" t="s">
        <v>992</v>
      </c>
      <c r="C15" t="s">
        <v>993</v>
      </c>
      <c r="D15" t="s">
        <v>1365</v>
      </c>
      <c r="E15" t="s">
        <v>1366</v>
      </c>
      <c r="F15" t="s">
        <v>1294</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994</v>
      </c>
      <c r="C16" t="s">
        <v>1262</v>
      </c>
      <c r="D16" t="s">
        <v>1367</v>
      </c>
      <c r="E16" t="s">
        <v>1368</v>
      </c>
      <c r="F16" t="s">
        <v>1294</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995</v>
      </c>
      <c r="C17" t="s">
        <v>1264</v>
      </c>
      <c r="D17" t="s">
        <v>1369</v>
      </c>
      <c r="E17" t="s">
        <v>1370</v>
      </c>
      <c r="F17" t="s">
        <v>1294</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996</v>
      </c>
      <c r="C18" t="s">
        <v>1351</v>
      </c>
      <c r="D18" t="s">
        <v>1371</v>
      </c>
      <c r="E18" t="s">
        <v>1372</v>
      </c>
      <c r="F18" t="s">
        <v>1294</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997</v>
      </c>
      <c r="C19" t="s">
        <v>1282</v>
      </c>
      <c r="D19" t="s">
        <v>1373</v>
      </c>
      <c r="E19" t="s">
        <v>1374</v>
      </c>
      <c r="F19" t="s">
        <v>1294</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998</v>
      </c>
      <c r="C20" t="s">
        <v>1273</v>
      </c>
      <c r="D20" t="s">
        <v>1375</v>
      </c>
      <c r="E20" t="s">
        <v>1376</v>
      </c>
      <c r="F20" t="s">
        <v>1294</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999</v>
      </c>
      <c r="C21" t="s">
        <v>1280</v>
      </c>
      <c r="D21" t="s">
        <v>1377</v>
      </c>
      <c r="E21" t="s">
        <v>1378</v>
      </c>
      <c r="F21" t="s">
        <v>1294</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1000</v>
      </c>
      <c r="C22" t="s">
        <v>1284</v>
      </c>
      <c r="D22" t="s">
        <v>1379</v>
      </c>
      <c r="E22" t="s">
        <v>1380</v>
      </c>
      <c r="F22" t="s">
        <v>1294</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1001</v>
      </c>
      <c r="C23" t="s">
        <v>1209</v>
      </c>
      <c r="D23" t="s">
        <v>1381</v>
      </c>
      <c r="E23" t="s">
        <v>1382</v>
      </c>
      <c r="F23" t="s">
        <v>1294</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1002</v>
      </c>
      <c r="C24" t="s">
        <v>1262</v>
      </c>
      <c r="D24" t="s">
        <v>1383</v>
      </c>
      <c r="E24" t="s">
        <v>1384</v>
      </c>
      <c r="F24" t="s">
        <v>1294</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1003</v>
      </c>
      <c r="C25" t="s">
        <v>1264</v>
      </c>
      <c r="D25" t="s">
        <v>1385</v>
      </c>
      <c r="E25" t="s">
        <v>1386</v>
      </c>
      <c r="F25" t="s">
        <v>1294</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1004</v>
      </c>
      <c r="C26" t="s">
        <v>1351</v>
      </c>
      <c r="D26" t="s">
        <v>1387</v>
      </c>
      <c r="E26" t="s">
        <v>1388</v>
      </c>
      <c r="F26" t="s">
        <v>1294</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1005</v>
      </c>
      <c r="C27" t="s">
        <v>1273</v>
      </c>
      <c r="D27" t="s">
        <v>1389</v>
      </c>
      <c r="E27" t="s">
        <v>1390</v>
      </c>
      <c r="F27" t="s">
        <v>1294</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1006</v>
      </c>
      <c r="C28" t="s">
        <v>1282</v>
      </c>
      <c r="D28" t="s">
        <v>1391</v>
      </c>
      <c r="E28" t="s">
        <v>1392</v>
      </c>
      <c r="F28" t="s">
        <v>1294</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1007</v>
      </c>
      <c r="C29" t="s">
        <v>1280</v>
      </c>
      <c r="D29" t="s">
        <v>1393</v>
      </c>
      <c r="E29" t="s">
        <v>1394</v>
      </c>
      <c r="F29" t="s">
        <v>1294</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1008</v>
      </c>
      <c r="C30" t="s">
        <v>1284</v>
      </c>
      <c r="D30" t="s">
        <v>1395</v>
      </c>
      <c r="E30" t="s">
        <v>1396</v>
      </c>
      <c r="F30" t="s">
        <v>1294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1" t="s">
        <v>1009</v>
      </c>
      <c r="C31" t="s">
        <v>1219</v>
      </c>
      <c r="D31" t="s">
        <v>1397</v>
      </c>
      <c r="E31" t="s">
        <v>1398</v>
      </c>
      <c r="F31" t="s">
        <v>1294</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1010</v>
      </c>
      <c r="C32" t="s">
        <v>1352</v>
      </c>
      <c r="D32" t="s">
        <v>1399</v>
      </c>
      <c r="E32" t="s">
        <v>1400</v>
      </c>
      <c r="F32" t="s">
        <v>1294</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1011</v>
      </c>
      <c r="C33" t="s">
        <v>1351</v>
      </c>
      <c r="D33" t="s">
        <v>1401</v>
      </c>
      <c r="E33" t="s">
        <v>1402</v>
      </c>
      <c r="F33" t="s">
        <v>1294</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1012</v>
      </c>
      <c r="C34" t="s">
        <v>1282</v>
      </c>
      <c r="D34" t="s">
        <v>1403</v>
      </c>
      <c r="E34" t="s">
        <v>1404</v>
      </c>
      <c r="F34" t="s">
        <v>1294</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1013</v>
      </c>
      <c r="C35" t="s">
        <v>1273</v>
      </c>
      <c r="D35" t="s">
        <v>1405</v>
      </c>
      <c r="E35" t="s">
        <v>1406</v>
      </c>
      <c r="F35" t="s">
        <v>1294</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1014</v>
      </c>
      <c r="C36" t="s">
        <v>1264</v>
      </c>
      <c r="D36" t="s">
        <v>1407</v>
      </c>
      <c r="E36" t="s">
        <v>1408</v>
      </c>
      <c r="F36" t="s">
        <v>1294</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1015</v>
      </c>
      <c r="C37" t="s">
        <v>1280</v>
      </c>
      <c r="D37" t="s">
        <v>1409</v>
      </c>
      <c r="E37" t="s">
        <v>1410</v>
      </c>
      <c r="F37" t="s">
        <v>1294</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1016</v>
      </c>
      <c r="C38" t="s">
        <v>1284</v>
      </c>
      <c r="D38" t="s">
        <v>1411</v>
      </c>
      <c r="E38" t="s">
        <v>1412</v>
      </c>
      <c r="F38" t="s">
        <v>1294</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1017</v>
      </c>
      <c r="C39" t="s">
        <v>1353</v>
      </c>
      <c r="D39" t="s">
        <v>1413</v>
      </c>
      <c r="E39" t="s">
        <v>1414</v>
      </c>
      <c r="F39" t="s">
        <v>1294</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1018</v>
      </c>
      <c r="C40" t="s">
        <v>1351</v>
      </c>
      <c r="D40" t="s">
        <v>1415</v>
      </c>
      <c r="E40" t="s">
        <v>1416</v>
      </c>
      <c r="F40" t="s">
        <v>1294</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1019</v>
      </c>
      <c r="C41" t="s">
        <v>1257</v>
      </c>
      <c r="D41" t="s">
        <v>1417</v>
      </c>
      <c r="E41" t="s">
        <v>1418</v>
      </c>
      <c r="F41" t="s">
        <v>1294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1" t="s">
        <v>1020</v>
      </c>
      <c r="C42" t="s">
        <v>1354</v>
      </c>
      <c r="D42" t="s">
        <v>1419</v>
      </c>
      <c r="E42" t="s">
        <v>1420</v>
      </c>
      <c r="F42" t="s">
        <v>1294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1" t="s">
        <v>1021</v>
      </c>
      <c r="C43" t="s">
        <v>1355</v>
      </c>
      <c r="D43" t="s">
        <v>1421</v>
      </c>
      <c r="E43" t="s">
        <v>1422</v>
      </c>
      <c r="F43" t="s">
        <v>1294</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1022</v>
      </c>
      <c r="C44" t="s">
        <v>627</v>
      </c>
      <c r="D44" t="s">
        <v>1423</v>
      </c>
      <c r="E44" t="s">
        <v>1424</v>
      </c>
      <c r="F44" t="s">
        <v>1294</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1023</v>
      </c>
      <c r="C45" t="s">
        <v>1351</v>
      </c>
      <c r="D45" t="s">
        <v>1425</v>
      </c>
      <c r="E45" t="s">
        <v>1426</v>
      </c>
      <c r="F45" t="s">
        <v>1294</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1024</v>
      </c>
      <c r="C46" t="s">
        <v>1356</v>
      </c>
      <c r="D46" t="s">
        <v>1427</v>
      </c>
      <c r="E46" t="s">
        <v>1428</v>
      </c>
      <c r="F46" t="s">
        <v>1294</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1025</v>
      </c>
      <c r="C47" t="s">
        <v>1354</v>
      </c>
      <c r="D47" t="s">
        <v>1429</v>
      </c>
      <c r="E47" t="s">
        <v>1430</v>
      </c>
      <c r="F47" t="s">
        <v>1294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1" t="s">
        <v>1026</v>
      </c>
      <c r="C48" t="s">
        <v>1355</v>
      </c>
      <c r="D48" t="s">
        <v>1431</v>
      </c>
      <c r="E48" t="s">
        <v>1432</v>
      </c>
      <c r="F48" t="s">
        <v>1294</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1027</v>
      </c>
      <c r="C49" t="s">
        <v>620</v>
      </c>
      <c r="D49" t="s">
        <v>1433</v>
      </c>
      <c r="E49" t="s">
        <v>1434</v>
      </c>
      <c r="F49" t="s">
        <v>1294</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1028</v>
      </c>
      <c r="C50" t="s">
        <v>1351</v>
      </c>
      <c r="D50" t="s">
        <v>1435</v>
      </c>
      <c r="E50" t="s">
        <v>1436</v>
      </c>
      <c r="F50" t="s">
        <v>1294</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1029</v>
      </c>
      <c r="C51" t="s">
        <v>1356</v>
      </c>
      <c r="D51" t="s">
        <v>1437</v>
      </c>
      <c r="E51" t="s">
        <v>1438</v>
      </c>
      <c r="F51" t="s">
        <v>1294</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1030</v>
      </c>
      <c r="C52" t="s">
        <v>1354</v>
      </c>
      <c r="D52" t="s">
        <v>1439</v>
      </c>
      <c r="E52" t="s">
        <v>1440</v>
      </c>
      <c r="F52" t="s">
        <v>1294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1" t="s">
        <v>1031</v>
      </c>
      <c r="C53" t="s">
        <v>1355</v>
      </c>
      <c r="D53" t="s">
        <v>1441</v>
      </c>
      <c r="E53" t="s">
        <v>1442</v>
      </c>
      <c r="F53" t="s">
        <v>1294</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1032</v>
      </c>
      <c r="C54" t="s">
        <v>1033</v>
      </c>
      <c r="D54" t="s">
        <v>1443</v>
      </c>
      <c r="E54" t="s">
        <v>1444</v>
      </c>
      <c r="F54" t="s">
        <v>1294</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1034</v>
      </c>
      <c r="C55" t="s">
        <v>1357</v>
      </c>
      <c r="D55" t="s">
        <v>1445</v>
      </c>
      <c r="E55" t="s">
        <v>1446</v>
      </c>
      <c r="F55" t="s">
        <v>1294</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1035</v>
      </c>
      <c r="C56" t="s">
        <v>1271</v>
      </c>
      <c r="D56" t="s">
        <v>1447</v>
      </c>
      <c r="E56" t="s">
        <v>1448</v>
      </c>
      <c r="F56" t="s">
        <v>1294</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1036</v>
      </c>
      <c r="C57" t="s">
        <v>1037</v>
      </c>
      <c r="D57" t="s">
        <v>1449</v>
      </c>
      <c r="E57" t="s">
        <v>1450</v>
      </c>
      <c r="F57" t="s">
        <v>1294</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1038</v>
      </c>
      <c r="C58" t="s">
        <v>1255</v>
      </c>
      <c r="D58" t="s">
        <v>1451</v>
      </c>
      <c r="E58" t="s">
        <v>1452</v>
      </c>
      <c r="F58" t="s">
        <v>1294</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1039</v>
      </c>
      <c r="C59" t="s">
        <v>1257</v>
      </c>
      <c r="D59" t="s">
        <v>1453</v>
      </c>
      <c r="E59" t="s">
        <v>1454</v>
      </c>
      <c r="F59" t="s">
        <v>1294</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1040</v>
      </c>
      <c r="C60" t="s">
        <v>1259</v>
      </c>
      <c r="D60" t="s">
        <v>1455</v>
      </c>
      <c r="E60" t="s">
        <v>1456</v>
      </c>
      <c r="F60" t="s">
        <v>1294</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1041</v>
      </c>
      <c r="C61" t="s">
        <v>1042</v>
      </c>
      <c r="D61" t="s">
        <v>1457</v>
      </c>
      <c r="E61" t="s">
        <v>1458</v>
      </c>
      <c r="F61" t="s">
        <v>1294</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1043</v>
      </c>
      <c r="C62" t="s">
        <v>1358</v>
      </c>
      <c r="D62" t="s">
        <v>1459</v>
      </c>
      <c r="E62" t="s">
        <v>1460</v>
      </c>
      <c r="F62" t="s">
        <v>1294</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1044</v>
      </c>
      <c r="C63" t="s">
        <v>1352</v>
      </c>
      <c r="D63" t="s">
        <v>1461</v>
      </c>
      <c r="E63" t="s">
        <v>1462</v>
      </c>
      <c r="F63" t="s">
        <v>1294</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1045</v>
      </c>
      <c r="C64" t="s">
        <v>1264</v>
      </c>
      <c r="D64" t="s">
        <v>1463</v>
      </c>
      <c r="E64" t="s">
        <v>1464</v>
      </c>
      <c r="F64" t="s">
        <v>1294</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1046</v>
      </c>
      <c r="C65" t="s">
        <v>1351</v>
      </c>
      <c r="D65" t="s">
        <v>1465</v>
      </c>
      <c r="E65" t="s">
        <v>1466</v>
      </c>
      <c r="F65" t="s">
        <v>1294</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1047</v>
      </c>
      <c r="C66" t="s">
        <v>1282</v>
      </c>
      <c r="D66" t="s">
        <v>1467</v>
      </c>
      <c r="E66" t="s">
        <v>1468</v>
      </c>
      <c r="F66" t="s">
        <v>1294</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1048</v>
      </c>
      <c r="C67" t="s">
        <v>1273</v>
      </c>
      <c r="D67" t="s">
        <v>1469</v>
      </c>
      <c r="E67" t="s">
        <v>1470</v>
      </c>
      <c r="F67" t="s">
        <v>1294</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1049</v>
      </c>
      <c r="C68" t="s">
        <v>1280</v>
      </c>
      <c r="D68" t="s">
        <v>1471</v>
      </c>
      <c r="E68" t="s">
        <v>1472</v>
      </c>
      <c r="F68" t="s">
        <v>1294</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1050</v>
      </c>
      <c r="C69" t="s">
        <v>1284</v>
      </c>
      <c r="D69" t="s">
        <v>1473</v>
      </c>
      <c r="E69" t="s">
        <v>1474</v>
      </c>
      <c r="F69" t="s">
        <v>1294</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1051</v>
      </c>
      <c r="C70" t="s">
        <v>1359</v>
      </c>
      <c r="D70" t="s">
        <v>1475</v>
      </c>
      <c r="E70" t="s">
        <v>1476</v>
      </c>
      <c r="F70" t="s">
        <v>1294</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1052</v>
      </c>
      <c r="C71" t="s">
        <v>1352</v>
      </c>
      <c r="D71" t="s">
        <v>1477</v>
      </c>
      <c r="E71" t="s">
        <v>1478</v>
      </c>
      <c r="F71" t="s">
        <v>1294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1" t="s">
        <v>1053</v>
      </c>
      <c r="C72" t="s">
        <v>1264</v>
      </c>
      <c r="D72" t="s">
        <v>1479</v>
      </c>
      <c r="E72" t="s">
        <v>1480</v>
      </c>
      <c r="F72" t="s">
        <v>1294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1" t="s">
        <v>1054</v>
      </c>
      <c r="C73" t="s">
        <v>1351</v>
      </c>
      <c r="D73" t="s">
        <v>1481</v>
      </c>
      <c r="E73" t="s">
        <v>1482</v>
      </c>
      <c r="F73" t="s">
        <v>1294</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1055</v>
      </c>
      <c r="C74" t="s">
        <v>1282</v>
      </c>
      <c r="D74" t="s">
        <v>1483</v>
      </c>
      <c r="E74" t="s">
        <v>1484</v>
      </c>
      <c r="F74" t="s">
        <v>1294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1" t="s">
        <v>1056</v>
      </c>
      <c r="C75" t="s">
        <v>1273</v>
      </c>
      <c r="D75" t="s">
        <v>1485</v>
      </c>
      <c r="E75" t="s">
        <v>1486</v>
      </c>
      <c r="F75" t="s">
        <v>1294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1057</v>
      </c>
      <c r="C76" t="s">
        <v>1280</v>
      </c>
      <c r="D76" t="s">
        <v>1487</v>
      </c>
      <c r="E76" t="s">
        <v>1488</v>
      </c>
      <c r="F76" t="s">
        <v>1294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1" t="s">
        <v>1058</v>
      </c>
      <c r="C77" t="s">
        <v>1284</v>
      </c>
      <c r="D77" t="s">
        <v>1489</v>
      </c>
      <c r="E77" t="s">
        <v>1490</v>
      </c>
      <c r="F77" t="s">
        <v>1294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1" t="s">
        <v>1059</v>
      </c>
      <c r="C78" t="s">
        <v>1360</v>
      </c>
      <c r="D78" t="s">
        <v>1491</v>
      </c>
      <c r="E78" t="s">
        <v>1492</v>
      </c>
      <c r="F78" t="s">
        <v>1294</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1060</v>
      </c>
      <c r="C79" t="s">
        <v>1352</v>
      </c>
      <c r="D79" t="s">
        <v>1493</v>
      </c>
      <c r="E79" t="s">
        <v>1494</v>
      </c>
      <c r="F79" t="s">
        <v>1294</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1061</v>
      </c>
      <c r="C80" t="s">
        <v>1264</v>
      </c>
      <c r="D80" t="s">
        <v>1495</v>
      </c>
      <c r="E80" t="s">
        <v>1496</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1" t="s">
        <v>1062</v>
      </c>
      <c r="C81" t="s">
        <v>1351</v>
      </c>
      <c r="D81" t="s">
        <v>1497</v>
      </c>
      <c r="E81" t="s">
        <v>1498</v>
      </c>
      <c r="F81" t="s">
        <v>1294</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1063</v>
      </c>
      <c r="C82" t="s">
        <v>1282</v>
      </c>
      <c r="D82" t="s">
        <v>1499</v>
      </c>
      <c r="E82" t="s">
        <v>1500</v>
      </c>
      <c r="F82" t="s">
        <v>1294</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1064</v>
      </c>
      <c r="C83" t="s">
        <v>1273</v>
      </c>
      <c r="D83" t="s">
        <v>1501</v>
      </c>
      <c r="E83" t="s">
        <v>1502</v>
      </c>
      <c r="F83" t="s">
        <v>1294</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1065</v>
      </c>
      <c r="C84" t="s">
        <v>1280</v>
      </c>
      <c r="D84" t="s">
        <v>1503</v>
      </c>
      <c r="E84" t="s">
        <v>1504</v>
      </c>
      <c r="F84" t="s">
        <v>1294</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1" t="s">
        <v>1066</v>
      </c>
      <c r="C85" t="s">
        <v>1284</v>
      </c>
      <c r="D85" t="s">
        <v>1505</v>
      </c>
      <c r="E85" t="s">
        <v>1506</v>
      </c>
      <c r="F85" t="s">
        <v>1294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1" t="s">
        <v>1067</v>
      </c>
      <c r="C86" t="s">
        <v>1068</v>
      </c>
      <c r="D86" t="s">
        <v>1507</v>
      </c>
      <c r="E86" t="s">
        <v>1508</v>
      </c>
      <c r="F86" t="s">
        <v>1294</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1069</v>
      </c>
      <c r="C87" t="s">
        <v>1361</v>
      </c>
      <c r="D87" t="s">
        <v>1509</v>
      </c>
      <c r="E87" t="s">
        <v>1510</v>
      </c>
      <c r="F87" t="s">
        <v>1294</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1070</v>
      </c>
      <c r="C88" t="s">
        <v>1280</v>
      </c>
      <c r="D88" t="s">
        <v>1511</v>
      </c>
      <c r="E88" t="s">
        <v>1512</v>
      </c>
      <c r="F88" t="s">
        <v>1294</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1071</v>
      </c>
      <c r="C89" t="s">
        <v>1266</v>
      </c>
      <c r="D89" t="s">
        <v>1513</v>
      </c>
      <c r="E89" t="s">
        <v>1514</v>
      </c>
      <c r="F89" t="s">
        <v>1294</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1072</v>
      </c>
      <c r="C90" t="s">
        <v>1354</v>
      </c>
      <c r="D90" t="s">
        <v>1515</v>
      </c>
      <c r="E90" t="s">
        <v>1516</v>
      </c>
      <c r="F90" t="s">
        <v>1294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1" t="s">
        <v>1073</v>
      </c>
      <c r="C91" t="s">
        <v>1355</v>
      </c>
      <c r="D91" t="s">
        <v>1517</v>
      </c>
      <c r="E91" t="s">
        <v>1518</v>
      </c>
      <c r="F91" t="s">
        <v>1294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1" t="s">
        <v>1074</v>
      </c>
      <c r="C92" t="s">
        <v>1362</v>
      </c>
      <c r="D92" t="s">
        <v>1519</v>
      </c>
      <c r="E92" t="s">
        <v>1520</v>
      </c>
      <c r="F92" t="s">
        <v>1294</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1075</v>
      </c>
      <c r="C93" t="s">
        <v>1280</v>
      </c>
      <c r="D93" t="s">
        <v>1521</v>
      </c>
      <c r="E93" t="s">
        <v>1522</v>
      </c>
      <c r="F93" t="s">
        <v>1294</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1076</v>
      </c>
      <c r="C94" t="s">
        <v>1363</v>
      </c>
      <c r="D94" t="s">
        <v>1523</v>
      </c>
      <c r="E94" t="s">
        <v>1524</v>
      </c>
      <c r="F94" t="s">
        <v>1294</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1077</v>
      </c>
      <c r="C95" t="s">
        <v>1280</v>
      </c>
      <c r="D95" t="s">
        <v>1525</v>
      </c>
      <c r="E95" t="s">
        <v>1526</v>
      </c>
      <c r="F95" t="s">
        <v>1294</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1078</v>
      </c>
      <c r="C96" t="s">
        <v>1266</v>
      </c>
      <c r="D96" t="s">
        <v>1527</v>
      </c>
      <c r="E96" t="s">
        <v>1528</v>
      </c>
      <c r="F96" t="s">
        <v>1294</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1079</v>
      </c>
      <c r="C97" t="s">
        <v>1354</v>
      </c>
      <c r="D97" t="s">
        <v>1529</v>
      </c>
      <c r="E97" t="s">
        <v>1530</v>
      </c>
      <c r="F97" t="s">
        <v>1294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1" t="s">
        <v>1080</v>
      </c>
      <c r="C98" t="s">
        <v>1355</v>
      </c>
      <c r="D98" t="s">
        <v>1531</v>
      </c>
      <c r="E98" t="s">
        <v>1532</v>
      </c>
      <c r="F98" t="s">
        <v>1294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1" t="s">
        <v>1081</v>
      </c>
      <c r="C99" t="s">
        <v>1082</v>
      </c>
      <c r="D99" t="s">
        <v>1533</v>
      </c>
      <c r="E99" t="s">
        <v>1534</v>
      </c>
      <c r="F99" t="s">
        <v>1294</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1083</v>
      </c>
      <c r="C100" t="s">
        <v>1364</v>
      </c>
      <c r="D100" t="s">
        <v>1535</v>
      </c>
      <c r="E100" t="s">
        <v>1536</v>
      </c>
      <c r="F100" t="s">
        <v>1294</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1084</v>
      </c>
      <c r="C101" t="s">
        <v>1351</v>
      </c>
      <c r="D101" t="s">
        <v>1537</v>
      </c>
      <c r="E101" t="s">
        <v>1538</v>
      </c>
      <c r="F101" t="s">
        <v>1294</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1085</v>
      </c>
      <c r="C102" t="s">
        <v>1086</v>
      </c>
      <c r="D102" t="s">
        <v>1539</v>
      </c>
      <c r="E102" t="s">
        <v>1540</v>
      </c>
      <c r="F102" t="s">
        <v>1294</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1087</v>
      </c>
      <c r="C103" t="s">
        <v>1088</v>
      </c>
      <c r="D103" t="s">
        <v>1286</v>
      </c>
      <c r="E103" t="s">
        <v>1541</v>
      </c>
      <c r="F103" t="s">
        <v>1294</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1089</v>
      </c>
      <c r="C104" t="s">
        <v>594</v>
      </c>
      <c r="D104" t="s">
        <v>1542</v>
      </c>
      <c r="E104" t="s">
        <v>1543</v>
      </c>
      <c r="F104" t="s">
        <v>1294</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4.5"/>
  <cols>
    <col min="1" max="1" width="19.54296875" customWidth="1"/>
    <col min="2" max="2" width="19.36328125" style="41" customWidth="1"/>
    <col min="3" max="3" width="25" customWidth="1"/>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1" t="s">
        <v>915</v>
      </c>
      <c r="C10" t="s">
        <v>1544</v>
      </c>
    </row>
    <row r="11" spans="1:38" ht="15" customHeight="1">
      <c r="C11" t="s">
        <v>1545</v>
      </c>
    </row>
    <row r="12" spans="1:38" ht="15" customHeight="1">
      <c r="C12" t="s">
        <v>1546</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1547</v>
      </c>
      <c r="E15" t="s">
        <v>1584</v>
      </c>
    </row>
    <row r="16" spans="1:38" ht="15" customHeight="1">
      <c r="B16" s="111"/>
      <c r="C16" t="s">
        <v>1548</v>
      </c>
      <c r="E16" t="s">
        <v>1585</v>
      </c>
    </row>
    <row r="17" spans="1:38" s="37" customFormat="1" ht="15" customHeight="1">
      <c r="A17" s="118" t="s">
        <v>114</v>
      </c>
      <c r="B17" s="111" t="s">
        <v>916</v>
      </c>
      <c r="C17" t="s">
        <v>1549</v>
      </c>
      <c r="D17" t="s">
        <v>1586</v>
      </c>
      <c r="E17" t="s">
        <v>1587</v>
      </c>
      <c r="F17" t="s">
        <v>1588</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8" t="s">
        <v>115</v>
      </c>
      <c r="B18" s="111" t="s">
        <v>917</v>
      </c>
      <c r="C18" t="s">
        <v>1550</v>
      </c>
      <c r="D18" t="s">
        <v>1589</v>
      </c>
      <c r="E18" t="s">
        <v>1590</v>
      </c>
      <c r="F18" t="s">
        <v>1588</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8"/>
      <c r="B19" s="111" t="s">
        <v>918</v>
      </c>
      <c r="C19" t="s">
        <v>1551</v>
      </c>
      <c r="D19" t="s">
        <v>1591</v>
      </c>
      <c r="E19" t="s">
        <v>1592</v>
      </c>
      <c r="F19" t="s">
        <v>1588</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8"/>
      <c r="B20" s="111"/>
      <c r="C20" t="s">
        <v>1552</v>
      </c>
      <c r="E20" t="s">
        <v>1593</v>
      </c>
    </row>
    <row r="21" spans="1:38" ht="15" customHeight="1">
      <c r="A21" s="118" t="s">
        <v>114</v>
      </c>
      <c r="B21" s="111" t="s">
        <v>919</v>
      </c>
      <c r="C21" t="s">
        <v>1553</v>
      </c>
      <c r="D21" t="s">
        <v>1594</v>
      </c>
      <c r="E21" t="s">
        <v>1595</v>
      </c>
      <c r="F21" t="s">
        <v>1588</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8" t="s">
        <v>112</v>
      </c>
      <c r="B22" s="111" t="s">
        <v>920</v>
      </c>
      <c r="C22" t="s">
        <v>1554</v>
      </c>
      <c r="D22" t="s">
        <v>1596</v>
      </c>
      <c r="E22" t="s">
        <v>1597</v>
      </c>
      <c r="F22" t="s">
        <v>1588</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8" t="s">
        <v>112</v>
      </c>
      <c r="B23" s="111" t="s">
        <v>921</v>
      </c>
      <c r="C23" t="s">
        <v>1555</v>
      </c>
      <c r="D23" t="s">
        <v>1598</v>
      </c>
      <c r="E23" t="s">
        <v>1599</v>
      </c>
      <c r="F23" t="s">
        <v>1588</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8" t="s">
        <v>112</v>
      </c>
      <c r="B24" s="111" t="s">
        <v>922</v>
      </c>
      <c r="C24" t="s">
        <v>1556</v>
      </c>
      <c r="D24" t="s">
        <v>1600</v>
      </c>
      <c r="E24" t="s">
        <v>1601</v>
      </c>
      <c r="F24" t="s">
        <v>1588</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8" t="s">
        <v>116</v>
      </c>
      <c r="B25" s="111" t="s">
        <v>923</v>
      </c>
      <c r="C25" t="s">
        <v>1557</v>
      </c>
      <c r="D25" t="s">
        <v>1602</v>
      </c>
      <c r="E25" t="s">
        <v>1603</v>
      </c>
      <c r="F25" t="s">
        <v>1588</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8" t="s">
        <v>116</v>
      </c>
      <c r="B26" s="111" t="s">
        <v>924</v>
      </c>
      <c r="C26" t="s">
        <v>1558</v>
      </c>
      <c r="D26" t="s">
        <v>1604</v>
      </c>
      <c r="E26" t="s">
        <v>1605</v>
      </c>
      <c r="F26" t="s">
        <v>1588</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8" t="s">
        <v>115</v>
      </c>
      <c r="B27" s="111" t="s">
        <v>925</v>
      </c>
      <c r="C27" t="s">
        <v>1559</v>
      </c>
      <c r="D27" t="s">
        <v>1606</v>
      </c>
      <c r="E27" t="s">
        <v>1607</v>
      </c>
      <c r="F27" t="s">
        <v>1588</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8" t="s">
        <v>114</v>
      </c>
      <c r="B28" s="111" t="s">
        <v>926</v>
      </c>
      <c r="C28" t="s">
        <v>1560</v>
      </c>
      <c r="D28" t="s">
        <v>1608</v>
      </c>
      <c r="E28" t="s">
        <v>1609</v>
      </c>
      <c r="F28" t="s">
        <v>1588</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8" t="s">
        <v>113</v>
      </c>
      <c r="B29" s="111" t="s">
        <v>927</v>
      </c>
      <c r="C29" t="s">
        <v>1561</v>
      </c>
      <c r="D29" t="s">
        <v>1610</v>
      </c>
      <c r="E29" t="s">
        <v>1611</v>
      </c>
      <c r="F29" t="s">
        <v>1588</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8" t="s">
        <v>113</v>
      </c>
      <c r="B30" s="111" t="s">
        <v>928</v>
      </c>
      <c r="C30" t="s">
        <v>1562</v>
      </c>
      <c r="D30" t="s">
        <v>1612</v>
      </c>
      <c r="E30" t="s">
        <v>1613</v>
      </c>
      <c r="F30" t="s">
        <v>1588</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8" t="s">
        <v>853</v>
      </c>
      <c r="B31" s="111" t="s">
        <v>929</v>
      </c>
      <c r="C31" t="s">
        <v>1563</v>
      </c>
      <c r="D31" t="s">
        <v>1614</v>
      </c>
      <c r="E31" t="s">
        <v>1615</v>
      </c>
      <c r="F31" t="s">
        <v>1588</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8" t="s">
        <v>853</v>
      </c>
      <c r="B32" s="111" t="s">
        <v>930</v>
      </c>
      <c r="C32" t="s">
        <v>1564</v>
      </c>
      <c r="D32" t="s">
        <v>1614</v>
      </c>
      <c r="E32" t="s">
        <v>1616</v>
      </c>
      <c r="F32" t="s">
        <v>1588</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8" t="s">
        <v>854</v>
      </c>
      <c r="B33" s="111" t="s">
        <v>931</v>
      </c>
      <c r="C33" t="s">
        <v>1565</v>
      </c>
      <c r="D33" t="s">
        <v>1617</v>
      </c>
      <c r="E33" t="s">
        <v>1618</v>
      </c>
      <c r="F33" t="s">
        <v>1588</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8" t="s">
        <v>854</v>
      </c>
      <c r="B34" s="111" t="s">
        <v>932</v>
      </c>
      <c r="C34" t="s">
        <v>1566</v>
      </c>
      <c r="D34" t="s">
        <v>1619</v>
      </c>
      <c r="E34" t="s">
        <v>1620</v>
      </c>
      <c r="F34" t="s">
        <v>1588</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8"/>
      <c r="B35" s="111" t="s">
        <v>933</v>
      </c>
      <c r="C35" t="s">
        <v>1567</v>
      </c>
      <c r="D35" t="s">
        <v>1621</v>
      </c>
      <c r="E35" t="s">
        <v>1622</v>
      </c>
      <c r="F35" t="s">
        <v>1588</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8"/>
      <c r="B36" s="111" t="s">
        <v>934</v>
      </c>
      <c r="C36" t="s">
        <v>935</v>
      </c>
      <c r="D36" t="s">
        <v>1623</v>
      </c>
      <c r="E36" t="s">
        <v>1624</v>
      </c>
      <c r="F36" t="s">
        <v>1625</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8"/>
      <c r="B37" s="111" t="s">
        <v>936</v>
      </c>
      <c r="C37" t="s">
        <v>937</v>
      </c>
      <c r="D37" t="s">
        <v>1626</v>
      </c>
      <c r="E37" t="s">
        <v>1627</v>
      </c>
      <c r="F37" t="s">
        <v>1588</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8"/>
      <c r="B38" s="111"/>
      <c r="C38" t="s">
        <v>1568</v>
      </c>
      <c r="E38" t="s">
        <v>1628</v>
      </c>
    </row>
    <row r="39" spans="1:38" ht="15" customHeight="1">
      <c r="A39" s="118"/>
      <c r="B39" s="111"/>
      <c r="C39" t="s">
        <v>1569</v>
      </c>
      <c r="E39" t="s">
        <v>1629</v>
      </c>
    </row>
    <row r="40" spans="1:38" s="37" customFormat="1" ht="15" customHeight="1">
      <c r="A40" s="118" t="s">
        <v>114</v>
      </c>
      <c r="B40" s="111" t="s">
        <v>938</v>
      </c>
      <c r="C40" t="s">
        <v>1549</v>
      </c>
      <c r="D40" t="s">
        <v>1630</v>
      </c>
      <c r="E40" t="s">
        <v>1631</v>
      </c>
      <c r="F40" t="s">
        <v>1588</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8" t="s">
        <v>115</v>
      </c>
      <c r="B41" s="111" t="s">
        <v>939</v>
      </c>
      <c r="C41" t="s">
        <v>1550</v>
      </c>
      <c r="D41" t="s">
        <v>1632</v>
      </c>
      <c r="E41" t="s">
        <v>1633</v>
      </c>
      <c r="F41" t="s">
        <v>1588</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8"/>
      <c r="B42" s="111" t="s">
        <v>940</v>
      </c>
      <c r="C42" t="s">
        <v>1570</v>
      </c>
      <c r="D42" t="s">
        <v>1634</v>
      </c>
      <c r="E42" t="s">
        <v>1635</v>
      </c>
      <c r="F42" t="s">
        <v>1588</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8"/>
      <c r="B43" s="111"/>
      <c r="C43" t="s">
        <v>1571</v>
      </c>
      <c r="E43" t="s">
        <v>1636</v>
      </c>
    </row>
    <row r="44" spans="1:38" ht="15" customHeight="1">
      <c r="A44" s="118" t="s">
        <v>114</v>
      </c>
      <c r="B44" s="111" t="s">
        <v>941</v>
      </c>
      <c r="C44" t="s">
        <v>1553</v>
      </c>
      <c r="D44" t="s">
        <v>1637</v>
      </c>
      <c r="E44" t="s">
        <v>1638</v>
      </c>
      <c r="F44" t="s">
        <v>1588</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8" t="s">
        <v>112</v>
      </c>
      <c r="B45" s="111" t="s">
        <v>942</v>
      </c>
      <c r="C45" t="s">
        <v>1554</v>
      </c>
      <c r="D45" t="s">
        <v>1639</v>
      </c>
      <c r="E45" t="s">
        <v>1640</v>
      </c>
      <c r="F45" t="s">
        <v>1588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8" t="s">
        <v>112</v>
      </c>
      <c r="B46" s="111" t="s">
        <v>943</v>
      </c>
      <c r="C46" t="s">
        <v>1555</v>
      </c>
      <c r="D46" t="s">
        <v>1641</v>
      </c>
      <c r="E46" t="s">
        <v>1642</v>
      </c>
      <c r="F46" t="s">
        <v>1588</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8" t="s">
        <v>112</v>
      </c>
      <c r="B47" s="111" t="s">
        <v>944</v>
      </c>
      <c r="C47" t="s">
        <v>1556</v>
      </c>
      <c r="D47" t="s">
        <v>1643</v>
      </c>
      <c r="E47" t="s">
        <v>1644</v>
      </c>
      <c r="F47" t="s">
        <v>1588</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8" t="s">
        <v>116</v>
      </c>
      <c r="B48" s="111" t="s">
        <v>945</v>
      </c>
      <c r="C48" t="s">
        <v>1557</v>
      </c>
      <c r="D48" t="s">
        <v>1645</v>
      </c>
      <c r="E48" t="s">
        <v>1646</v>
      </c>
      <c r="F48" t="s">
        <v>1588</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8" t="s">
        <v>116</v>
      </c>
      <c r="B49" s="111" t="s">
        <v>946</v>
      </c>
      <c r="C49" t="s">
        <v>1558</v>
      </c>
      <c r="D49" t="s">
        <v>1647</v>
      </c>
      <c r="E49" t="s">
        <v>1648</v>
      </c>
      <c r="F49" t="s">
        <v>1588</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8" t="s">
        <v>115</v>
      </c>
      <c r="B50" s="111" t="s">
        <v>947</v>
      </c>
      <c r="C50" t="s">
        <v>1559</v>
      </c>
      <c r="D50" t="s">
        <v>1649</v>
      </c>
      <c r="E50" t="s">
        <v>1650</v>
      </c>
      <c r="F50" t="s">
        <v>1588</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8" t="s">
        <v>114</v>
      </c>
      <c r="B51" s="111" t="s">
        <v>948</v>
      </c>
      <c r="C51" t="s">
        <v>1560</v>
      </c>
      <c r="D51" t="s">
        <v>1651</v>
      </c>
      <c r="E51" t="s">
        <v>1652</v>
      </c>
      <c r="F51" t="s">
        <v>1588</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8" t="s">
        <v>113</v>
      </c>
      <c r="B52" s="111" t="s">
        <v>949</v>
      </c>
      <c r="C52" t="s">
        <v>1561</v>
      </c>
      <c r="D52" t="s">
        <v>1653</v>
      </c>
      <c r="E52" t="s">
        <v>1654</v>
      </c>
      <c r="F52" t="s">
        <v>1588</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8" t="s">
        <v>113</v>
      </c>
      <c r="B53" s="111" t="s">
        <v>950</v>
      </c>
      <c r="C53" t="s">
        <v>1562</v>
      </c>
      <c r="D53" t="s">
        <v>1655</v>
      </c>
      <c r="E53" t="s">
        <v>1656</v>
      </c>
      <c r="F53" t="s">
        <v>1588</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8" t="s">
        <v>853</v>
      </c>
      <c r="B54" s="111" t="s">
        <v>951</v>
      </c>
      <c r="C54" t="s">
        <v>1563</v>
      </c>
      <c r="D54" t="s">
        <v>1657</v>
      </c>
      <c r="E54" t="s">
        <v>1658</v>
      </c>
      <c r="F54" t="s">
        <v>1588</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8" t="s">
        <v>853</v>
      </c>
      <c r="B55" s="111" t="s">
        <v>952</v>
      </c>
      <c r="C55" t="s">
        <v>1564</v>
      </c>
      <c r="D55" t="s">
        <v>1659</v>
      </c>
      <c r="E55" t="s">
        <v>1660</v>
      </c>
      <c r="F55" t="s">
        <v>1588</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8" t="s">
        <v>854</v>
      </c>
      <c r="B56" s="111" t="s">
        <v>953</v>
      </c>
      <c r="C56" t="s">
        <v>1565</v>
      </c>
      <c r="D56" t="s">
        <v>1661</v>
      </c>
      <c r="E56" t="s">
        <v>1662</v>
      </c>
      <c r="F56" t="s">
        <v>1588</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8" t="s">
        <v>854</v>
      </c>
      <c r="B57" s="111" t="s">
        <v>954</v>
      </c>
      <c r="C57" t="s">
        <v>1566</v>
      </c>
      <c r="D57" t="s">
        <v>1663</v>
      </c>
      <c r="E57" t="s">
        <v>1664</v>
      </c>
      <c r="F57" t="s">
        <v>1588</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8"/>
      <c r="B58" s="111" t="s">
        <v>955</v>
      </c>
      <c r="C58" t="s">
        <v>1572</v>
      </c>
      <c r="D58" t="s">
        <v>1665</v>
      </c>
      <c r="E58" t="s">
        <v>1666</v>
      </c>
      <c r="F58" t="s">
        <v>1588</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956</v>
      </c>
      <c r="C59" t="s">
        <v>957</v>
      </c>
      <c r="D59" t="s">
        <v>1667</v>
      </c>
      <c r="E59" t="s">
        <v>1668</v>
      </c>
      <c r="F59" t="s">
        <v>1625</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958</v>
      </c>
      <c r="C60" t="s">
        <v>959</v>
      </c>
      <c r="D60" t="s">
        <v>1669</v>
      </c>
      <c r="E60" t="s">
        <v>1670</v>
      </c>
      <c r="F60" t="s">
        <v>1588</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960</v>
      </c>
      <c r="C61" t="s">
        <v>961</v>
      </c>
      <c r="D61" t="s">
        <v>1671</v>
      </c>
      <c r="E61" t="s">
        <v>1672</v>
      </c>
      <c r="F61" t="s">
        <v>1625</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962</v>
      </c>
      <c r="C62" t="s">
        <v>963</v>
      </c>
      <c r="D62" t="s">
        <v>1673</v>
      </c>
      <c r="E62" t="s">
        <v>1674</v>
      </c>
      <c r="F62" t="s">
        <v>1588</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964</v>
      </c>
      <c r="C63" t="s">
        <v>965</v>
      </c>
      <c r="D63" t="s">
        <v>1675</v>
      </c>
      <c r="E63" t="s">
        <v>1676</v>
      </c>
      <c r="F63" t="s">
        <v>1588</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1"/>
      <c r="C64" t="s">
        <v>1573</v>
      </c>
      <c r="D64" t="s">
        <v>1677</v>
      </c>
      <c r="F64" t="s">
        <v>1678</v>
      </c>
    </row>
    <row r="65" spans="2:38" ht="15" customHeight="1">
      <c r="B65" s="111" t="s">
        <v>966</v>
      </c>
      <c r="C65" t="s">
        <v>1574</v>
      </c>
      <c r="D65" t="s">
        <v>1679</v>
      </c>
      <c r="E65" t="s">
        <v>1680</v>
      </c>
      <c r="F65" t="s">
        <v>1588</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967</v>
      </c>
      <c r="C66" t="s">
        <v>1575</v>
      </c>
      <c r="D66" t="s">
        <v>1681</v>
      </c>
      <c r="E66" t="s">
        <v>1682</v>
      </c>
      <c r="F66" t="s">
        <v>1588</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968</v>
      </c>
      <c r="C67" t="s">
        <v>1576</v>
      </c>
      <c r="D67" t="s">
        <v>1683</v>
      </c>
      <c r="E67" t="s">
        <v>1684</v>
      </c>
      <c r="F67" t="s">
        <v>1588</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969</v>
      </c>
      <c r="C68" t="s">
        <v>1577</v>
      </c>
      <c r="D68" t="s">
        <v>1685</v>
      </c>
      <c r="E68" t="s">
        <v>1686</v>
      </c>
      <c r="F68" t="s">
        <v>1588</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970</v>
      </c>
      <c r="C69" t="s">
        <v>1578</v>
      </c>
      <c r="D69" t="s">
        <v>1687</v>
      </c>
      <c r="E69" t="s">
        <v>1688</v>
      </c>
      <c r="F69" t="s">
        <v>1588</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971</v>
      </c>
      <c r="C70" t="s">
        <v>1579</v>
      </c>
      <c r="D70" t="s">
        <v>1689</v>
      </c>
      <c r="E70" t="s">
        <v>1690</v>
      </c>
      <c r="F70" t="s">
        <v>1588</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972</v>
      </c>
      <c r="C71" t="s">
        <v>1580</v>
      </c>
      <c r="D71" t="s">
        <v>1691</v>
      </c>
      <c r="E71" t="s">
        <v>1692</v>
      </c>
      <c r="F71" t="s">
        <v>1588</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973</v>
      </c>
      <c r="C72" t="s">
        <v>1581</v>
      </c>
      <c r="D72" t="s">
        <v>1693</v>
      </c>
      <c r="E72" t="s">
        <v>1694</v>
      </c>
      <c r="F72" t="s">
        <v>1588</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974</v>
      </c>
      <c r="C73" t="s">
        <v>975</v>
      </c>
      <c r="D73" t="s">
        <v>1695</v>
      </c>
      <c r="E73" t="s">
        <v>1696</v>
      </c>
      <c r="F73" t="s">
        <v>1588</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976</v>
      </c>
      <c r="C74" t="s">
        <v>1582</v>
      </c>
      <c r="D74" t="s">
        <v>1697</v>
      </c>
      <c r="E74" t="s">
        <v>1698</v>
      </c>
      <c r="F74" t="s">
        <v>1588</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977</v>
      </c>
      <c r="C75" t="s">
        <v>1583</v>
      </c>
      <c r="D75" t="s">
        <v>1699</v>
      </c>
      <c r="E75" t="s">
        <v>1700</v>
      </c>
      <c r="F75" t="s">
        <v>1588</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978</v>
      </c>
      <c r="C76" t="s">
        <v>979</v>
      </c>
      <c r="D76" t="s">
        <v>1701</v>
      </c>
      <c r="E76" t="s">
        <v>1702</v>
      </c>
      <c r="F76" t="s">
        <v>1588</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265625" style="20" customWidth="1"/>
    <col min="2" max="2" width="19.36328125" style="41" customWidth="1"/>
    <col min="3" max="3" width="29.7265625" customWidth="1"/>
    <col min="4" max="4" width="22.7265625" customWidth="1"/>
    <col min="5" max="5" width="9.08984375"/>
    <col min="39" max="16384" width="9" style="20"/>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10" spans="1:38" ht="15" customHeight="1">
      <c r="B10" s="111" t="s">
        <v>872</v>
      </c>
      <c r="C10" t="s">
        <v>1703</v>
      </c>
    </row>
    <row r="11" spans="1:38" ht="15" customHeight="1">
      <c r="C11" t="s">
        <v>1704</v>
      </c>
    </row>
    <row r="12" spans="1:38" ht="15" customHeight="1">
      <c r="C12" t="s">
        <v>1705</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1706</v>
      </c>
      <c r="E15" t="s">
        <v>1714</v>
      </c>
    </row>
    <row r="16" spans="1:38" ht="15" customHeight="1">
      <c r="B16" s="111"/>
      <c r="C16" t="s">
        <v>1548</v>
      </c>
      <c r="E16" t="s">
        <v>1715</v>
      </c>
    </row>
    <row r="17" spans="1:38" s="39" customFormat="1" ht="15" customHeight="1">
      <c r="A17" s="118" t="s">
        <v>114</v>
      </c>
      <c r="B17" s="111" t="s">
        <v>874</v>
      </c>
      <c r="C17" t="s">
        <v>1549</v>
      </c>
      <c r="D17" t="s">
        <v>1716</v>
      </c>
      <c r="E17" t="s">
        <v>1717</v>
      </c>
      <c r="F17" t="s">
        <v>1718</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8" t="s">
        <v>115</v>
      </c>
      <c r="B18" s="111" t="s">
        <v>875</v>
      </c>
      <c r="C18" t="s">
        <v>1550</v>
      </c>
      <c r="D18" t="s">
        <v>1719</v>
      </c>
      <c r="E18" t="s">
        <v>1720</v>
      </c>
      <c r="F18" t="s">
        <v>1718</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8"/>
      <c r="B19" s="111"/>
      <c r="C19" t="s">
        <v>1552</v>
      </c>
      <c r="E19" t="s">
        <v>1721</v>
      </c>
    </row>
    <row r="20" spans="1:38" ht="15" customHeight="1">
      <c r="A20" s="118" t="s">
        <v>114</v>
      </c>
      <c r="B20" s="111" t="s">
        <v>876</v>
      </c>
      <c r="C20" t="s">
        <v>1553</v>
      </c>
      <c r="D20" t="s">
        <v>1722</v>
      </c>
      <c r="E20" t="s">
        <v>1723</v>
      </c>
      <c r="F20" t="s">
        <v>1718</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8" t="s">
        <v>112</v>
      </c>
      <c r="B21" s="111" t="s">
        <v>877</v>
      </c>
      <c r="C21" t="s">
        <v>1554</v>
      </c>
      <c r="D21" t="s">
        <v>1724</v>
      </c>
      <c r="E21" t="s">
        <v>1725</v>
      </c>
      <c r="F21" t="s">
        <v>1718</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8" t="s">
        <v>112</v>
      </c>
      <c r="B22" s="111" t="s">
        <v>878</v>
      </c>
      <c r="C22" t="s">
        <v>1555</v>
      </c>
      <c r="D22" t="s">
        <v>1726</v>
      </c>
      <c r="E22" t="s">
        <v>1727</v>
      </c>
      <c r="F22" t="s">
        <v>1718</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8" t="s">
        <v>112</v>
      </c>
      <c r="B23" s="111" t="s">
        <v>879</v>
      </c>
      <c r="C23" t="s">
        <v>1556</v>
      </c>
      <c r="D23" t="s">
        <v>1728</v>
      </c>
      <c r="E23" t="s">
        <v>1729</v>
      </c>
      <c r="F23" t="s">
        <v>1718</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8" t="s">
        <v>116</v>
      </c>
      <c r="B24" s="111" t="s">
        <v>880</v>
      </c>
      <c r="C24" t="s">
        <v>1557</v>
      </c>
      <c r="D24" t="s">
        <v>1730</v>
      </c>
      <c r="E24" t="s">
        <v>1731</v>
      </c>
      <c r="F24" t="s">
        <v>1718</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8" t="s">
        <v>116</v>
      </c>
      <c r="B25" s="111" t="s">
        <v>881</v>
      </c>
      <c r="C25" t="s">
        <v>1558</v>
      </c>
      <c r="D25" t="s">
        <v>1732</v>
      </c>
      <c r="E25" t="s">
        <v>1733</v>
      </c>
      <c r="F25" t="s">
        <v>1718</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8" t="s">
        <v>115</v>
      </c>
      <c r="B26" s="111" t="s">
        <v>882</v>
      </c>
      <c r="C26" t="s">
        <v>1559</v>
      </c>
      <c r="D26" t="s">
        <v>1734</v>
      </c>
      <c r="E26" t="s">
        <v>1735</v>
      </c>
      <c r="F26" t="s">
        <v>1718</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8" t="s">
        <v>114</v>
      </c>
      <c r="B27" s="111" t="s">
        <v>883</v>
      </c>
      <c r="C27" t="s">
        <v>1560</v>
      </c>
      <c r="D27" t="s">
        <v>1736</v>
      </c>
      <c r="E27" t="s">
        <v>1737</v>
      </c>
      <c r="F27" t="s">
        <v>1718</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8" t="s">
        <v>113</v>
      </c>
      <c r="B28" s="111" t="s">
        <v>884</v>
      </c>
      <c r="C28" t="s">
        <v>1561</v>
      </c>
      <c r="D28" t="s">
        <v>1738</v>
      </c>
      <c r="E28" t="s">
        <v>1739</v>
      </c>
      <c r="F28" t="s">
        <v>1718</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8" t="s">
        <v>113</v>
      </c>
      <c r="B29" s="111" t="s">
        <v>885</v>
      </c>
      <c r="C29" t="s">
        <v>1562</v>
      </c>
      <c r="D29" t="s">
        <v>1740</v>
      </c>
      <c r="E29" t="s">
        <v>1741</v>
      </c>
      <c r="F29" t="s">
        <v>1718</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8" t="s">
        <v>853</v>
      </c>
      <c r="B30" s="111" t="s">
        <v>886</v>
      </c>
      <c r="C30" t="s">
        <v>1563</v>
      </c>
      <c r="D30" t="s">
        <v>1742</v>
      </c>
      <c r="E30" t="s">
        <v>1743</v>
      </c>
      <c r="F30" t="s">
        <v>1718</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8" t="s">
        <v>853</v>
      </c>
      <c r="B31" s="111" t="s">
        <v>887</v>
      </c>
      <c r="C31" t="s">
        <v>1564</v>
      </c>
      <c r="D31" t="s">
        <v>1744</v>
      </c>
      <c r="E31" t="s">
        <v>1745</v>
      </c>
      <c r="F31" t="s">
        <v>1718</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8" t="s">
        <v>854</v>
      </c>
      <c r="B32" s="111" t="s">
        <v>888</v>
      </c>
      <c r="C32" t="s">
        <v>1565</v>
      </c>
      <c r="D32" t="s">
        <v>1746</v>
      </c>
      <c r="E32" t="s">
        <v>1747</v>
      </c>
      <c r="F32" t="s">
        <v>1718</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8" t="s">
        <v>854</v>
      </c>
      <c r="B33" s="111" t="s">
        <v>889</v>
      </c>
      <c r="C33" t="s">
        <v>1566</v>
      </c>
      <c r="D33" t="s">
        <v>1748</v>
      </c>
      <c r="E33" t="s">
        <v>1749</v>
      </c>
      <c r="F33" t="s">
        <v>1718</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8"/>
      <c r="B34" s="111" t="s">
        <v>890</v>
      </c>
      <c r="C34" t="s">
        <v>1707</v>
      </c>
      <c r="D34" t="s">
        <v>1750</v>
      </c>
      <c r="E34" t="s">
        <v>1751</v>
      </c>
      <c r="F34" t="s">
        <v>1718</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8"/>
      <c r="B35" s="111"/>
      <c r="C35" t="s">
        <v>1708</v>
      </c>
      <c r="E35" t="s">
        <v>1752</v>
      </c>
    </row>
    <row r="36" spans="1:38" ht="15" customHeight="1">
      <c r="A36" s="118"/>
      <c r="B36" s="111"/>
      <c r="C36" t="s">
        <v>1569</v>
      </c>
      <c r="E36" t="s">
        <v>1753</v>
      </c>
    </row>
    <row r="37" spans="1:38" s="39" customFormat="1" ht="15" customHeight="1">
      <c r="A37" s="118" t="s">
        <v>114</v>
      </c>
      <c r="B37" s="111" t="s">
        <v>891</v>
      </c>
      <c r="C37" t="s">
        <v>1549</v>
      </c>
      <c r="D37" t="s">
        <v>1754</v>
      </c>
      <c r="E37" t="s">
        <v>1755</v>
      </c>
      <c r="F37" t="s">
        <v>1718</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8" t="s">
        <v>115</v>
      </c>
      <c r="B38" s="111" t="s">
        <v>892</v>
      </c>
      <c r="C38" t="s">
        <v>1550</v>
      </c>
      <c r="D38" t="s">
        <v>1756</v>
      </c>
      <c r="E38" t="s">
        <v>1757</v>
      </c>
      <c r="F38" t="s">
        <v>1718</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8"/>
      <c r="B39" s="111"/>
      <c r="C39" t="s">
        <v>1571</v>
      </c>
      <c r="E39" t="s">
        <v>1758</v>
      </c>
    </row>
    <row r="40" spans="1:38" ht="15" customHeight="1">
      <c r="A40" s="118" t="s">
        <v>114</v>
      </c>
      <c r="B40" s="111" t="s">
        <v>893</v>
      </c>
      <c r="C40" t="s">
        <v>1553</v>
      </c>
      <c r="D40" t="s">
        <v>1759</v>
      </c>
      <c r="E40" t="s">
        <v>1760</v>
      </c>
      <c r="F40" t="s">
        <v>1718</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8" t="s">
        <v>112</v>
      </c>
      <c r="B41" s="111" t="s">
        <v>894</v>
      </c>
      <c r="C41" t="s">
        <v>1554</v>
      </c>
      <c r="D41" t="s">
        <v>1761</v>
      </c>
      <c r="E41" t="s">
        <v>1762</v>
      </c>
      <c r="F41" t="s">
        <v>1718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8" t="s">
        <v>112</v>
      </c>
      <c r="B42" s="111" t="s">
        <v>895</v>
      </c>
      <c r="C42" t="s">
        <v>1555</v>
      </c>
      <c r="D42" t="s">
        <v>1763</v>
      </c>
      <c r="E42" t="s">
        <v>1764</v>
      </c>
      <c r="F42" t="s">
        <v>1718</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8" t="s">
        <v>112</v>
      </c>
      <c r="B43" s="111" t="s">
        <v>896</v>
      </c>
      <c r="C43" t="s">
        <v>1556</v>
      </c>
      <c r="D43" t="s">
        <v>1765</v>
      </c>
      <c r="E43" t="s">
        <v>1766</v>
      </c>
      <c r="F43" t="s">
        <v>1718</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8" t="s">
        <v>116</v>
      </c>
      <c r="B44" s="111" t="s">
        <v>897</v>
      </c>
      <c r="C44" t="s">
        <v>1557</v>
      </c>
      <c r="D44" t="s">
        <v>1767</v>
      </c>
      <c r="E44" t="s">
        <v>1768</v>
      </c>
      <c r="F44" t="s">
        <v>1718</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8" t="s">
        <v>116</v>
      </c>
      <c r="B45" s="111" t="s">
        <v>898</v>
      </c>
      <c r="C45" t="s">
        <v>1558</v>
      </c>
      <c r="D45" t="s">
        <v>1769</v>
      </c>
      <c r="E45" t="s">
        <v>1770</v>
      </c>
      <c r="F45" t="s">
        <v>1718</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8" t="s">
        <v>115</v>
      </c>
      <c r="B46" s="111" t="s">
        <v>899</v>
      </c>
      <c r="C46" t="s">
        <v>1559</v>
      </c>
      <c r="D46" t="s">
        <v>1771</v>
      </c>
      <c r="E46" t="s">
        <v>1772</v>
      </c>
      <c r="F46" t="s">
        <v>1718</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8" t="s">
        <v>114</v>
      </c>
      <c r="B47" s="111" t="s">
        <v>900</v>
      </c>
      <c r="C47" t="s">
        <v>1560</v>
      </c>
      <c r="D47" t="s">
        <v>1773</v>
      </c>
      <c r="E47" t="s">
        <v>1774</v>
      </c>
      <c r="F47" t="s">
        <v>1718</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8" t="s">
        <v>113</v>
      </c>
      <c r="B48" s="111" t="s">
        <v>901</v>
      </c>
      <c r="C48" t="s">
        <v>1561</v>
      </c>
      <c r="D48" t="s">
        <v>1775</v>
      </c>
      <c r="E48" t="s">
        <v>1776</v>
      </c>
      <c r="F48" t="s">
        <v>1718</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8" t="s">
        <v>113</v>
      </c>
      <c r="B49" s="111" t="s">
        <v>902</v>
      </c>
      <c r="C49" t="s">
        <v>1562</v>
      </c>
      <c r="D49" t="s">
        <v>1777</v>
      </c>
      <c r="E49" t="s">
        <v>1778</v>
      </c>
      <c r="F49" t="s">
        <v>1718</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8" t="s">
        <v>853</v>
      </c>
      <c r="B50" s="111" t="s">
        <v>903</v>
      </c>
      <c r="C50" t="s">
        <v>1563</v>
      </c>
      <c r="D50" t="s">
        <v>1779</v>
      </c>
      <c r="E50" t="s">
        <v>1780</v>
      </c>
      <c r="F50" t="s">
        <v>1718</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8" t="s">
        <v>853</v>
      </c>
      <c r="B51" s="111" t="s">
        <v>904</v>
      </c>
      <c r="C51" t="s">
        <v>1564</v>
      </c>
      <c r="D51" t="s">
        <v>1781</v>
      </c>
      <c r="E51" t="s">
        <v>1782</v>
      </c>
      <c r="F51" t="s">
        <v>1718</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8" t="s">
        <v>854</v>
      </c>
      <c r="B52" s="111" t="s">
        <v>905</v>
      </c>
      <c r="C52" t="s">
        <v>1565</v>
      </c>
      <c r="D52" t="s">
        <v>1783</v>
      </c>
      <c r="E52" t="s">
        <v>1784</v>
      </c>
      <c r="F52" t="s">
        <v>1718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8" t="s">
        <v>854</v>
      </c>
      <c r="B53" s="111" t="s">
        <v>906</v>
      </c>
      <c r="C53" t="s">
        <v>1566</v>
      </c>
      <c r="D53" t="s">
        <v>1785</v>
      </c>
      <c r="E53" t="s">
        <v>1786</v>
      </c>
      <c r="F53" t="s">
        <v>1718</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8"/>
      <c r="B54" s="111" t="s">
        <v>907</v>
      </c>
      <c r="C54" t="s">
        <v>1709</v>
      </c>
      <c r="D54" t="s">
        <v>1787</v>
      </c>
      <c r="E54" t="s">
        <v>1788</v>
      </c>
      <c r="F54" t="s">
        <v>1718</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908</v>
      </c>
      <c r="C55" t="s">
        <v>909</v>
      </c>
      <c r="D55" t="s">
        <v>1789</v>
      </c>
      <c r="E55" t="s">
        <v>1790</v>
      </c>
      <c r="F55" t="s">
        <v>1718</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910</v>
      </c>
      <c r="C56" t="s">
        <v>1710</v>
      </c>
      <c r="D56" t="s">
        <v>1791</v>
      </c>
      <c r="E56" t="s">
        <v>1792</v>
      </c>
      <c r="F56" t="s">
        <v>1718</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911</v>
      </c>
      <c r="C57" t="s">
        <v>1711</v>
      </c>
      <c r="D57" t="s">
        <v>1793</v>
      </c>
      <c r="E57" t="s">
        <v>1794</v>
      </c>
      <c r="F57" t="s">
        <v>1718</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912</v>
      </c>
      <c r="C58" t="s">
        <v>1712</v>
      </c>
      <c r="D58" t="s">
        <v>1795</v>
      </c>
      <c r="E58" t="s">
        <v>1796</v>
      </c>
      <c r="F58" t="s">
        <v>1718</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913</v>
      </c>
      <c r="C59" t="s">
        <v>1713</v>
      </c>
      <c r="D59" t="s">
        <v>1797</v>
      </c>
      <c r="E59" t="s">
        <v>1798</v>
      </c>
      <c r="F59" t="s">
        <v>1718</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914</v>
      </c>
      <c r="C60" t="s">
        <v>1712</v>
      </c>
      <c r="D60" t="s">
        <v>1799</v>
      </c>
      <c r="E60" t="s">
        <v>1800</v>
      </c>
      <c r="F60" t="s">
        <v>1718</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08984375" defaultRowHeight="14.5"/>
  <sheetData>
    <row r="1" spans="1:11">
      <c r="A1" t="s">
        <v>3363</v>
      </c>
    </row>
    <row r="2" spans="1:11">
      <c r="A2" t="s">
        <v>3364</v>
      </c>
    </row>
    <row r="3" spans="1:11">
      <c r="A3" t="s">
        <v>3365</v>
      </c>
    </row>
    <row r="4" spans="1:11">
      <c r="A4" t="s">
        <v>1198</v>
      </c>
    </row>
    <row r="5" spans="1:11" s="127" customFormat="1">
      <c r="A5" t="s">
        <v>3352</v>
      </c>
      <c r="B5" t="s">
        <v>3353</v>
      </c>
      <c r="C5" t="s">
        <v>3354</v>
      </c>
      <c r="D5" t="s">
        <v>3355</v>
      </c>
      <c r="E5" t="s">
        <v>3356</v>
      </c>
      <c r="F5" t="s">
        <v>3357</v>
      </c>
      <c r="G5" t="s">
        <v>3358</v>
      </c>
      <c r="H5" t="s">
        <v>3359</v>
      </c>
      <c r="I5" t="s">
        <v>3360</v>
      </c>
      <c r="J5" t="s">
        <v>3361</v>
      </c>
      <c r="K5" t="s">
        <v>3362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36328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row r="10" spans="1:39" ht="15" customHeight="1">
      <c r="A10" s="111" t="s">
        <v>290</v>
      </c>
      <c r="B10" t="s">
        <v>1801</v>
      </c>
    </row>
    <row r="11" spans="1:39" ht="15" customHeight="1">
      <c r="B11" t="s">
        <v>1802</v>
      </c>
    </row>
    <row r="12" spans="1:39" ht="15" customHeight="1">
      <c r="B12" t="s">
        <v>1803</v>
      </c>
      <c r="AL12" s="5"/>
      <c r="AM12" s="5"/>
    </row>
    <row r="13" spans="1:39" ht="15" customHeight="1" thickBot="1">
      <c r="B13" t="s">
        <v>1198</v>
      </c>
      <c r="AL13" s="22"/>
      <c r="AM13" s="22"/>
    </row>
    <row r="14" spans="1:39" ht="15" customHeight="1" thickTop="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1" t="s">
        <v>289</v>
      </c>
      <c r="B15" t="s">
        <v>288</v>
      </c>
      <c r="C15" t="s">
        <v>1843</v>
      </c>
      <c r="D15" t="s">
        <v>1844</v>
      </c>
      <c r="E15" t="s">
        <v>1845</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287</v>
      </c>
      <c r="D16" t="s">
        <v>1846</v>
      </c>
    </row>
    <row r="17" spans="1:39" ht="15" customHeight="1">
      <c r="A17" s="111" t="s">
        <v>286</v>
      </c>
      <c r="B17" t="s">
        <v>1804</v>
      </c>
      <c r="C17" t="s">
        <v>1847</v>
      </c>
      <c r="D17" t="s">
        <v>1848</v>
      </c>
      <c r="E17" t="s">
        <v>1849</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285</v>
      </c>
      <c r="B18" t="s">
        <v>1805</v>
      </c>
      <c r="C18" t="s">
        <v>1850</v>
      </c>
      <c r="D18" t="s">
        <v>1851</v>
      </c>
      <c r="E18" t="s">
        <v>1849</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284</v>
      </c>
      <c r="B19" t="s">
        <v>1806</v>
      </c>
      <c r="C19" t="s">
        <v>1852</v>
      </c>
      <c r="D19" t="s">
        <v>1853</v>
      </c>
      <c r="E19" t="s">
        <v>1849</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283</v>
      </c>
      <c r="D20" t="s">
        <v>1854</v>
      </c>
    </row>
    <row r="21" spans="1:39" ht="15" customHeight="1">
      <c r="A21" s="111" t="s">
        <v>282</v>
      </c>
      <c r="B21" t="s">
        <v>1807</v>
      </c>
      <c r="C21" t="s">
        <v>1855</v>
      </c>
      <c r="D21" t="s">
        <v>1856</v>
      </c>
      <c r="E21" t="s">
        <v>1857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281</v>
      </c>
      <c r="B22" t="s">
        <v>1808</v>
      </c>
      <c r="C22" t="s">
        <v>1858</v>
      </c>
      <c r="D22" t="s">
        <v>1859</v>
      </c>
      <c r="E22" t="s">
        <v>1857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280</v>
      </c>
      <c r="D23" t="s">
        <v>1860</v>
      </c>
    </row>
    <row r="24" spans="1:39" ht="15" customHeight="1">
      <c r="A24" s="111"/>
      <c r="B24" t="s">
        <v>1809</v>
      </c>
      <c r="D24" t="s">
        <v>1861</v>
      </c>
    </row>
    <row r="25" spans="1:39" ht="15" customHeight="1">
      <c r="A25" s="111" t="s">
        <v>279</v>
      </c>
      <c r="B25" t="s">
        <v>1810</v>
      </c>
      <c r="C25" t="s">
        <v>1862</v>
      </c>
      <c r="D25" t="s">
        <v>1863</v>
      </c>
      <c r="E25" t="s">
        <v>1864</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278</v>
      </c>
      <c r="B26" t="s">
        <v>1811</v>
      </c>
      <c r="C26" t="s">
        <v>1865</v>
      </c>
      <c r="D26" t="s">
        <v>1866</v>
      </c>
      <c r="E26" t="s">
        <v>1864</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277</v>
      </c>
      <c r="B27" t="s">
        <v>1812</v>
      </c>
      <c r="C27" t="s">
        <v>1867</v>
      </c>
      <c r="D27" t="s">
        <v>1868</v>
      </c>
      <c r="E27" t="s">
        <v>1864</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276</v>
      </c>
      <c r="B28" t="s">
        <v>1813</v>
      </c>
      <c r="C28" t="s">
        <v>1869</v>
      </c>
      <c r="D28" t="s">
        <v>1870</v>
      </c>
      <c r="E28" t="s">
        <v>1864</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275</v>
      </c>
      <c r="B29" t="s">
        <v>1814</v>
      </c>
      <c r="C29" t="s">
        <v>1871</v>
      </c>
      <c r="D29" t="s">
        <v>1872</v>
      </c>
      <c r="E29" t="s">
        <v>1864</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274</v>
      </c>
      <c r="B30" t="s">
        <v>1815</v>
      </c>
      <c r="C30" t="s">
        <v>1873</v>
      </c>
      <c r="D30" t="s">
        <v>1874</v>
      </c>
      <c r="E30" t="s">
        <v>1864</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273</v>
      </c>
      <c r="B31" t="s">
        <v>1816</v>
      </c>
      <c r="C31" t="s">
        <v>1875</v>
      </c>
      <c r="D31" t="s">
        <v>1876</v>
      </c>
      <c r="E31" t="s">
        <v>1864</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272</v>
      </c>
      <c r="B32" t="s">
        <v>1817</v>
      </c>
      <c r="C32" t="s">
        <v>1877</v>
      </c>
      <c r="D32" t="s">
        <v>1878</v>
      </c>
      <c r="E32" t="s">
        <v>1864</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271</v>
      </c>
      <c r="B33" t="s">
        <v>1818</v>
      </c>
      <c r="C33" t="s">
        <v>1879</v>
      </c>
      <c r="D33" t="s">
        <v>1880</v>
      </c>
      <c r="E33" t="s">
        <v>1864</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270</v>
      </c>
      <c r="B34" t="s">
        <v>1819</v>
      </c>
      <c r="C34" t="s">
        <v>1881</v>
      </c>
      <c r="D34" t="s">
        <v>1882</v>
      </c>
      <c r="E34" t="s">
        <v>1864</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269</v>
      </c>
      <c r="B35" t="s">
        <v>1820</v>
      </c>
      <c r="C35" t="s">
        <v>1883</v>
      </c>
      <c r="D35" t="s">
        <v>1884</v>
      </c>
      <c r="E35" t="s">
        <v>1864</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268</v>
      </c>
      <c r="B36" t="s">
        <v>1821</v>
      </c>
      <c r="C36" t="s">
        <v>1885</v>
      </c>
      <c r="D36" t="s">
        <v>1886</v>
      </c>
      <c r="E36" t="s">
        <v>1864</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267</v>
      </c>
      <c r="B37" t="s">
        <v>1822</v>
      </c>
      <c r="C37" t="s">
        <v>1887</v>
      </c>
      <c r="D37" t="s">
        <v>1888</v>
      </c>
      <c r="E37" t="s">
        <v>1864</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266</v>
      </c>
      <c r="D38" t="s">
        <v>1889</v>
      </c>
    </row>
    <row r="39" spans="1:39" ht="15" customHeight="1">
      <c r="A39" s="111"/>
      <c r="B39" t="s">
        <v>1823</v>
      </c>
      <c r="D39" t="s">
        <v>1890</v>
      </c>
    </row>
    <row r="40" spans="1:39" ht="15" customHeight="1">
      <c r="A40" s="111"/>
      <c r="B40" t="s">
        <v>1804</v>
      </c>
      <c r="D40" t="s">
        <v>1891</v>
      </c>
    </row>
    <row r="41" spans="1:39" ht="15" customHeight="1">
      <c r="A41" s="111" t="s">
        <v>265</v>
      </c>
      <c r="B41" t="s">
        <v>1810</v>
      </c>
      <c r="C41" t="s">
        <v>1892</v>
      </c>
      <c r="D41" t="s">
        <v>1893</v>
      </c>
      <c r="E41" t="s">
        <v>1894</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264</v>
      </c>
      <c r="B42" t="s">
        <v>1811</v>
      </c>
      <c r="C42" t="s">
        <v>1895</v>
      </c>
      <c r="D42" t="s">
        <v>1896</v>
      </c>
      <c r="E42" t="s">
        <v>1894</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263</v>
      </c>
      <c r="B43" t="s">
        <v>1812</v>
      </c>
      <c r="C43" t="s">
        <v>1897</v>
      </c>
      <c r="D43" t="s">
        <v>1898</v>
      </c>
      <c r="E43" t="s">
        <v>1894</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262</v>
      </c>
      <c r="B44" t="s">
        <v>1813</v>
      </c>
      <c r="C44" t="s">
        <v>1899</v>
      </c>
      <c r="D44" t="s">
        <v>1900</v>
      </c>
      <c r="E44" t="s">
        <v>1894</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261</v>
      </c>
      <c r="B45" t="s">
        <v>1814</v>
      </c>
      <c r="C45" t="s">
        <v>1901</v>
      </c>
      <c r="D45" t="s">
        <v>1902</v>
      </c>
      <c r="E45" t="s">
        <v>1894</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260</v>
      </c>
      <c r="B46" t="s">
        <v>1815</v>
      </c>
      <c r="C46" t="s">
        <v>1903</v>
      </c>
      <c r="D46" t="s">
        <v>1904</v>
      </c>
      <c r="E46" t="s">
        <v>1894</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259</v>
      </c>
      <c r="B47" t="s">
        <v>1816</v>
      </c>
      <c r="C47" t="s">
        <v>1905</v>
      </c>
      <c r="D47" t="s">
        <v>1906</v>
      </c>
      <c r="E47" t="s">
        <v>1894</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258</v>
      </c>
      <c r="B48" t="s">
        <v>1817</v>
      </c>
      <c r="C48" t="s">
        <v>1907</v>
      </c>
      <c r="D48" t="s">
        <v>1908</v>
      </c>
      <c r="E48" t="s">
        <v>1894</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257</v>
      </c>
      <c r="B49" t="s">
        <v>1818</v>
      </c>
      <c r="C49" t="s">
        <v>1909</v>
      </c>
      <c r="D49" t="s">
        <v>1910</v>
      </c>
      <c r="E49" t="s">
        <v>1894</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256</v>
      </c>
      <c r="B50" t="s">
        <v>1819</v>
      </c>
      <c r="C50" t="s">
        <v>1911</v>
      </c>
      <c r="D50" t="s">
        <v>1912</v>
      </c>
      <c r="E50" t="s">
        <v>1894</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255</v>
      </c>
      <c r="B51" t="s">
        <v>1820</v>
      </c>
      <c r="C51" t="s">
        <v>1913</v>
      </c>
      <c r="D51" t="s">
        <v>1914</v>
      </c>
      <c r="E51" t="s">
        <v>1894</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254</v>
      </c>
      <c r="B52" t="s">
        <v>1821</v>
      </c>
      <c r="C52" t="s">
        <v>1915</v>
      </c>
      <c r="D52" t="s">
        <v>1916</v>
      </c>
      <c r="E52" t="s">
        <v>1894</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253</v>
      </c>
      <c r="B53" t="s">
        <v>1822</v>
      </c>
      <c r="C53" t="s">
        <v>1917</v>
      </c>
      <c r="D53" t="s">
        <v>1918</v>
      </c>
      <c r="E53" t="s">
        <v>1894</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1805</v>
      </c>
      <c r="D54" t="s">
        <v>1919</v>
      </c>
    </row>
    <row r="55" spans="1:39" ht="15" customHeight="1">
      <c r="A55" s="111" t="s">
        <v>252</v>
      </c>
      <c r="B55" t="s">
        <v>1810</v>
      </c>
      <c r="C55" t="s">
        <v>1920</v>
      </c>
      <c r="D55" t="s">
        <v>1921</v>
      </c>
      <c r="E55" t="s">
        <v>1894</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251</v>
      </c>
      <c r="B56" t="s">
        <v>1811</v>
      </c>
      <c r="C56" t="s">
        <v>1922</v>
      </c>
      <c r="D56" t="s">
        <v>1923</v>
      </c>
      <c r="E56" t="s">
        <v>1894</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250</v>
      </c>
      <c r="B57" t="s">
        <v>1812</v>
      </c>
      <c r="C57" t="s">
        <v>1924</v>
      </c>
      <c r="D57" t="s">
        <v>1925</v>
      </c>
      <c r="E57" t="s">
        <v>1894</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249</v>
      </c>
      <c r="B58" t="s">
        <v>1813</v>
      </c>
      <c r="C58" t="s">
        <v>1926</v>
      </c>
      <c r="D58" t="s">
        <v>1927</v>
      </c>
      <c r="E58" t="s">
        <v>1894</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248</v>
      </c>
      <c r="B59" t="s">
        <v>1814</v>
      </c>
      <c r="C59" t="s">
        <v>1928</v>
      </c>
      <c r="D59" t="s">
        <v>1929</v>
      </c>
      <c r="E59" t="s">
        <v>1894</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247</v>
      </c>
      <c r="B60" t="s">
        <v>1815</v>
      </c>
      <c r="C60" t="s">
        <v>1930</v>
      </c>
      <c r="D60" t="s">
        <v>1931</v>
      </c>
      <c r="E60" t="s">
        <v>1894</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246</v>
      </c>
      <c r="B61" t="s">
        <v>1816</v>
      </c>
      <c r="C61" t="s">
        <v>1932</v>
      </c>
      <c r="D61" t="s">
        <v>1933</v>
      </c>
      <c r="E61" t="s">
        <v>1894</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245</v>
      </c>
      <c r="B62" t="s">
        <v>1817</v>
      </c>
      <c r="C62" t="s">
        <v>1934</v>
      </c>
      <c r="D62" t="s">
        <v>1935</v>
      </c>
      <c r="E62" t="s">
        <v>1894</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244</v>
      </c>
      <c r="B63" t="s">
        <v>1818</v>
      </c>
      <c r="C63" t="s">
        <v>1936</v>
      </c>
      <c r="D63" t="s">
        <v>1937</v>
      </c>
      <c r="E63" t="s">
        <v>1894</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243</v>
      </c>
      <c r="B64" t="s">
        <v>1819</v>
      </c>
      <c r="C64" t="s">
        <v>1938</v>
      </c>
      <c r="D64" t="s">
        <v>1939</v>
      </c>
      <c r="E64" t="s">
        <v>1894</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242</v>
      </c>
      <c r="B65" t="s">
        <v>1820</v>
      </c>
      <c r="C65" t="s">
        <v>1940</v>
      </c>
      <c r="D65" t="s">
        <v>1941</v>
      </c>
      <c r="E65" t="s">
        <v>1894</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241</v>
      </c>
      <c r="B66" t="s">
        <v>1821</v>
      </c>
      <c r="C66" t="s">
        <v>1942</v>
      </c>
      <c r="D66" t="s">
        <v>1943</v>
      </c>
      <c r="E66" t="s">
        <v>1894</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240</v>
      </c>
      <c r="B67" t="s">
        <v>1822</v>
      </c>
      <c r="C67" t="s">
        <v>1944</v>
      </c>
      <c r="D67" t="s">
        <v>1945</v>
      </c>
      <c r="E67" t="s">
        <v>1894</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1824</v>
      </c>
      <c r="D68" t="s">
        <v>1946</v>
      </c>
    </row>
    <row r="69" spans="1:39" ht="15" customHeight="1">
      <c r="A69" s="111" t="s">
        <v>239</v>
      </c>
      <c r="B69" t="s">
        <v>1810</v>
      </c>
      <c r="C69" t="s">
        <v>1947</v>
      </c>
      <c r="D69" t="s">
        <v>1948</v>
      </c>
      <c r="E69" t="s">
        <v>1894</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238</v>
      </c>
      <c r="B70" t="s">
        <v>1811</v>
      </c>
      <c r="C70" t="s">
        <v>1949</v>
      </c>
      <c r="D70" t="s">
        <v>1950</v>
      </c>
      <c r="E70" t="s">
        <v>1894</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237</v>
      </c>
      <c r="B71" t="s">
        <v>1812</v>
      </c>
      <c r="C71" t="s">
        <v>1951</v>
      </c>
      <c r="D71" t="s">
        <v>1952</v>
      </c>
      <c r="E71" t="s">
        <v>1894</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236</v>
      </c>
      <c r="B72" t="s">
        <v>1813</v>
      </c>
      <c r="C72" t="s">
        <v>1953</v>
      </c>
      <c r="D72" t="s">
        <v>1954</v>
      </c>
      <c r="E72" t="s">
        <v>1894</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235</v>
      </c>
      <c r="B73" t="s">
        <v>1814</v>
      </c>
      <c r="C73" t="s">
        <v>1955</v>
      </c>
      <c r="D73" t="s">
        <v>1956</v>
      </c>
      <c r="E73" t="s">
        <v>1894</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234</v>
      </c>
      <c r="B74" t="s">
        <v>1815</v>
      </c>
      <c r="C74" t="s">
        <v>1957</v>
      </c>
      <c r="D74" t="s">
        <v>1958</v>
      </c>
      <c r="E74" t="s">
        <v>1894</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233</v>
      </c>
      <c r="B75" t="s">
        <v>1816</v>
      </c>
      <c r="C75" t="s">
        <v>1959</v>
      </c>
      <c r="D75" t="s">
        <v>1960</v>
      </c>
      <c r="E75" t="s">
        <v>1894</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232</v>
      </c>
      <c r="B76" t="s">
        <v>1817</v>
      </c>
      <c r="C76" t="s">
        <v>1961</v>
      </c>
      <c r="D76" t="s">
        <v>1962</v>
      </c>
      <c r="E76" t="s">
        <v>1894</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231</v>
      </c>
      <c r="B77" t="s">
        <v>1818</v>
      </c>
      <c r="C77" t="s">
        <v>1963</v>
      </c>
      <c r="D77" t="s">
        <v>1964</v>
      </c>
      <c r="E77" t="s">
        <v>1894</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230</v>
      </c>
      <c r="B78" t="s">
        <v>1819</v>
      </c>
      <c r="C78" t="s">
        <v>1965</v>
      </c>
      <c r="D78" t="s">
        <v>1966</v>
      </c>
      <c r="E78" t="s">
        <v>1894</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229</v>
      </c>
      <c r="B79" t="s">
        <v>1820</v>
      </c>
      <c r="C79" t="s">
        <v>1967</v>
      </c>
      <c r="D79" t="s">
        <v>1968</v>
      </c>
      <c r="E79" t="s">
        <v>1894</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228</v>
      </c>
      <c r="B80" t="s">
        <v>1821</v>
      </c>
      <c r="C80" t="s">
        <v>1969</v>
      </c>
      <c r="D80" t="s">
        <v>1970</v>
      </c>
      <c r="E80" t="s">
        <v>1894</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227</v>
      </c>
      <c r="B81" t="s">
        <v>1822</v>
      </c>
      <c r="C81" t="s">
        <v>1971</v>
      </c>
      <c r="D81" t="s">
        <v>1972</v>
      </c>
      <c r="E81" t="s">
        <v>1894</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226</v>
      </c>
      <c r="B82" t="s">
        <v>153</v>
      </c>
      <c r="C82" t="s">
        <v>1973</v>
      </c>
      <c r="D82" t="s">
        <v>1974</v>
      </c>
      <c r="E82" t="s">
        <v>1894</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225</v>
      </c>
      <c r="D83" t="s">
        <v>1975</v>
      </c>
    </row>
    <row r="84" spans="1:39" ht="15" customHeight="1">
      <c r="A84" s="111" t="s">
        <v>224</v>
      </c>
      <c r="B84" t="s">
        <v>1810</v>
      </c>
      <c r="C84" t="s">
        <v>1976</v>
      </c>
      <c r="D84" t="s">
        <v>1977</v>
      </c>
      <c r="E84" t="s">
        <v>1894</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223</v>
      </c>
      <c r="B85" t="s">
        <v>1825</v>
      </c>
      <c r="C85" t="s">
        <v>1978</v>
      </c>
      <c r="D85" t="s">
        <v>1979</v>
      </c>
      <c r="E85" t="s">
        <v>1894</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222</v>
      </c>
      <c r="B86" t="s">
        <v>1826</v>
      </c>
      <c r="C86" t="s">
        <v>1980</v>
      </c>
      <c r="D86" t="s">
        <v>1981</v>
      </c>
      <c r="E86" t="s">
        <v>1894</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221</v>
      </c>
      <c r="B87" t="s">
        <v>1827</v>
      </c>
      <c r="C87" t="s">
        <v>1982</v>
      </c>
      <c r="D87" t="s">
        <v>1983</v>
      </c>
      <c r="E87" t="s">
        <v>1894</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220</v>
      </c>
      <c r="B88" t="s">
        <v>1811</v>
      </c>
      <c r="C88" t="s">
        <v>1984</v>
      </c>
      <c r="D88" t="s">
        <v>1985</v>
      </c>
      <c r="E88" t="s">
        <v>1894</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219</v>
      </c>
      <c r="B89" t="s">
        <v>1812</v>
      </c>
      <c r="C89" t="s">
        <v>1986</v>
      </c>
      <c r="D89" t="s">
        <v>1987</v>
      </c>
      <c r="E89" t="s">
        <v>1894</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218</v>
      </c>
      <c r="B90" t="s">
        <v>1813</v>
      </c>
      <c r="C90" t="s">
        <v>1988</v>
      </c>
      <c r="D90" t="s">
        <v>1989</v>
      </c>
      <c r="E90" t="s">
        <v>1894</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217</v>
      </c>
      <c r="B91" t="s">
        <v>1814</v>
      </c>
      <c r="C91" t="s">
        <v>1990</v>
      </c>
      <c r="D91" t="s">
        <v>1991</v>
      </c>
      <c r="E91" t="s">
        <v>1894</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216</v>
      </c>
      <c r="B92" t="s">
        <v>1815</v>
      </c>
      <c r="C92" t="s">
        <v>1992</v>
      </c>
      <c r="D92" t="s">
        <v>1993</v>
      </c>
      <c r="E92" t="s">
        <v>1894</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215</v>
      </c>
      <c r="B93" t="s">
        <v>1816</v>
      </c>
      <c r="C93" t="s">
        <v>1994</v>
      </c>
      <c r="D93" t="s">
        <v>1995</v>
      </c>
      <c r="E93" t="s">
        <v>1894</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214</v>
      </c>
      <c r="B94" t="s">
        <v>1817</v>
      </c>
      <c r="C94" t="s">
        <v>1996</v>
      </c>
      <c r="D94" t="s">
        <v>1997</v>
      </c>
      <c r="E94" t="s">
        <v>1894</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213</v>
      </c>
      <c r="B95" t="s">
        <v>1818</v>
      </c>
      <c r="C95" t="s">
        <v>1998</v>
      </c>
      <c r="D95" t="s">
        <v>1999</v>
      </c>
      <c r="E95" t="s">
        <v>1894</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212</v>
      </c>
      <c r="B96" t="s">
        <v>1819</v>
      </c>
      <c r="C96" t="s">
        <v>2000</v>
      </c>
      <c r="D96" t="s">
        <v>2001</v>
      </c>
      <c r="E96" t="s">
        <v>1894</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211</v>
      </c>
      <c r="B97" t="s">
        <v>1820</v>
      </c>
      <c r="C97" t="s">
        <v>2002</v>
      </c>
      <c r="D97" t="s">
        <v>2003</v>
      </c>
      <c r="E97" t="s">
        <v>1894</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210</v>
      </c>
      <c r="B98" t="s">
        <v>1821</v>
      </c>
      <c r="C98" t="s">
        <v>2004</v>
      </c>
      <c r="D98" t="s">
        <v>2005</v>
      </c>
      <c r="E98" t="s">
        <v>1894</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209</v>
      </c>
      <c r="B99" t="s">
        <v>1822</v>
      </c>
      <c r="C99" t="s">
        <v>2006</v>
      </c>
      <c r="D99" t="s">
        <v>2007</v>
      </c>
      <c r="E99" t="s">
        <v>1894</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208</v>
      </c>
      <c r="B100" t="s">
        <v>153</v>
      </c>
      <c r="C100" t="s">
        <v>2008</v>
      </c>
      <c r="D100" t="s">
        <v>2009</v>
      </c>
      <c r="E100" t="s">
        <v>1894</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207</v>
      </c>
      <c r="D101" t="s">
        <v>2010</v>
      </c>
    </row>
    <row r="102" spans="1:39" ht="15" customHeight="1">
      <c r="A102" s="111" t="s">
        <v>206</v>
      </c>
      <c r="B102" t="s">
        <v>1810</v>
      </c>
      <c r="C102" t="s">
        <v>2011</v>
      </c>
      <c r="D102" t="s">
        <v>2012</v>
      </c>
      <c r="E102" t="s">
        <v>1289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205</v>
      </c>
      <c r="B103" t="s">
        <v>1825</v>
      </c>
      <c r="C103" t="s">
        <v>2013</v>
      </c>
      <c r="D103" t="s">
        <v>2014</v>
      </c>
      <c r="E103" t="s">
        <v>1289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6"/>
      <c r="AM103" s="27"/>
    </row>
    <row r="104" spans="1:39" ht="15" customHeight="1">
      <c r="A104" s="111" t="s">
        <v>204</v>
      </c>
      <c r="B104" t="s">
        <v>1826</v>
      </c>
      <c r="C104" t="s">
        <v>2015</v>
      </c>
      <c r="D104" t="s">
        <v>2016</v>
      </c>
      <c r="E104" t="s">
        <v>1289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203</v>
      </c>
      <c r="B105" t="s">
        <v>1827</v>
      </c>
      <c r="C105" t="s">
        <v>2017</v>
      </c>
      <c r="D105" t="s">
        <v>2018</v>
      </c>
      <c r="E105" t="s">
        <v>1289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6"/>
      <c r="AM105" s="27"/>
    </row>
    <row r="106" spans="1:39" ht="15" customHeight="1">
      <c r="A106" s="41" t="s">
        <v>202</v>
      </c>
      <c r="B106" t="s">
        <v>1811</v>
      </c>
      <c r="C106" t="s">
        <v>2019</v>
      </c>
      <c r="D106" t="s">
        <v>2020</v>
      </c>
      <c r="E106" t="s">
        <v>1289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6"/>
      <c r="AM106" s="27"/>
    </row>
    <row r="107" spans="1:39" ht="15" customHeight="1">
      <c r="A107" s="41" t="s">
        <v>201</v>
      </c>
      <c r="B107" t="s">
        <v>1825</v>
      </c>
      <c r="C107" t="s">
        <v>2021</v>
      </c>
      <c r="D107" t="s">
        <v>2022</v>
      </c>
      <c r="E107" t="s">
        <v>1289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6"/>
      <c r="AM107" s="27"/>
    </row>
    <row r="108" spans="1:39" ht="15" customHeight="1">
      <c r="A108" s="41" t="s">
        <v>200</v>
      </c>
      <c r="B108" t="s">
        <v>1826</v>
      </c>
      <c r="C108" t="s">
        <v>2023</v>
      </c>
      <c r="D108" t="s">
        <v>2024</v>
      </c>
      <c r="E108" t="s">
        <v>1289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6"/>
      <c r="AM108" s="27"/>
    </row>
    <row r="109" spans="1:39" ht="15" customHeight="1">
      <c r="A109" s="41" t="s">
        <v>199</v>
      </c>
      <c r="B109" t="s">
        <v>1827</v>
      </c>
      <c r="C109" t="s">
        <v>2025</v>
      </c>
      <c r="D109" t="s">
        <v>2026</v>
      </c>
      <c r="E109" t="s">
        <v>1289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6"/>
      <c r="AM109" s="27"/>
    </row>
    <row r="110" spans="1:39" ht="15" customHeight="1">
      <c r="A110" s="41" t="s">
        <v>198</v>
      </c>
      <c r="B110" t="s">
        <v>1812</v>
      </c>
      <c r="C110" t="s">
        <v>2027</v>
      </c>
      <c r="D110" t="s">
        <v>2028</v>
      </c>
      <c r="E110" t="s">
        <v>1289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6"/>
      <c r="AM110" s="27"/>
    </row>
    <row r="111" spans="1:39" ht="15" customHeight="1">
      <c r="A111" s="41" t="s">
        <v>197</v>
      </c>
      <c r="B111" t="s">
        <v>1825</v>
      </c>
      <c r="C111" t="s">
        <v>2029</v>
      </c>
      <c r="D111" t="s">
        <v>2030</v>
      </c>
      <c r="E111" t="s">
        <v>1289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6"/>
      <c r="AM111" s="27"/>
    </row>
    <row r="112" spans="1:39" ht="15" customHeight="1">
      <c r="A112" s="41" t="s">
        <v>196</v>
      </c>
      <c r="B112" t="s">
        <v>1826</v>
      </c>
      <c r="C112" t="s">
        <v>2031</v>
      </c>
      <c r="D112" t="s">
        <v>2032</v>
      </c>
      <c r="E112" t="s">
        <v>1289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6"/>
      <c r="AM112" s="27"/>
    </row>
    <row r="113" spans="1:39" ht="15" customHeight="1">
      <c r="A113" s="41" t="s">
        <v>195</v>
      </c>
      <c r="B113" t="s">
        <v>1827</v>
      </c>
      <c r="C113" t="s">
        <v>2033</v>
      </c>
      <c r="D113" t="s">
        <v>2034</v>
      </c>
      <c r="E113" t="s">
        <v>1289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6"/>
      <c r="AM113" s="27"/>
    </row>
    <row r="114" spans="1:39" ht="15" customHeight="1">
      <c r="A114" s="41" t="s">
        <v>194</v>
      </c>
      <c r="B114" t="s">
        <v>1813</v>
      </c>
      <c r="C114" t="s">
        <v>2035</v>
      </c>
      <c r="D114" t="s">
        <v>2036</v>
      </c>
      <c r="E114" t="s">
        <v>1289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6"/>
      <c r="AM114" s="27"/>
    </row>
    <row r="115" spans="1:39" ht="15" customHeight="1">
      <c r="A115" s="41" t="s">
        <v>193</v>
      </c>
      <c r="B115" t="s">
        <v>1825</v>
      </c>
      <c r="C115" t="s">
        <v>2037</v>
      </c>
      <c r="D115" t="s">
        <v>2038</v>
      </c>
      <c r="E115" t="s">
        <v>1289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6"/>
      <c r="AM115" s="27"/>
    </row>
    <row r="116" spans="1:39" ht="15" customHeight="1">
      <c r="A116" s="41" t="s">
        <v>192</v>
      </c>
      <c r="B116" t="s">
        <v>1826</v>
      </c>
      <c r="C116" t="s">
        <v>2039</v>
      </c>
      <c r="D116" t="s">
        <v>2040</v>
      </c>
      <c r="E116" t="s">
        <v>1289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6"/>
      <c r="AM116" s="27"/>
    </row>
    <row r="117" spans="1:39" ht="15" customHeight="1">
      <c r="A117" s="41" t="s">
        <v>191</v>
      </c>
      <c r="B117" t="s">
        <v>1827</v>
      </c>
      <c r="C117" t="s">
        <v>2041</v>
      </c>
      <c r="D117" t="s">
        <v>2042</v>
      </c>
      <c r="E117" t="s">
        <v>1289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6"/>
      <c r="AM117" s="27"/>
    </row>
    <row r="118" spans="1:39" ht="15" customHeight="1">
      <c r="A118" s="41" t="s">
        <v>190</v>
      </c>
      <c r="B118" t="s">
        <v>1814</v>
      </c>
      <c r="C118" t="s">
        <v>2043</v>
      </c>
      <c r="D118" t="s">
        <v>2044</v>
      </c>
      <c r="E118" t="s">
        <v>1289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6"/>
      <c r="AM118" s="27"/>
    </row>
    <row r="119" spans="1:39" ht="15" customHeight="1">
      <c r="A119" s="41" t="s">
        <v>189</v>
      </c>
      <c r="B119" t="s">
        <v>1825</v>
      </c>
      <c r="C119" t="s">
        <v>2045</v>
      </c>
      <c r="D119" t="s">
        <v>2046</v>
      </c>
      <c r="E119" t="s">
        <v>1289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6"/>
      <c r="AM119" s="27"/>
    </row>
    <row r="120" spans="1:39" ht="15" customHeight="1">
      <c r="A120" s="41" t="s">
        <v>188</v>
      </c>
      <c r="B120" t="s">
        <v>1826</v>
      </c>
      <c r="C120" t="s">
        <v>2047</v>
      </c>
      <c r="D120" t="s">
        <v>2048</v>
      </c>
      <c r="E120" t="s">
        <v>1289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6"/>
      <c r="AM120" s="27"/>
    </row>
    <row r="121" spans="1:39" ht="15" customHeight="1">
      <c r="A121" s="41" t="s">
        <v>187</v>
      </c>
      <c r="B121" t="s">
        <v>1827</v>
      </c>
      <c r="C121" t="s">
        <v>2049</v>
      </c>
      <c r="D121" t="s">
        <v>2050</v>
      </c>
      <c r="E121" t="s">
        <v>1289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6"/>
      <c r="AM121" s="27"/>
    </row>
    <row r="122" spans="1:39" ht="15" customHeight="1">
      <c r="A122" s="41" t="s">
        <v>186</v>
      </c>
      <c r="B122" t="s">
        <v>1815</v>
      </c>
      <c r="C122" t="s">
        <v>2051</v>
      </c>
      <c r="D122" t="s">
        <v>2052</v>
      </c>
      <c r="E122" t="s">
        <v>1289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6"/>
      <c r="AM122" s="27"/>
    </row>
    <row r="123" spans="1:39" ht="15" customHeight="1">
      <c r="A123" s="41" t="s">
        <v>185</v>
      </c>
      <c r="B123" t="s">
        <v>1825</v>
      </c>
      <c r="C123" t="s">
        <v>2053</v>
      </c>
      <c r="D123" t="s">
        <v>2054</v>
      </c>
      <c r="E123" t="s">
        <v>1289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6"/>
      <c r="AM123" s="27"/>
    </row>
    <row r="124" spans="1:39" ht="15" customHeight="1">
      <c r="A124" s="41" t="s">
        <v>184</v>
      </c>
      <c r="B124" t="s">
        <v>1826</v>
      </c>
      <c r="C124" t="s">
        <v>2055</v>
      </c>
      <c r="D124" t="s">
        <v>2056</v>
      </c>
      <c r="E124" t="s">
        <v>1289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6"/>
      <c r="AM124" s="27"/>
    </row>
    <row r="125" spans="1:39" ht="15" customHeight="1">
      <c r="A125" s="41" t="s">
        <v>183</v>
      </c>
      <c r="B125" t="s">
        <v>1827</v>
      </c>
      <c r="C125" t="s">
        <v>2057</v>
      </c>
      <c r="D125" t="s">
        <v>2058</v>
      </c>
      <c r="E125" t="s">
        <v>1289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6"/>
      <c r="AM125" s="27"/>
    </row>
    <row r="126" spans="1:39" ht="15" customHeight="1">
      <c r="A126" s="41" t="s">
        <v>182</v>
      </c>
      <c r="B126" t="s">
        <v>1816</v>
      </c>
      <c r="C126" t="s">
        <v>2059</v>
      </c>
      <c r="D126" t="s">
        <v>2060</v>
      </c>
      <c r="E126" t="s">
        <v>1289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6"/>
      <c r="AM126" s="27"/>
    </row>
    <row r="127" spans="1:39" ht="15" customHeight="1">
      <c r="A127" s="41" t="s">
        <v>181</v>
      </c>
      <c r="B127" t="s">
        <v>1825</v>
      </c>
      <c r="C127" t="s">
        <v>2061</v>
      </c>
      <c r="D127" t="s">
        <v>2062</v>
      </c>
      <c r="E127" t="s">
        <v>1289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6"/>
      <c r="AM127" s="27"/>
    </row>
    <row r="128" spans="1:39" ht="15" customHeight="1">
      <c r="A128" s="41" t="s">
        <v>180</v>
      </c>
      <c r="B128" t="s">
        <v>1826</v>
      </c>
      <c r="C128" t="s">
        <v>2063</v>
      </c>
      <c r="D128" t="s">
        <v>2064</v>
      </c>
      <c r="E128" t="s">
        <v>1289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6"/>
      <c r="AM128" s="27"/>
    </row>
    <row r="129" spans="1:39" ht="15" customHeight="1">
      <c r="A129" s="41" t="s">
        <v>179</v>
      </c>
      <c r="B129" t="s">
        <v>1827</v>
      </c>
      <c r="C129" t="s">
        <v>2065</v>
      </c>
      <c r="D129" t="s">
        <v>2066</v>
      </c>
      <c r="E129" t="s">
        <v>1289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6"/>
      <c r="AM129" s="27"/>
    </row>
    <row r="130" spans="1:39" ht="15" customHeight="1">
      <c r="A130" s="41" t="s">
        <v>178</v>
      </c>
      <c r="B130" t="s">
        <v>1817</v>
      </c>
      <c r="C130" t="s">
        <v>2067</v>
      </c>
      <c r="D130" t="s">
        <v>2068</v>
      </c>
      <c r="E130" t="s">
        <v>1289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6"/>
      <c r="AM130" s="27"/>
    </row>
    <row r="131" spans="1:39" ht="15" customHeight="1">
      <c r="A131" s="41" t="s">
        <v>177</v>
      </c>
      <c r="B131" t="s">
        <v>1825</v>
      </c>
      <c r="C131" t="s">
        <v>2069</v>
      </c>
      <c r="D131" t="s">
        <v>2070</v>
      </c>
      <c r="E131" t="s">
        <v>1289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6"/>
      <c r="AM131" s="27"/>
    </row>
    <row r="132" spans="1:39" ht="15" customHeight="1">
      <c r="A132" s="41" t="s">
        <v>176</v>
      </c>
      <c r="B132" t="s">
        <v>1826</v>
      </c>
      <c r="C132" t="s">
        <v>2071</v>
      </c>
      <c r="D132" t="s">
        <v>2072</v>
      </c>
      <c r="E132" t="s">
        <v>1289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6"/>
      <c r="AM132" s="27"/>
    </row>
    <row r="133" spans="1:39" ht="15" customHeight="1">
      <c r="A133" s="41" t="s">
        <v>175</v>
      </c>
      <c r="B133" t="s">
        <v>1827</v>
      </c>
      <c r="C133" t="s">
        <v>2073</v>
      </c>
      <c r="D133" t="s">
        <v>2074</v>
      </c>
      <c r="E133" t="s">
        <v>1289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6"/>
      <c r="AM133" s="27"/>
    </row>
    <row r="134" spans="1:39" ht="15" customHeight="1">
      <c r="A134" s="41" t="s">
        <v>174</v>
      </c>
      <c r="B134" t="s">
        <v>1818</v>
      </c>
      <c r="C134" t="s">
        <v>2075</v>
      </c>
      <c r="D134" t="s">
        <v>2076</v>
      </c>
      <c r="E134" t="s">
        <v>1289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173</v>
      </c>
      <c r="B135" t="s">
        <v>1825</v>
      </c>
      <c r="C135" t="s">
        <v>2077</v>
      </c>
      <c r="D135" t="s">
        <v>2078</v>
      </c>
      <c r="E135" t="s">
        <v>1289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172</v>
      </c>
      <c r="B136" t="s">
        <v>1826</v>
      </c>
      <c r="C136" t="s">
        <v>2079</v>
      </c>
      <c r="D136" t="s">
        <v>2080</v>
      </c>
      <c r="E136" t="s">
        <v>1289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171</v>
      </c>
      <c r="B137" t="s">
        <v>1827</v>
      </c>
      <c r="C137" t="s">
        <v>2081</v>
      </c>
      <c r="D137" t="s">
        <v>2082</v>
      </c>
      <c r="E137" t="s">
        <v>1289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6"/>
      <c r="AM137" s="27"/>
    </row>
    <row r="138" spans="1:39" ht="15" customHeight="1">
      <c r="A138" s="41" t="s">
        <v>170</v>
      </c>
      <c r="B138" t="s">
        <v>1819</v>
      </c>
      <c r="C138" t="s">
        <v>2083</v>
      </c>
      <c r="D138" t="s">
        <v>2084</v>
      </c>
      <c r="E138" t="s">
        <v>1289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6"/>
      <c r="AM138" s="27"/>
    </row>
    <row r="139" spans="1:39" ht="15" customHeight="1">
      <c r="A139" s="41" t="s">
        <v>169</v>
      </c>
      <c r="B139" t="s">
        <v>1825</v>
      </c>
      <c r="C139" t="s">
        <v>2085</v>
      </c>
      <c r="D139" t="s">
        <v>2086</v>
      </c>
      <c r="E139" t="s">
        <v>1289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6"/>
      <c r="AM139" s="27"/>
    </row>
    <row r="140" spans="1:39" ht="15" customHeight="1">
      <c r="A140" s="41" t="s">
        <v>168</v>
      </c>
      <c r="B140" t="s">
        <v>1826</v>
      </c>
      <c r="C140" t="s">
        <v>2087</v>
      </c>
      <c r="D140" t="s">
        <v>2088</v>
      </c>
      <c r="E140" t="s">
        <v>1289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6"/>
      <c r="AM140" s="27"/>
    </row>
    <row r="141" spans="1:39" ht="15" customHeight="1">
      <c r="A141" s="41" t="s">
        <v>167</v>
      </c>
      <c r="B141" t="s">
        <v>1827</v>
      </c>
      <c r="C141" t="s">
        <v>2089</v>
      </c>
      <c r="D141" t="s">
        <v>2090</v>
      </c>
      <c r="E141" t="s">
        <v>1289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6"/>
      <c r="AM141" s="27"/>
    </row>
    <row r="142" spans="1:39" ht="15" customHeight="1">
      <c r="A142" s="41" t="s">
        <v>166</v>
      </c>
      <c r="B142" t="s">
        <v>1820</v>
      </c>
      <c r="C142" t="s">
        <v>2091</v>
      </c>
      <c r="D142" t="s">
        <v>2092</v>
      </c>
      <c r="E142" t="s">
        <v>1289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6"/>
      <c r="AM142" s="27"/>
    </row>
    <row r="143" spans="1:39" ht="15" customHeight="1">
      <c r="A143" s="41" t="s">
        <v>165</v>
      </c>
      <c r="B143" t="s">
        <v>1825</v>
      </c>
      <c r="C143" t="s">
        <v>2093</v>
      </c>
      <c r="D143" t="s">
        <v>2094</v>
      </c>
      <c r="E143" t="s">
        <v>1289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6"/>
      <c r="AM143" s="27"/>
    </row>
    <row r="144" spans="1:39" ht="15" customHeight="1">
      <c r="A144" s="41" t="s">
        <v>164</v>
      </c>
      <c r="B144" t="s">
        <v>1826</v>
      </c>
      <c r="C144" t="s">
        <v>2095</v>
      </c>
      <c r="D144" t="s">
        <v>2096</v>
      </c>
      <c r="E144" t="s">
        <v>1289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6"/>
      <c r="AM144" s="27"/>
    </row>
    <row r="145" spans="1:39" ht="15" customHeight="1">
      <c r="A145" s="41" t="s">
        <v>163</v>
      </c>
      <c r="B145" t="s">
        <v>1827</v>
      </c>
      <c r="C145" t="s">
        <v>2097</v>
      </c>
      <c r="D145" t="s">
        <v>2098</v>
      </c>
      <c r="E145" t="s">
        <v>1289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6"/>
      <c r="AM145" s="27"/>
    </row>
    <row r="146" spans="1:39" ht="15" customHeight="1">
      <c r="A146" s="41" t="s">
        <v>162</v>
      </c>
      <c r="B146" t="s">
        <v>1821</v>
      </c>
      <c r="C146" t="s">
        <v>2099</v>
      </c>
      <c r="D146" t="s">
        <v>2100</v>
      </c>
      <c r="E146" t="s">
        <v>1289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6"/>
      <c r="AM146" s="27"/>
    </row>
    <row r="147" spans="1:39" ht="15" customHeight="1">
      <c r="A147" s="41" t="s">
        <v>161</v>
      </c>
      <c r="B147" t="s">
        <v>1825</v>
      </c>
      <c r="C147" t="s">
        <v>2101</v>
      </c>
      <c r="D147" t="s">
        <v>2102</v>
      </c>
      <c r="E147" t="s">
        <v>1289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6"/>
      <c r="AM147" s="27"/>
    </row>
    <row r="148" spans="1:39" ht="15" customHeight="1">
      <c r="A148" s="41" t="s">
        <v>160</v>
      </c>
      <c r="B148" t="s">
        <v>1826</v>
      </c>
      <c r="C148" t="s">
        <v>2103</v>
      </c>
      <c r="D148" t="s">
        <v>2104</v>
      </c>
      <c r="E148" t="s">
        <v>1289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6"/>
      <c r="AM148" s="27"/>
    </row>
    <row r="149" spans="1:39" ht="15" customHeight="1">
      <c r="A149" s="41" t="s">
        <v>159</v>
      </c>
      <c r="B149" t="s">
        <v>1827</v>
      </c>
      <c r="C149" t="s">
        <v>2105</v>
      </c>
      <c r="D149" t="s">
        <v>2106</v>
      </c>
      <c r="E149" t="s">
        <v>1289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6"/>
      <c r="AM149" s="27"/>
    </row>
    <row r="150" spans="1:39" ht="15" customHeight="1">
      <c r="A150" s="41" t="s">
        <v>158</v>
      </c>
      <c r="B150" t="s">
        <v>1822</v>
      </c>
      <c r="C150" t="s">
        <v>2107</v>
      </c>
      <c r="D150" t="s">
        <v>2108</v>
      </c>
      <c r="E150" t="s">
        <v>1289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157</v>
      </c>
      <c r="B151" t="s">
        <v>1825</v>
      </c>
      <c r="C151" t="s">
        <v>2109</v>
      </c>
      <c r="D151" t="s">
        <v>2110</v>
      </c>
      <c r="E151" t="s">
        <v>1289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156</v>
      </c>
      <c r="B152" t="s">
        <v>1826</v>
      </c>
      <c r="C152" t="s">
        <v>2111</v>
      </c>
      <c r="D152" t="s">
        <v>2112</v>
      </c>
      <c r="E152" t="s">
        <v>1289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6"/>
      <c r="AM152" s="27"/>
    </row>
    <row r="153" spans="1:39" ht="15" customHeight="1">
      <c r="A153" s="41" t="s">
        <v>155</v>
      </c>
      <c r="B153" t="s">
        <v>1827</v>
      </c>
      <c r="C153" t="s">
        <v>2113</v>
      </c>
      <c r="D153" t="s">
        <v>2114</v>
      </c>
      <c r="E153" t="s">
        <v>1289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6"/>
      <c r="AM153" s="27"/>
    </row>
    <row r="154" spans="1:39" ht="15" customHeight="1">
      <c r="A154" s="41" t="s">
        <v>154</v>
      </c>
      <c r="B154" t="s">
        <v>153</v>
      </c>
      <c r="C154" t="s">
        <v>2115</v>
      </c>
      <c r="D154" t="s">
        <v>2116</v>
      </c>
      <c r="E154" t="s">
        <v>1289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152</v>
      </c>
      <c r="D155" t="s">
        <v>2117</v>
      </c>
    </row>
    <row r="156" spans="1:39" ht="15" customHeight="1">
      <c r="A156" s="41" t="s">
        <v>151</v>
      </c>
      <c r="B156" t="s">
        <v>1828</v>
      </c>
      <c r="C156" t="s">
        <v>2118</v>
      </c>
      <c r="D156" t="s">
        <v>2119</v>
      </c>
      <c r="E156" t="s">
        <v>1857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9"/>
      <c r="AM156" s="27"/>
    </row>
    <row r="157" spans="1:39" ht="15" customHeight="1">
      <c r="A157" s="41" t="s">
        <v>150</v>
      </c>
      <c r="B157" t="s">
        <v>1829</v>
      </c>
      <c r="C157" t="s">
        <v>2120</v>
      </c>
      <c r="D157" t="s">
        <v>2121</v>
      </c>
      <c r="E157" t="s">
        <v>1857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9"/>
      <c r="AM157" s="27"/>
    </row>
    <row r="158" spans="1:39" ht="15" customHeight="1">
      <c r="A158" s="41" t="s">
        <v>149</v>
      </c>
      <c r="B158" t="s">
        <v>1830</v>
      </c>
      <c r="C158" t="s">
        <v>2122</v>
      </c>
      <c r="D158" t="s">
        <v>2123</v>
      </c>
      <c r="E158" t="s">
        <v>1857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9"/>
      <c r="AM158" s="27"/>
    </row>
    <row r="159" spans="1:39" ht="15" customHeight="1">
      <c r="A159" s="41" t="s">
        <v>148</v>
      </c>
      <c r="B159" t="s">
        <v>1831</v>
      </c>
      <c r="C159" t="s">
        <v>2124</v>
      </c>
      <c r="D159" t="s">
        <v>2125</v>
      </c>
      <c r="E159" t="s">
        <v>1857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9"/>
      <c r="AM159" s="27"/>
    </row>
    <row r="160" spans="1:39" ht="15" customHeight="1">
      <c r="A160" s="41" t="s">
        <v>147</v>
      </c>
      <c r="B160" t="s">
        <v>1832</v>
      </c>
      <c r="C160" t="s">
        <v>2126</v>
      </c>
      <c r="D160" t="s">
        <v>2127</v>
      </c>
      <c r="E160" t="s">
        <v>1857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9"/>
      <c r="AM160" s="27"/>
    </row>
    <row r="161" spans="1:39" ht="15" customHeight="1">
      <c r="A161" s="41" t="s">
        <v>145</v>
      </c>
      <c r="B161" t="s">
        <v>1833</v>
      </c>
      <c r="C161" t="s">
        <v>2128</v>
      </c>
      <c r="D161" t="s">
        <v>2129</v>
      </c>
      <c r="E161" t="s">
        <v>1857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144</v>
      </c>
      <c r="B162" t="s">
        <v>1834</v>
      </c>
      <c r="C162" t="s">
        <v>2130</v>
      </c>
      <c r="D162" t="s">
        <v>2131</v>
      </c>
      <c r="E162" t="s">
        <v>1857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143</v>
      </c>
      <c r="B163" t="s">
        <v>1835</v>
      </c>
      <c r="C163" t="s">
        <v>2132</v>
      </c>
      <c r="D163" t="s">
        <v>2133</v>
      </c>
      <c r="E163" t="s">
        <v>1857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142</v>
      </c>
      <c r="B164" t="s">
        <v>1836</v>
      </c>
      <c r="C164" t="s">
        <v>2134</v>
      </c>
      <c r="D164" t="s">
        <v>2135</v>
      </c>
      <c r="E164" t="s">
        <v>1857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1837</v>
      </c>
      <c r="D165" t="s">
        <v>2136</v>
      </c>
    </row>
    <row r="166" spans="1:39" ht="15" customHeight="1">
      <c r="B166" t="s">
        <v>1838</v>
      </c>
      <c r="D166" t="s">
        <v>2137</v>
      </c>
    </row>
    <row r="167" spans="1:39" ht="15" customHeight="1">
      <c r="A167" s="41" t="s">
        <v>141</v>
      </c>
      <c r="B167" t="s">
        <v>1825</v>
      </c>
      <c r="C167" t="s">
        <v>2138</v>
      </c>
      <c r="D167" t="s">
        <v>2139</v>
      </c>
      <c r="E167" t="s">
        <v>2140</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140</v>
      </c>
      <c r="B168" t="s">
        <v>1826</v>
      </c>
      <c r="C168" t="s">
        <v>2141</v>
      </c>
      <c r="D168" t="s">
        <v>2142</v>
      </c>
      <c r="E168" t="s">
        <v>2140</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139</v>
      </c>
      <c r="B169" t="s">
        <v>1827</v>
      </c>
      <c r="C169" t="s">
        <v>2143</v>
      </c>
      <c r="D169" t="s">
        <v>2144</v>
      </c>
      <c r="E169" t="s">
        <v>2140</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138</v>
      </c>
      <c r="B170" t="s">
        <v>1839</v>
      </c>
      <c r="C170" t="s">
        <v>2145</v>
      </c>
      <c r="D170" t="s">
        <v>2146</v>
      </c>
      <c r="E170" t="s">
        <v>2140</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467</v>
      </c>
      <c r="D171" t="s">
        <v>2147</v>
      </c>
    </row>
    <row r="172" spans="1:39" ht="15" customHeight="1">
      <c r="A172" s="41" t="s">
        <v>137</v>
      </c>
      <c r="B172" t="s">
        <v>1825</v>
      </c>
      <c r="C172" t="s">
        <v>2148</v>
      </c>
      <c r="D172" t="s">
        <v>2149</v>
      </c>
      <c r="E172" t="s">
        <v>2140</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136</v>
      </c>
      <c r="B173" t="s">
        <v>1826</v>
      </c>
      <c r="C173" t="s">
        <v>2150</v>
      </c>
      <c r="D173" t="s">
        <v>2151</v>
      </c>
      <c r="E173" t="s">
        <v>2140</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135</v>
      </c>
      <c r="B174" t="s">
        <v>1827</v>
      </c>
      <c r="C174" t="s">
        <v>2152</v>
      </c>
      <c r="D174" t="s">
        <v>2153</v>
      </c>
      <c r="E174" t="s">
        <v>2140</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134</v>
      </c>
      <c r="B175" t="s">
        <v>1839</v>
      </c>
      <c r="C175" t="s">
        <v>2154</v>
      </c>
      <c r="D175" t="s">
        <v>2155</v>
      </c>
      <c r="E175" t="s">
        <v>2140</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133</v>
      </c>
      <c r="D176" t="s">
        <v>2156</v>
      </c>
    </row>
    <row r="177" spans="1:39" ht="15" customHeight="1">
      <c r="B177" t="s">
        <v>1840</v>
      </c>
      <c r="D177" t="s">
        <v>2157</v>
      </c>
    </row>
    <row r="178" spans="1:39" ht="15" customHeight="1">
      <c r="A178" s="41" t="s">
        <v>132</v>
      </c>
      <c r="B178" t="s">
        <v>1810</v>
      </c>
      <c r="C178" t="s">
        <v>2158</v>
      </c>
      <c r="D178" t="s">
        <v>2159</v>
      </c>
      <c r="E178" t="s">
        <v>1294</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131</v>
      </c>
      <c r="B179" t="s">
        <v>1811</v>
      </c>
      <c r="C179" t="s">
        <v>2160</v>
      </c>
      <c r="D179" t="s">
        <v>2161</v>
      </c>
      <c r="E179" t="s">
        <v>1294</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130</v>
      </c>
      <c r="B180" t="s">
        <v>1812</v>
      </c>
      <c r="C180" t="s">
        <v>2162</v>
      </c>
      <c r="D180" t="s">
        <v>2163</v>
      </c>
      <c r="E180" t="s">
        <v>1294</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129</v>
      </c>
      <c r="B181" t="s">
        <v>1813</v>
      </c>
      <c r="C181" t="s">
        <v>2164</v>
      </c>
      <c r="D181" t="s">
        <v>2165</v>
      </c>
      <c r="E181" t="s">
        <v>1294</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128</v>
      </c>
      <c r="B182" t="s">
        <v>1814</v>
      </c>
      <c r="C182" t="s">
        <v>2166</v>
      </c>
      <c r="D182" t="s">
        <v>2167</v>
      </c>
      <c r="E182" t="s">
        <v>1294</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127</v>
      </c>
      <c r="B183" t="s">
        <v>1815</v>
      </c>
      <c r="C183" t="s">
        <v>2168</v>
      </c>
      <c r="D183" t="s">
        <v>2169</v>
      </c>
      <c r="E183" t="s">
        <v>1294</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126</v>
      </c>
      <c r="B184" t="s">
        <v>1816</v>
      </c>
      <c r="C184" t="s">
        <v>2170</v>
      </c>
      <c r="D184" t="s">
        <v>2171</v>
      </c>
      <c r="E184" t="s">
        <v>1294</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125</v>
      </c>
      <c r="B185" t="s">
        <v>1817</v>
      </c>
      <c r="C185" t="s">
        <v>2172</v>
      </c>
      <c r="D185" t="s">
        <v>2173</v>
      </c>
      <c r="E185" t="s">
        <v>1294</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124</v>
      </c>
      <c r="B186" t="s">
        <v>1818</v>
      </c>
      <c r="C186" t="s">
        <v>2174</v>
      </c>
      <c r="D186" t="s">
        <v>2175</v>
      </c>
      <c r="E186" t="s">
        <v>1294</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123</v>
      </c>
      <c r="B187" t="s">
        <v>1819</v>
      </c>
      <c r="C187" t="s">
        <v>2176</v>
      </c>
      <c r="D187" t="s">
        <v>2177</v>
      </c>
      <c r="E187" t="s">
        <v>1294</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122</v>
      </c>
      <c r="B188" t="s">
        <v>1820</v>
      </c>
      <c r="C188" t="s">
        <v>2178</v>
      </c>
      <c r="D188" t="s">
        <v>2179</v>
      </c>
      <c r="E188" t="s">
        <v>1294</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121</v>
      </c>
      <c r="B189" t="s">
        <v>1821</v>
      </c>
      <c r="C189" t="s">
        <v>2180</v>
      </c>
      <c r="D189" t="s">
        <v>2181</v>
      </c>
      <c r="E189" t="s">
        <v>1294</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120</v>
      </c>
      <c r="B190" t="s">
        <v>1822</v>
      </c>
      <c r="C190" t="s">
        <v>2182</v>
      </c>
      <c r="D190" t="s">
        <v>2183</v>
      </c>
      <c r="E190" t="s">
        <v>1294</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119</v>
      </c>
      <c r="B191" t="s">
        <v>153</v>
      </c>
      <c r="C191" t="s">
        <v>2184</v>
      </c>
      <c r="D191" t="s">
        <v>2185</v>
      </c>
      <c r="E191" t="s">
        <v>1294</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118</v>
      </c>
      <c r="B192" t="s">
        <v>1841</v>
      </c>
      <c r="C192" t="s">
        <v>2186</v>
      </c>
      <c r="D192" t="s">
        <v>2187</v>
      </c>
      <c r="E192" t="s">
        <v>2188</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117</v>
      </c>
      <c r="B193" t="s">
        <v>1842</v>
      </c>
      <c r="C193" t="s">
        <v>2186</v>
      </c>
      <c r="D193" t="s">
        <v>2189</v>
      </c>
      <c r="E193" t="s">
        <v>2190</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36328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468</v>
      </c>
      <c r="B10" t="s">
        <v>2191</v>
      </c>
    </row>
    <row r="11" spans="1:39" ht="15" customHeight="1">
      <c r="A11" s="112"/>
      <c r="B11" t="s">
        <v>2192</v>
      </c>
    </row>
    <row r="12" spans="1:39" ht="15" customHeight="1">
      <c r="A12" s="112"/>
      <c r="B12" t="s">
        <v>2193</v>
      </c>
      <c r="AL12" s="5"/>
      <c r="AM12" s="5"/>
    </row>
    <row r="13" spans="1:39" ht="15" customHeight="1" thickBot="1">
      <c r="A13" s="112"/>
      <c r="B13" t="s">
        <v>1198</v>
      </c>
      <c r="AL13" s="22"/>
      <c r="AM13" s="22"/>
    </row>
    <row r="14" spans="1:39" ht="15" customHeight="1" thickTop="1">
      <c r="A14" s="112"/>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2"/>
      <c r="B15" t="s">
        <v>467</v>
      </c>
      <c r="D15" t="s">
        <v>2194</v>
      </c>
    </row>
    <row r="16" spans="1:39" ht="15" customHeight="1">
      <c r="A16" s="55" t="s">
        <v>466</v>
      </c>
      <c r="B16" t="s">
        <v>1810</v>
      </c>
      <c r="C16" t="s">
        <v>2195</v>
      </c>
      <c r="D16" t="s">
        <v>2196</v>
      </c>
      <c r="E16" t="s">
        <v>1289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465</v>
      </c>
      <c r="B17" t="s">
        <v>1825</v>
      </c>
      <c r="C17" t="s">
        <v>2197</v>
      </c>
      <c r="D17" t="s">
        <v>2198</v>
      </c>
      <c r="E17" t="s">
        <v>1289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464</v>
      </c>
      <c r="B18" t="s">
        <v>1826</v>
      </c>
      <c r="C18" t="s">
        <v>2199</v>
      </c>
      <c r="D18" t="s">
        <v>2200</v>
      </c>
      <c r="E18" t="s">
        <v>1289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463</v>
      </c>
      <c r="B19" t="s">
        <v>1827</v>
      </c>
      <c r="C19" t="s">
        <v>2201</v>
      </c>
      <c r="D19" t="s">
        <v>2202</v>
      </c>
      <c r="E19" t="s">
        <v>1289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462</v>
      </c>
      <c r="B20" t="s">
        <v>1811</v>
      </c>
      <c r="C20" t="s">
        <v>2203</v>
      </c>
      <c r="D20" t="s">
        <v>2204</v>
      </c>
      <c r="E20" t="s">
        <v>1289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461</v>
      </c>
      <c r="B21" t="s">
        <v>1825</v>
      </c>
      <c r="C21" t="s">
        <v>2205</v>
      </c>
      <c r="D21" t="s">
        <v>2206</v>
      </c>
      <c r="E21" t="s">
        <v>1289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460</v>
      </c>
      <c r="B22" t="s">
        <v>1826</v>
      </c>
      <c r="C22" t="s">
        <v>2207</v>
      </c>
      <c r="D22" t="s">
        <v>2208</v>
      </c>
      <c r="E22" t="s">
        <v>1289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459</v>
      </c>
      <c r="B23" t="s">
        <v>1827</v>
      </c>
      <c r="C23" t="s">
        <v>2209</v>
      </c>
      <c r="D23" t="s">
        <v>2210</v>
      </c>
      <c r="E23" t="s">
        <v>1289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458</v>
      </c>
      <c r="B24" t="s">
        <v>1812</v>
      </c>
      <c r="C24" t="s">
        <v>2211</v>
      </c>
      <c r="D24" t="s">
        <v>2212</v>
      </c>
      <c r="E24" t="s">
        <v>1289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457</v>
      </c>
      <c r="B25" t="s">
        <v>1825</v>
      </c>
      <c r="C25" t="s">
        <v>2213</v>
      </c>
      <c r="D25" t="s">
        <v>2214</v>
      </c>
      <c r="E25" t="s">
        <v>1289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456</v>
      </c>
      <c r="B26" t="s">
        <v>1826</v>
      </c>
      <c r="C26" t="s">
        <v>2215</v>
      </c>
      <c r="D26" t="s">
        <v>2216</v>
      </c>
      <c r="E26" t="s">
        <v>1289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455</v>
      </c>
      <c r="B27" t="s">
        <v>1827</v>
      </c>
      <c r="C27" t="s">
        <v>2217</v>
      </c>
      <c r="D27" t="s">
        <v>2218</v>
      </c>
      <c r="E27" t="s">
        <v>1289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454</v>
      </c>
      <c r="B28" t="s">
        <v>1813</v>
      </c>
      <c r="C28" t="s">
        <v>2219</v>
      </c>
      <c r="D28" t="s">
        <v>2220</v>
      </c>
      <c r="E28" t="s">
        <v>1289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453</v>
      </c>
      <c r="B29" t="s">
        <v>1825</v>
      </c>
      <c r="C29" t="s">
        <v>2221</v>
      </c>
      <c r="D29" t="s">
        <v>2222</v>
      </c>
      <c r="E29" t="s">
        <v>1289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452</v>
      </c>
      <c r="B30" t="s">
        <v>1826</v>
      </c>
      <c r="C30" t="s">
        <v>2223</v>
      </c>
      <c r="D30" t="s">
        <v>2224</v>
      </c>
      <c r="E30" t="s">
        <v>1289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451</v>
      </c>
      <c r="B31" t="s">
        <v>1827</v>
      </c>
      <c r="C31" t="s">
        <v>2225</v>
      </c>
      <c r="D31" t="s">
        <v>2226</v>
      </c>
      <c r="E31" t="s">
        <v>1289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450</v>
      </c>
      <c r="B32" t="s">
        <v>1814</v>
      </c>
      <c r="C32" t="s">
        <v>2227</v>
      </c>
      <c r="D32" t="s">
        <v>2228</v>
      </c>
      <c r="E32" t="s">
        <v>1289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449</v>
      </c>
      <c r="B33" t="s">
        <v>1825</v>
      </c>
      <c r="C33" t="s">
        <v>2229</v>
      </c>
      <c r="D33" t="s">
        <v>2230</v>
      </c>
      <c r="E33" t="s">
        <v>1289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448</v>
      </c>
      <c r="B34" t="s">
        <v>1826</v>
      </c>
      <c r="C34" t="s">
        <v>2231</v>
      </c>
      <c r="D34" t="s">
        <v>2232</v>
      </c>
      <c r="E34" t="s">
        <v>1289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447</v>
      </c>
      <c r="B35" t="s">
        <v>1827</v>
      </c>
      <c r="C35" t="s">
        <v>2233</v>
      </c>
      <c r="D35" t="s">
        <v>2234</v>
      </c>
      <c r="E35" t="s">
        <v>1289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446</v>
      </c>
      <c r="B36" t="s">
        <v>1815</v>
      </c>
      <c r="C36" t="s">
        <v>2235</v>
      </c>
      <c r="D36" t="s">
        <v>2236</v>
      </c>
      <c r="E36" t="s">
        <v>1289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445</v>
      </c>
      <c r="B37" t="s">
        <v>1825</v>
      </c>
      <c r="C37" t="s">
        <v>2237</v>
      </c>
      <c r="D37" t="s">
        <v>2238</v>
      </c>
      <c r="E37" t="s">
        <v>1289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444</v>
      </c>
      <c r="B38" t="s">
        <v>1826</v>
      </c>
      <c r="C38" t="s">
        <v>2239</v>
      </c>
      <c r="D38" t="s">
        <v>2240</v>
      </c>
      <c r="E38" t="s">
        <v>1289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443</v>
      </c>
      <c r="B39" t="s">
        <v>1827</v>
      </c>
      <c r="C39" t="s">
        <v>2241</v>
      </c>
      <c r="D39" t="s">
        <v>2242</v>
      </c>
      <c r="E39" t="s">
        <v>1289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442</v>
      </c>
      <c r="B40" t="s">
        <v>1816</v>
      </c>
      <c r="C40" t="s">
        <v>2243</v>
      </c>
      <c r="D40" t="s">
        <v>2244</v>
      </c>
      <c r="E40" t="s">
        <v>1289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441</v>
      </c>
      <c r="B41" t="s">
        <v>1825</v>
      </c>
      <c r="C41" t="s">
        <v>2245</v>
      </c>
      <c r="D41" t="s">
        <v>2246</v>
      </c>
      <c r="E41" t="s">
        <v>1289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440</v>
      </c>
      <c r="B42" t="s">
        <v>1826</v>
      </c>
      <c r="C42" t="s">
        <v>2247</v>
      </c>
      <c r="D42" t="s">
        <v>2248</v>
      </c>
      <c r="E42" t="s">
        <v>1289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439</v>
      </c>
      <c r="B43" t="s">
        <v>1827</v>
      </c>
      <c r="C43" t="s">
        <v>2249</v>
      </c>
      <c r="D43" t="s">
        <v>2250</v>
      </c>
      <c r="E43" t="s">
        <v>1289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438</v>
      </c>
      <c r="B44" t="s">
        <v>1817</v>
      </c>
      <c r="C44" t="s">
        <v>2251</v>
      </c>
      <c r="D44" t="s">
        <v>2252</v>
      </c>
      <c r="E44" t="s">
        <v>1289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437</v>
      </c>
      <c r="B45" t="s">
        <v>1825</v>
      </c>
      <c r="C45" t="s">
        <v>2253</v>
      </c>
      <c r="D45" t="s">
        <v>2254</v>
      </c>
      <c r="E45" t="s">
        <v>1289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436</v>
      </c>
      <c r="B46" t="s">
        <v>1826</v>
      </c>
      <c r="C46" t="s">
        <v>2255</v>
      </c>
      <c r="D46" t="s">
        <v>2256</v>
      </c>
      <c r="E46" t="s">
        <v>1289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435</v>
      </c>
      <c r="B47" t="s">
        <v>1827</v>
      </c>
      <c r="C47" t="s">
        <v>2257</v>
      </c>
      <c r="D47" t="s">
        <v>2258</v>
      </c>
      <c r="E47" t="s">
        <v>1289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434</v>
      </c>
      <c r="B48" t="s">
        <v>1818</v>
      </c>
      <c r="C48" t="s">
        <v>2259</v>
      </c>
      <c r="D48" t="s">
        <v>2260</v>
      </c>
      <c r="E48" t="s">
        <v>1289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433</v>
      </c>
      <c r="B49" t="s">
        <v>1825</v>
      </c>
      <c r="C49" t="s">
        <v>2261</v>
      </c>
      <c r="D49" t="s">
        <v>2262</v>
      </c>
      <c r="E49" t="s">
        <v>1289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432</v>
      </c>
      <c r="B50" t="s">
        <v>1826</v>
      </c>
      <c r="C50" t="s">
        <v>2263</v>
      </c>
      <c r="D50" t="s">
        <v>2264</v>
      </c>
      <c r="E50" t="s">
        <v>1289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431</v>
      </c>
      <c r="B51" t="s">
        <v>1827</v>
      </c>
      <c r="C51" t="s">
        <v>2265</v>
      </c>
      <c r="D51" t="s">
        <v>2266</v>
      </c>
      <c r="E51" t="s">
        <v>1289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430</v>
      </c>
      <c r="B52" t="s">
        <v>1819</v>
      </c>
      <c r="C52" t="s">
        <v>2267</v>
      </c>
      <c r="D52" t="s">
        <v>2268</v>
      </c>
      <c r="E52" t="s">
        <v>1289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429</v>
      </c>
      <c r="B53" t="s">
        <v>1825</v>
      </c>
      <c r="C53" t="s">
        <v>2269</v>
      </c>
      <c r="D53" t="s">
        <v>2270</v>
      </c>
      <c r="E53" t="s">
        <v>1289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428</v>
      </c>
      <c r="B54" t="s">
        <v>1826</v>
      </c>
      <c r="C54" t="s">
        <v>2271</v>
      </c>
      <c r="D54" t="s">
        <v>2272</v>
      </c>
      <c r="E54" t="s">
        <v>1289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427</v>
      </c>
      <c r="B55" t="s">
        <v>1827</v>
      </c>
      <c r="C55" t="s">
        <v>2273</v>
      </c>
      <c r="D55" t="s">
        <v>2274</v>
      </c>
      <c r="E55" t="s">
        <v>1289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426</v>
      </c>
      <c r="B56" t="s">
        <v>1820</v>
      </c>
      <c r="C56" t="s">
        <v>2275</v>
      </c>
      <c r="D56" t="s">
        <v>2276</v>
      </c>
      <c r="E56" t="s">
        <v>1289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425</v>
      </c>
      <c r="B57" t="s">
        <v>1825</v>
      </c>
      <c r="C57" t="s">
        <v>2277</v>
      </c>
      <c r="D57" t="s">
        <v>2278</v>
      </c>
      <c r="E57" t="s">
        <v>1289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424</v>
      </c>
      <c r="B58" t="s">
        <v>1826</v>
      </c>
      <c r="C58" t="s">
        <v>2279</v>
      </c>
      <c r="D58" t="s">
        <v>2280</v>
      </c>
      <c r="E58" t="s">
        <v>1289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423</v>
      </c>
      <c r="B59" t="s">
        <v>1827</v>
      </c>
      <c r="C59" t="s">
        <v>2281</v>
      </c>
      <c r="D59" t="s">
        <v>2282</v>
      </c>
      <c r="E59" t="s">
        <v>1289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422</v>
      </c>
      <c r="B60" t="s">
        <v>1821</v>
      </c>
      <c r="C60" t="s">
        <v>2283</v>
      </c>
      <c r="D60" t="s">
        <v>2284</v>
      </c>
      <c r="E60" t="s">
        <v>1289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421</v>
      </c>
      <c r="B61" t="s">
        <v>1825</v>
      </c>
      <c r="C61" t="s">
        <v>2285</v>
      </c>
      <c r="D61" t="s">
        <v>2286</v>
      </c>
      <c r="E61" t="s">
        <v>1289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420</v>
      </c>
      <c r="B62" t="s">
        <v>1826</v>
      </c>
      <c r="C62" t="s">
        <v>2287</v>
      </c>
      <c r="D62" t="s">
        <v>2288</v>
      </c>
      <c r="E62" t="s">
        <v>1289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419</v>
      </c>
      <c r="B63" t="s">
        <v>1827</v>
      </c>
      <c r="C63" t="s">
        <v>2289</v>
      </c>
      <c r="D63" t="s">
        <v>2290</v>
      </c>
      <c r="E63" t="s">
        <v>1289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418</v>
      </c>
      <c r="B64" t="s">
        <v>1822</v>
      </c>
      <c r="C64" t="s">
        <v>2291</v>
      </c>
      <c r="D64" t="s">
        <v>2292</v>
      </c>
      <c r="E64" t="s">
        <v>1289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417</v>
      </c>
      <c r="B65" t="s">
        <v>1825</v>
      </c>
      <c r="C65" t="s">
        <v>2293</v>
      </c>
      <c r="D65" t="s">
        <v>2294</v>
      </c>
      <c r="E65" t="s">
        <v>1289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416</v>
      </c>
      <c r="B66" t="s">
        <v>1826</v>
      </c>
      <c r="C66" t="s">
        <v>2295</v>
      </c>
      <c r="D66" t="s">
        <v>2296</v>
      </c>
      <c r="E66" t="s">
        <v>1289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415</v>
      </c>
      <c r="B67" t="s">
        <v>1827</v>
      </c>
      <c r="C67" t="s">
        <v>2297</v>
      </c>
      <c r="D67" t="s">
        <v>2298</v>
      </c>
      <c r="E67" t="s">
        <v>1289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414</v>
      </c>
      <c r="B68" t="s">
        <v>153</v>
      </c>
      <c r="C68" t="s">
        <v>2299</v>
      </c>
      <c r="D68" t="s">
        <v>2300</v>
      </c>
      <c r="E68" t="s">
        <v>1289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413</v>
      </c>
      <c r="D69" t="s">
        <v>2301</v>
      </c>
    </row>
    <row r="70" spans="1:39" ht="15" customHeight="1">
      <c r="A70" s="55" t="s">
        <v>412</v>
      </c>
      <c r="B70" t="s">
        <v>1810</v>
      </c>
      <c r="C70" t="s">
        <v>2302</v>
      </c>
      <c r="D70" t="s">
        <v>2303</v>
      </c>
      <c r="E70" t="s">
        <v>1289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411</v>
      </c>
      <c r="B71" t="s">
        <v>1825</v>
      </c>
      <c r="C71" t="s">
        <v>2304</v>
      </c>
      <c r="D71" t="s">
        <v>2305</v>
      </c>
      <c r="E71" t="s">
        <v>1289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410</v>
      </c>
      <c r="B72" t="s">
        <v>1826</v>
      </c>
      <c r="C72" t="s">
        <v>2306</v>
      </c>
      <c r="D72" t="s">
        <v>2307</v>
      </c>
      <c r="E72" t="s">
        <v>1289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409</v>
      </c>
      <c r="B73" t="s">
        <v>1827</v>
      </c>
      <c r="C73" t="s">
        <v>2308</v>
      </c>
      <c r="D73" t="s">
        <v>2309</v>
      </c>
      <c r="E73" t="s">
        <v>1289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408</v>
      </c>
      <c r="B74" t="s">
        <v>1811</v>
      </c>
      <c r="C74" t="s">
        <v>2310</v>
      </c>
      <c r="D74" t="s">
        <v>2311</v>
      </c>
      <c r="E74" t="s">
        <v>1289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407</v>
      </c>
      <c r="B75" t="s">
        <v>1825</v>
      </c>
      <c r="C75" t="s">
        <v>2312</v>
      </c>
      <c r="D75" t="s">
        <v>2313</v>
      </c>
      <c r="E75" t="s">
        <v>1289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406</v>
      </c>
      <c r="B76" t="s">
        <v>1826</v>
      </c>
      <c r="C76" t="s">
        <v>2314</v>
      </c>
      <c r="D76" t="s">
        <v>2315</v>
      </c>
      <c r="E76" t="s">
        <v>1289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405</v>
      </c>
      <c r="B77" t="s">
        <v>1827</v>
      </c>
      <c r="C77" t="s">
        <v>2316</v>
      </c>
      <c r="D77" t="s">
        <v>2317</v>
      </c>
      <c r="E77" t="s">
        <v>1289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404</v>
      </c>
      <c r="B78" t="s">
        <v>1812</v>
      </c>
      <c r="C78" t="s">
        <v>2318</v>
      </c>
      <c r="D78" t="s">
        <v>2319</v>
      </c>
      <c r="E78" t="s">
        <v>1289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403</v>
      </c>
      <c r="B79" t="s">
        <v>1825</v>
      </c>
      <c r="C79" t="s">
        <v>2320</v>
      </c>
      <c r="D79" t="s">
        <v>2321</v>
      </c>
      <c r="E79" t="s">
        <v>1289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402</v>
      </c>
      <c r="B80" t="s">
        <v>1826</v>
      </c>
      <c r="C80" t="s">
        <v>2322</v>
      </c>
      <c r="D80" t="s">
        <v>2323</v>
      </c>
      <c r="E80" t="s">
        <v>1289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401</v>
      </c>
      <c r="B81" t="s">
        <v>1827</v>
      </c>
      <c r="C81" t="s">
        <v>2324</v>
      </c>
      <c r="D81" t="s">
        <v>2325</v>
      </c>
      <c r="E81" t="s">
        <v>1289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400</v>
      </c>
      <c r="B82" t="s">
        <v>1813</v>
      </c>
      <c r="C82" t="s">
        <v>2326</v>
      </c>
      <c r="D82" t="s">
        <v>2327</v>
      </c>
      <c r="E82" t="s">
        <v>1289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399</v>
      </c>
      <c r="B83" t="s">
        <v>1825</v>
      </c>
      <c r="C83" t="s">
        <v>2328</v>
      </c>
      <c r="D83" t="s">
        <v>2329</v>
      </c>
      <c r="E83" t="s">
        <v>1289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398</v>
      </c>
      <c r="B84" t="s">
        <v>1826</v>
      </c>
      <c r="C84" t="s">
        <v>2330</v>
      </c>
      <c r="D84" t="s">
        <v>2331</v>
      </c>
      <c r="E84" t="s">
        <v>1289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397</v>
      </c>
      <c r="B85" t="s">
        <v>1827</v>
      </c>
      <c r="C85" t="s">
        <v>2332</v>
      </c>
      <c r="D85" t="s">
        <v>2333</v>
      </c>
      <c r="E85" t="s">
        <v>1289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396</v>
      </c>
      <c r="B86" t="s">
        <v>1814</v>
      </c>
      <c r="C86" t="s">
        <v>2334</v>
      </c>
      <c r="D86" t="s">
        <v>2335</v>
      </c>
      <c r="E86" t="s">
        <v>1289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395</v>
      </c>
      <c r="B87" t="s">
        <v>1825</v>
      </c>
      <c r="C87" t="s">
        <v>2336</v>
      </c>
      <c r="D87" t="s">
        <v>2337</v>
      </c>
      <c r="E87" t="s">
        <v>1289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394</v>
      </c>
      <c r="B88" t="s">
        <v>1826</v>
      </c>
      <c r="C88" t="s">
        <v>2338</v>
      </c>
      <c r="D88" t="s">
        <v>2339</v>
      </c>
      <c r="E88" t="s">
        <v>1289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393</v>
      </c>
      <c r="B89" t="s">
        <v>1827</v>
      </c>
      <c r="C89" t="s">
        <v>2340</v>
      </c>
      <c r="D89" t="s">
        <v>2341</v>
      </c>
      <c r="E89" t="s">
        <v>1289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392</v>
      </c>
      <c r="B90" t="s">
        <v>1815</v>
      </c>
      <c r="C90" t="s">
        <v>2342</v>
      </c>
      <c r="D90" t="s">
        <v>2343</v>
      </c>
      <c r="E90" t="s">
        <v>1289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391</v>
      </c>
      <c r="B91" t="s">
        <v>1825</v>
      </c>
      <c r="C91" t="s">
        <v>2344</v>
      </c>
      <c r="D91" t="s">
        <v>2345</v>
      </c>
      <c r="E91" t="s">
        <v>1289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390</v>
      </c>
      <c r="B92" t="s">
        <v>1826</v>
      </c>
      <c r="C92" t="s">
        <v>2346</v>
      </c>
      <c r="D92" t="s">
        <v>2347</v>
      </c>
      <c r="E92" t="s">
        <v>1289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389</v>
      </c>
      <c r="B93" t="s">
        <v>1827</v>
      </c>
      <c r="C93" t="s">
        <v>2348</v>
      </c>
      <c r="D93" t="s">
        <v>2349</v>
      </c>
      <c r="E93" t="s">
        <v>1289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388</v>
      </c>
      <c r="B94" t="s">
        <v>1816</v>
      </c>
      <c r="C94" t="s">
        <v>2350</v>
      </c>
      <c r="D94" t="s">
        <v>2351</v>
      </c>
      <c r="E94" t="s">
        <v>1289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387</v>
      </c>
      <c r="B95" t="s">
        <v>1825</v>
      </c>
      <c r="C95" t="s">
        <v>2352</v>
      </c>
      <c r="D95" t="s">
        <v>2353</v>
      </c>
      <c r="E95" t="s">
        <v>1289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386</v>
      </c>
      <c r="B96" t="s">
        <v>1826</v>
      </c>
      <c r="C96" t="s">
        <v>2354</v>
      </c>
      <c r="D96" t="s">
        <v>2355</v>
      </c>
      <c r="E96" t="s">
        <v>1289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385</v>
      </c>
      <c r="B97" t="s">
        <v>1827</v>
      </c>
      <c r="C97" t="s">
        <v>2356</v>
      </c>
      <c r="D97" t="s">
        <v>2357</v>
      </c>
      <c r="E97" t="s">
        <v>1289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384</v>
      </c>
      <c r="B98" t="s">
        <v>1817</v>
      </c>
      <c r="C98" t="s">
        <v>2358</v>
      </c>
      <c r="D98" t="s">
        <v>2359</v>
      </c>
      <c r="E98" t="s">
        <v>1289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383</v>
      </c>
      <c r="B99" t="s">
        <v>1825</v>
      </c>
      <c r="C99" t="s">
        <v>2360</v>
      </c>
      <c r="D99" t="s">
        <v>2361</v>
      </c>
      <c r="E99" t="s">
        <v>1289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382</v>
      </c>
      <c r="B100" t="s">
        <v>1826</v>
      </c>
      <c r="C100" t="s">
        <v>2362</v>
      </c>
      <c r="D100" t="s">
        <v>2363</v>
      </c>
      <c r="E100" t="s">
        <v>1289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381</v>
      </c>
      <c r="B101" t="s">
        <v>1827</v>
      </c>
      <c r="C101" t="s">
        <v>2364</v>
      </c>
      <c r="D101" t="s">
        <v>2365</v>
      </c>
      <c r="E101" t="s">
        <v>1289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380</v>
      </c>
      <c r="B102" t="s">
        <v>1818</v>
      </c>
      <c r="C102" t="s">
        <v>2366</v>
      </c>
      <c r="D102" t="s">
        <v>2367</v>
      </c>
      <c r="E102" t="s">
        <v>1289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379</v>
      </c>
      <c r="B103" t="s">
        <v>1825</v>
      </c>
      <c r="C103" t="s">
        <v>2368</v>
      </c>
      <c r="D103" t="s">
        <v>2369</v>
      </c>
      <c r="E103" t="s">
        <v>1289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378</v>
      </c>
      <c r="B104" t="s">
        <v>1826</v>
      </c>
      <c r="C104" t="s">
        <v>2370</v>
      </c>
      <c r="D104" t="s">
        <v>2371</v>
      </c>
      <c r="E104" t="s">
        <v>1289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377</v>
      </c>
      <c r="B105" t="s">
        <v>1827</v>
      </c>
      <c r="C105" t="s">
        <v>2372</v>
      </c>
      <c r="D105" t="s">
        <v>2373</v>
      </c>
      <c r="E105" t="s">
        <v>1289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376</v>
      </c>
      <c r="B106" t="s">
        <v>1819</v>
      </c>
      <c r="C106" t="s">
        <v>2374</v>
      </c>
      <c r="D106" t="s">
        <v>2375</v>
      </c>
      <c r="E106" t="s">
        <v>1289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375</v>
      </c>
      <c r="B107" t="s">
        <v>1825</v>
      </c>
      <c r="C107" t="s">
        <v>2376</v>
      </c>
      <c r="D107" t="s">
        <v>2377</v>
      </c>
      <c r="E107" t="s">
        <v>1289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374</v>
      </c>
      <c r="B108" t="s">
        <v>1826</v>
      </c>
      <c r="C108" t="s">
        <v>2378</v>
      </c>
      <c r="D108" t="s">
        <v>2379</v>
      </c>
      <c r="E108" t="s">
        <v>1289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373</v>
      </c>
      <c r="B109" t="s">
        <v>1827</v>
      </c>
      <c r="C109" t="s">
        <v>2380</v>
      </c>
      <c r="D109" t="s">
        <v>2381</v>
      </c>
      <c r="E109" t="s">
        <v>1289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372</v>
      </c>
      <c r="B110" t="s">
        <v>1820</v>
      </c>
      <c r="C110" t="s">
        <v>2382</v>
      </c>
      <c r="D110" t="s">
        <v>2383</v>
      </c>
      <c r="E110" t="s">
        <v>1289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371</v>
      </c>
      <c r="B111" t="s">
        <v>1825</v>
      </c>
      <c r="C111" t="s">
        <v>2384</v>
      </c>
      <c r="D111" t="s">
        <v>2385</v>
      </c>
      <c r="E111" t="s">
        <v>1289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370</v>
      </c>
      <c r="B112" t="s">
        <v>1826</v>
      </c>
      <c r="C112" t="s">
        <v>2386</v>
      </c>
      <c r="D112" t="s">
        <v>2387</v>
      </c>
      <c r="E112" t="s">
        <v>1289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369</v>
      </c>
      <c r="B113" t="s">
        <v>1827</v>
      </c>
      <c r="C113" t="s">
        <v>2388</v>
      </c>
      <c r="D113" t="s">
        <v>2389</v>
      </c>
      <c r="E113" t="s">
        <v>1289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368</v>
      </c>
      <c r="B114" t="s">
        <v>1821</v>
      </c>
      <c r="C114" t="s">
        <v>2390</v>
      </c>
      <c r="D114" t="s">
        <v>2391</v>
      </c>
      <c r="E114" t="s">
        <v>1289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367</v>
      </c>
      <c r="B115" t="s">
        <v>1825</v>
      </c>
      <c r="C115" t="s">
        <v>2392</v>
      </c>
      <c r="D115" t="s">
        <v>2393</v>
      </c>
      <c r="E115" t="s">
        <v>1289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366</v>
      </c>
      <c r="B116" t="s">
        <v>1826</v>
      </c>
      <c r="C116" t="s">
        <v>2394</v>
      </c>
      <c r="D116" t="s">
        <v>2395</v>
      </c>
      <c r="E116" t="s">
        <v>1289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365</v>
      </c>
      <c r="B117" t="s">
        <v>1827</v>
      </c>
      <c r="C117" t="s">
        <v>2396</v>
      </c>
      <c r="D117" t="s">
        <v>2397</v>
      </c>
      <c r="E117" t="s">
        <v>1289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364</v>
      </c>
      <c r="B118" t="s">
        <v>1822</v>
      </c>
      <c r="C118" t="s">
        <v>2398</v>
      </c>
      <c r="D118" t="s">
        <v>2399</v>
      </c>
      <c r="E118" t="s">
        <v>1289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363</v>
      </c>
      <c r="B119" t="s">
        <v>1825</v>
      </c>
      <c r="C119" t="s">
        <v>2400</v>
      </c>
      <c r="D119" t="s">
        <v>2401</v>
      </c>
      <c r="E119" t="s">
        <v>1289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362</v>
      </c>
      <c r="B120" t="s">
        <v>1826</v>
      </c>
      <c r="C120" t="s">
        <v>2402</v>
      </c>
      <c r="D120" t="s">
        <v>2403</v>
      </c>
      <c r="E120" t="s">
        <v>1289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361</v>
      </c>
      <c r="B121" t="s">
        <v>1827</v>
      </c>
      <c r="C121" t="s">
        <v>2404</v>
      </c>
      <c r="D121" t="s">
        <v>2405</v>
      </c>
      <c r="E121" t="s">
        <v>1289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360</v>
      </c>
      <c r="B122" t="s">
        <v>153</v>
      </c>
      <c r="C122" t="s">
        <v>2406</v>
      </c>
      <c r="D122" t="s">
        <v>2407</v>
      </c>
      <c r="E122" t="s">
        <v>1289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359</v>
      </c>
      <c r="D123" t="s">
        <v>2408</v>
      </c>
    </row>
    <row r="124" spans="1:39" ht="15" customHeight="1">
      <c r="A124" s="55" t="s">
        <v>358</v>
      </c>
      <c r="B124" t="s">
        <v>1810</v>
      </c>
      <c r="C124" t="s">
        <v>2409</v>
      </c>
      <c r="D124" t="s">
        <v>2410</v>
      </c>
      <c r="E124" t="s">
        <v>1289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357</v>
      </c>
      <c r="B125" t="s">
        <v>1825</v>
      </c>
      <c r="C125" t="s">
        <v>2411</v>
      </c>
      <c r="D125" t="s">
        <v>2412</v>
      </c>
      <c r="E125" t="s">
        <v>1289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6"/>
      <c r="AM125" s="27"/>
    </row>
    <row r="126" spans="1:39" ht="15" customHeight="1">
      <c r="A126" s="55" t="s">
        <v>356</v>
      </c>
      <c r="B126" t="s">
        <v>1826</v>
      </c>
      <c r="C126" t="s">
        <v>2413</v>
      </c>
      <c r="D126" t="s">
        <v>2414</v>
      </c>
      <c r="E126" t="s">
        <v>1289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6"/>
      <c r="AM126" s="27"/>
    </row>
    <row r="127" spans="1:39" ht="15" customHeight="1">
      <c r="A127" s="55" t="s">
        <v>355</v>
      </c>
      <c r="B127" t="s">
        <v>1827</v>
      </c>
      <c r="C127" t="s">
        <v>2415</v>
      </c>
      <c r="D127" t="s">
        <v>2416</v>
      </c>
      <c r="E127" t="s">
        <v>1289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354</v>
      </c>
      <c r="B128" t="s">
        <v>1811</v>
      </c>
      <c r="C128" t="s">
        <v>2417</v>
      </c>
      <c r="D128" t="s">
        <v>2418</v>
      </c>
      <c r="E128" t="s">
        <v>1289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353</v>
      </c>
      <c r="B129" t="s">
        <v>1825</v>
      </c>
      <c r="C129" t="s">
        <v>2419</v>
      </c>
      <c r="D129" t="s">
        <v>2420</v>
      </c>
      <c r="E129" t="s">
        <v>1289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6"/>
      <c r="AM129" s="27"/>
    </row>
    <row r="130" spans="1:39" ht="15" customHeight="1">
      <c r="A130" s="55" t="s">
        <v>352</v>
      </c>
      <c r="B130" t="s">
        <v>1826</v>
      </c>
      <c r="C130" t="s">
        <v>2421</v>
      </c>
      <c r="D130" t="s">
        <v>2422</v>
      </c>
      <c r="E130" t="s">
        <v>1289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6"/>
      <c r="AM130" s="27"/>
    </row>
    <row r="131" spans="1:39" ht="15" customHeight="1">
      <c r="A131" s="55" t="s">
        <v>351</v>
      </c>
      <c r="B131" t="s">
        <v>1827</v>
      </c>
      <c r="C131" t="s">
        <v>2423</v>
      </c>
      <c r="D131" t="s">
        <v>2424</v>
      </c>
      <c r="E131" t="s">
        <v>1289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350</v>
      </c>
      <c r="B132" t="s">
        <v>1812</v>
      </c>
      <c r="C132" t="s">
        <v>2425</v>
      </c>
      <c r="D132" t="s">
        <v>2426</v>
      </c>
      <c r="E132" t="s">
        <v>1289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349</v>
      </c>
      <c r="B133" t="s">
        <v>1825</v>
      </c>
      <c r="C133" t="s">
        <v>2427</v>
      </c>
      <c r="D133" t="s">
        <v>2428</v>
      </c>
      <c r="E133" t="s">
        <v>1289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6"/>
      <c r="AM133" s="27"/>
    </row>
    <row r="134" spans="1:39" ht="15" customHeight="1">
      <c r="A134" s="55" t="s">
        <v>348</v>
      </c>
      <c r="B134" t="s">
        <v>1826</v>
      </c>
      <c r="C134" t="s">
        <v>2429</v>
      </c>
      <c r="D134" t="s">
        <v>2430</v>
      </c>
      <c r="E134" t="s">
        <v>1289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6"/>
      <c r="AM134" s="27"/>
    </row>
    <row r="135" spans="1:39" ht="15" customHeight="1">
      <c r="A135" s="55" t="s">
        <v>347</v>
      </c>
      <c r="B135" t="s">
        <v>1827</v>
      </c>
      <c r="C135" t="s">
        <v>2431</v>
      </c>
      <c r="D135" t="s">
        <v>2432</v>
      </c>
      <c r="E135" t="s">
        <v>1289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346</v>
      </c>
      <c r="B136" t="s">
        <v>1813</v>
      </c>
      <c r="C136" t="s">
        <v>2433</v>
      </c>
      <c r="D136" t="s">
        <v>2434</v>
      </c>
      <c r="E136" t="s">
        <v>1289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345</v>
      </c>
      <c r="B137" t="s">
        <v>1825</v>
      </c>
      <c r="C137" t="s">
        <v>2435</v>
      </c>
      <c r="D137" t="s">
        <v>2436</v>
      </c>
      <c r="E137" t="s">
        <v>1289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6"/>
      <c r="AM137" s="27"/>
    </row>
    <row r="138" spans="1:39" ht="15" customHeight="1">
      <c r="A138" s="55" t="s">
        <v>344</v>
      </c>
      <c r="B138" t="s">
        <v>1826</v>
      </c>
      <c r="C138" t="s">
        <v>2437</v>
      </c>
      <c r="D138" t="s">
        <v>2438</v>
      </c>
      <c r="E138" t="s">
        <v>1289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6"/>
      <c r="AM138" s="27"/>
    </row>
    <row r="139" spans="1:39" ht="15" customHeight="1">
      <c r="A139" s="55" t="s">
        <v>343</v>
      </c>
      <c r="B139" t="s">
        <v>1827</v>
      </c>
      <c r="C139" t="s">
        <v>2439</v>
      </c>
      <c r="D139" t="s">
        <v>2440</v>
      </c>
      <c r="E139" t="s">
        <v>1289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342</v>
      </c>
      <c r="B140" t="s">
        <v>1814</v>
      </c>
      <c r="C140" t="s">
        <v>2441</v>
      </c>
      <c r="D140" t="s">
        <v>2442</v>
      </c>
      <c r="E140" t="s">
        <v>1289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6"/>
      <c r="AM140" s="27"/>
    </row>
    <row r="141" spans="1:39" ht="15" customHeight="1">
      <c r="A141" s="55" t="s">
        <v>341</v>
      </c>
      <c r="B141" t="s">
        <v>1825</v>
      </c>
      <c r="C141" t="s">
        <v>2443</v>
      </c>
      <c r="D141" t="s">
        <v>2444</v>
      </c>
      <c r="E141" t="s">
        <v>1289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6"/>
      <c r="AM141" s="27"/>
    </row>
    <row r="142" spans="1:39" ht="15" customHeight="1">
      <c r="A142" s="55" t="s">
        <v>340</v>
      </c>
      <c r="B142" t="s">
        <v>1826</v>
      </c>
      <c r="C142" t="s">
        <v>2445</v>
      </c>
      <c r="D142" t="s">
        <v>2446</v>
      </c>
      <c r="E142" t="s">
        <v>1289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6"/>
      <c r="AM142" s="27"/>
    </row>
    <row r="143" spans="1:39" ht="15" customHeight="1">
      <c r="A143" s="55" t="s">
        <v>339</v>
      </c>
      <c r="B143" t="s">
        <v>1827</v>
      </c>
      <c r="C143" t="s">
        <v>2447</v>
      </c>
      <c r="D143" t="s">
        <v>2448</v>
      </c>
      <c r="E143" t="s">
        <v>1289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6"/>
      <c r="AM143" s="27"/>
    </row>
    <row r="144" spans="1:39" ht="15" customHeight="1">
      <c r="A144" s="55" t="s">
        <v>338</v>
      </c>
      <c r="B144" t="s">
        <v>1815</v>
      </c>
      <c r="C144" t="s">
        <v>2449</v>
      </c>
      <c r="D144" t="s">
        <v>2450</v>
      </c>
      <c r="E144" t="s">
        <v>1289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337</v>
      </c>
      <c r="B145" t="s">
        <v>1825</v>
      </c>
      <c r="C145" t="s">
        <v>2451</v>
      </c>
      <c r="D145" t="s">
        <v>2452</v>
      </c>
      <c r="E145" t="s">
        <v>1289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6"/>
      <c r="AM145" s="27"/>
    </row>
    <row r="146" spans="1:39" ht="15" customHeight="1">
      <c r="A146" s="55" t="s">
        <v>336</v>
      </c>
      <c r="B146" t="s">
        <v>1826</v>
      </c>
      <c r="C146" t="s">
        <v>2453</v>
      </c>
      <c r="D146" t="s">
        <v>2454</v>
      </c>
      <c r="E146" t="s">
        <v>1289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6"/>
      <c r="AM146" s="27"/>
    </row>
    <row r="147" spans="1:39" ht="15" customHeight="1">
      <c r="A147" s="55" t="s">
        <v>335</v>
      </c>
      <c r="B147" t="s">
        <v>1827</v>
      </c>
      <c r="C147" t="s">
        <v>2455</v>
      </c>
      <c r="D147" t="s">
        <v>2456</v>
      </c>
      <c r="E147" t="s">
        <v>1289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334</v>
      </c>
      <c r="B148" t="s">
        <v>1816</v>
      </c>
      <c r="C148" t="s">
        <v>2457</v>
      </c>
      <c r="D148" t="s">
        <v>2458</v>
      </c>
      <c r="E148" t="s">
        <v>1289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333</v>
      </c>
      <c r="B149" t="s">
        <v>1825</v>
      </c>
      <c r="C149" t="s">
        <v>2459</v>
      </c>
      <c r="D149" t="s">
        <v>2460</v>
      </c>
      <c r="E149" t="s">
        <v>1289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332</v>
      </c>
      <c r="B150" t="s">
        <v>1826</v>
      </c>
      <c r="C150" t="s">
        <v>2461</v>
      </c>
      <c r="D150" t="s">
        <v>2462</v>
      </c>
      <c r="E150" t="s">
        <v>1289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6"/>
      <c r="AM150" s="27"/>
    </row>
    <row r="151" spans="1:39" ht="15" customHeight="1">
      <c r="A151" s="55" t="s">
        <v>331</v>
      </c>
      <c r="B151" t="s">
        <v>1827</v>
      </c>
      <c r="C151" t="s">
        <v>2463</v>
      </c>
      <c r="D151" t="s">
        <v>2464</v>
      </c>
      <c r="E151" t="s">
        <v>1289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330</v>
      </c>
      <c r="B152" t="s">
        <v>1817</v>
      </c>
      <c r="C152" t="s">
        <v>2465</v>
      </c>
      <c r="D152" t="s">
        <v>2466</v>
      </c>
      <c r="E152" t="s">
        <v>1289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329</v>
      </c>
      <c r="B153" t="s">
        <v>1825</v>
      </c>
      <c r="C153" t="s">
        <v>2467</v>
      </c>
      <c r="D153" t="s">
        <v>2468</v>
      </c>
      <c r="E153" t="s">
        <v>1289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328</v>
      </c>
      <c r="B154" t="s">
        <v>1826</v>
      </c>
      <c r="C154" t="s">
        <v>2469</v>
      </c>
      <c r="D154" t="s">
        <v>2470</v>
      </c>
      <c r="E154" t="s">
        <v>1289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6"/>
      <c r="AM154" s="27"/>
    </row>
    <row r="155" spans="1:39" ht="15" customHeight="1">
      <c r="A155" s="55" t="s">
        <v>327</v>
      </c>
      <c r="B155" t="s">
        <v>1827</v>
      </c>
      <c r="C155" t="s">
        <v>2471</v>
      </c>
      <c r="D155" t="s">
        <v>2472</v>
      </c>
      <c r="E155" t="s">
        <v>1289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326</v>
      </c>
      <c r="B156" t="s">
        <v>1818</v>
      </c>
      <c r="C156" t="s">
        <v>2473</v>
      </c>
      <c r="D156" t="s">
        <v>2474</v>
      </c>
      <c r="E156" t="s">
        <v>1289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325</v>
      </c>
      <c r="B157" t="s">
        <v>1825</v>
      </c>
      <c r="C157" t="s">
        <v>2475</v>
      </c>
      <c r="D157" t="s">
        <v>2476</v>
      </c>
      <c r="E157" t="s">
        <v>1289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6"/>
      <c r="AM157" s="27"/>
    </row>
    <row r="158" spans="1:39" ht="15" customHeight="1">
      <c r="A158" s="55" t="s">
        <v>324</v>
      </c>
      <c r="B158" t="s">
        <v>1826</v>
      </c>
      <c r="C158" t="s">
        <v>2477</v>
      </c>
      <c r="D158" t="s">
        <v>2478</v>
      </c>
      <c r="E158" t="s">
        <v>1289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6"/>
      <c r="AM158" s="27"/>
    </row>
    <row r="159" spans="1:39" ht="15" customHeight="1">
      <c r="A159" s="55" t="s">
        <v>323</v>
      </c>
      <c r="B159" t="s">
        <v>1827</v>
      </c>
      <c r="C159" t="s">
        <v>2479</v>
      </c>
      <c r="D159" t="s">
        <v>2480</v>
      </c>
      <c r="E159" t="s">
        <v>1289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322</v>
      </c>
      <c r="B160" t="s">
        <v>1819</v>
      </c>
      <c r="C160" t="s">
        <v>2481</v>
      </c>
      <c r="D160" t="s">
        <v>2482</v>
      </c>
      <c r="E160" t="s">
        <v>1289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321</v>
      </c>
      <c r="B161" t="s">
        <v>1825</v>
      </c>
      <c r="C161" t="s">
        <v>2483</v>
      </c>
      <c r="D161" t="s">
        <v>2484</v>
      </c>
      <c r="E161" t="s">
        <v>1289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320</v>
      </c>
      <c r="B162" t="s">
        <v>1826</v>
      </c>
      <c r="C162" t="s">
        <v>2485</v>
      </c>
      <c r="D162" t="s">
        <v>2486</v>
      </c>
      <c r="E162" t="s">
        <v>1289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6"/>
      <c r="AM162" s="27"/>
    </row>
    <row r="163" spans="1:39" ht="15" customHeight="1">
      <c r="A163" s="55" t="s">
        <v>319</v>
      </c>
      <c r="B163" t="s">
        <v>1827</v>
      </c>
      <c r="C163" t="s">
        <v>2487</v>
      </c>
      <c r="D163" t="s">
        <v>2488</v>
      </c>
      <c r="E163" t="s">
        <v>1289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6"/>
      <c r="AM163" s="27"/>
    </row>
    <row r="164" spans="1:39" ht="15" customHeight="1">
      <c r="A164" s="55" t="s">
        <v>318</v>
      </c>
      <c r="B164" t="s">
        <v>1820</v>
      </c>
      <c r="C164" t="s">
        <v>2489</v>
      </c>
      <c r="D164" t="s">
        <v>2490</v>
      </c>
      <c r="E164" t="s">
        <v>1289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317</v>
      </c>
      <c r="B165" t="s">
        <v>1825</v>
      </c>
      <c r="C165" t="s">
        <v>2491</v>
      </c>
      <c r="D165" t="s">
        <v>2492</v>
      </c>
      <c r="E165" t="s">
        <v>1289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6"/>
      <c r="AM165" s="27"/>
    </row>
    <row r="166" spans="1:39" ht="15" customHeight="1">
      <c r="A166" s="55" t="s">
        <v>316</v>
      </c>
      <c r="B166" t="s">
        <v>1826</v>
      </c>
      <c r="C166" t="s">
        <v>2493</v>
      </c>
      <c r="D166" t="s">
        <v>2494</v>
      </c>
      <c r="E166" t="s">
        <v>1289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6"/>
      <c r="AM166" s="27"/>
    </row>
    <row r="167" spans="1:39" ht="15" customHeight="1">
      <c r="A167" s="55" t="s">
        <v>315</v>
      </c>
      <c r="B167" t="s">
        <v>1827</v>
      </c>
      <c r="C167" t="s">
        <v>2495</v>
      </c>
      <c r="D167" t="s">
        <v>2496</v>
      </c>
      <c r="E167" t="s">
        <v>1289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314</v>
      </c>
      <c r="B168" t="s">
        <v>1821</v>
      </c>
      <c r="C168" t="s">
        <v>2497</v>
      </c>
      <c r="D168" t="s">
        <v>2498</v>
      </c>
      <c r="E168" t="s">
        <v>1289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313</v>
      </c>
      <c r="B169" t="s">
        <v>1825</v>
      </c>
      <c r="C169" t="s">
        <v>2499</v>
      </c>
      <c r="D169" t="s">
        <v>2500</v>
      </c>
      <c r="E169" t="s">
        <v>1289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6"/>
      <c r="AM169" s="27"/>
    </row>
    <row r="170" spans="1:39" ht="15" customHeight="1">
      <c r="A170" s="55" t="s">
        <v>312</v>
      </c>
      <c r="B170" t="s">
        <v>1826</v>
      </c>
      <c r="C170" t="s">
        <v>2501</v>
      </c>
      <c r="D170" t="s">
        <v>2502</v>
      </c>
      <c r="E170" t="s">
        <v>1289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6"/>
      <c r="AM170" s="27"/>
    </row>
    <row r="171" spans="1:39" ht="15" customHeight="1">
      <c r="A171" s="55" t="s">
        <v>311</v>
      </c>
      <c r="B171" t="s">
        <v>1827</v>
      </c>
      <c r="C171" t="s">
        <v>2503</v>
      </c>
      <c r="D171" t="s">
        <v>2504</v>
      </c>
      <c r="E171" t="s">
        <v>1289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310</v>
      </c>
      <c r="B172" t="s">
        <v>1822</v>
      </c>
      <c r="C172" t="s">
        <v>2505</v>
      </c>
      <c r="D172" t="s">
        <v>2506</v>
      </c>
      <c r="E172" t="s">
        <v>1289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309</v>
      </c>
      <c r="B173" t="s">
        <v>1825</v>
      </c>
      <c r="C173" t="s">
        <v>2507</v>
      </c>
      <c r="D173" t="s">
        <v>2508</v>
      </c>
      <c r="E173" t="s">
        <v>1289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6"/>
      <c r="AM173" s="27"/>
    </row>
    <row r="174" spans="1:39" ht="15" customHeight="1">
      <c r="A174" s="55" t="s">
        <v>308</v>
      </c>
      <c r="B174" t="s">
        <v>1826</v>
      </c>
      <c r="C174" t="s">
        <v>2509</v>
      </c>
      <c r="D174" t="s">
        <v>2510</v>
      </c>
      <c r="E174" t="s">
        <v>1289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307</v>
      </c>
      <c r="B175" t="s">
        <v>1827</v>
      </c>
      <c r="C175" t="s">
        <v>2511</v>
      </c>
      <c r="D175" t="s">
        <v>2512</v>
      </c>
      <c r="E175" t="s">
        <v>1289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6"/>
      <c r="AM175" s="27"/>
    </row>
    <row r="176" spans="1:39" ht="15" customHeight="1">
      <c r="A176" s="55" t="s">
        <v>306</v>
      </c>
      <c r="B176" t="s">
        <v>153</v>
      </c>
      <c r="C176" t="s">
        <v>2513</v>
      </c>
      <c r="D176" t="s">
        <v>2514</v>
      </c>
      <c r="E176" t="s">
        <v>1289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305</v>
      </c>
      <c r="D177" t="s">
        <v>2515</v>
      </c>
    </row>
    <row r="178" spans="1:39" ht="15" customHeight="1">
      <c r="A178" s="55" t="s">
        <v>304</v>
      </c>
      <c r="B178" t="s">
        <v>1810</v>
      </c>
      <c r="C178" t="s">
        <v>2516</v>
      </c>
      <c r="D178" t="s">
        <v>2517</v>
      </c>
      <c r="E178" t="s">
        <v>1289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303</v>
      </c>
      <c r="B179" t="s">
        <v>1811</v>
      </c>
      <c r="C179" t="s">
        <v>2518</v>
      </c>
      <c r="D179" t="s">
        <v>2519</v>
      </c>
      <c r="E179" t="s">
        <v>1289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302</v>
      </c>
      <c r="B180" t="s">
        <v>1812</v>
      </c>
      <c r="C180" t="s">
        <v>2520</v>
      </c>
      <c r="D180" t="s">
        <v>2521</v>
      </c>
      <c r="E180" t="s">
        <v>1289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301</v>
      </c>
      <c r="B181" t="s">
        <v>1813</v>
      </c>
      <c r="C181" t="s">
        <v>2522</v>
      </c>
      <c r="D181" t="s">
        <v>2523</v>
      </c>
      <c r="E181" t="s">
        <v>1289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300</v>
      </c>
      <c r="B182" t="s">
        <v>1814</v>
      </c>
      <c r="C182" t="s">
        <v>2524</v>
      </c>
      <c r="D182" t="s">
        <v>2525</v>
      </c>
      <c r="E182" t="s">
        <v>1289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299</v>
      </c>
      <c r="B183" t="s">
        <v>1815</v>
      </c>
      <c r="C183" t="s">
        <v>2526</v>
      </c>
      <c r="D183" t="s">
        <v>2527</v>
      </c>
      <c r="E183" t="s">
        <v>1289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298</v>
      </c>
      <c r="B184" t="s">
        <v>1816</v>
      </c>
      <c r="C184" t="s">
        <v>2528</v>
      </c>
      <c r="D184" t="s">
        <v>2529</v>
      </c>
      <c r="E184" t="s">
        <v>1289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297</v>
      </c>
      <c r="B185" t="s">
        <v>1817</v>
      </c>
      <c r="C185" t="s">
        <v>2530</v>
      </c>
      <c r="D185" t="s">
        <v>2531</v>
      </c>
      <c r="E185" t="s">
        <v>1289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296</v>
      </c>
      <c r="B186" t="s">
        <v>1818</v>
      </c>
      <c r="C186" t="s">
        <v>2532</v>
      </c>
      <c r="D186" t="s">
        <v>2533</v>
      </c>
      <c r="E186" t="s">
        <v>1289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295</v>
      </c>
      <c r="B187" t="s">
        <v>1819</v>
      </c>
      <c r="C187" t="s">
        <v>2534</v>
      </c>
      <c r="D187" t="s">
        <v>2535</v>
      </c>
      <c r="E187" t="s">
        <v>1289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294</v>
      </c>
      <c r="B188" t="s">
        <v>1820</v>
      </c>
      <c r="C188" t="s">
        <v>2536</v>
      </c>
      <c r="D188" t="s">
        <v>2537</v>
      </c>
      <c r="E188" t="s">
        <v>1289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293</v>
      </c>
      <c r="B189" t="s">
        <v>1821</v>
      </c>
      <c r="C189" t="s">
        <v>2538</v>
      </c>
      <c r="D189" t="s">
        <v>2539</v>
      </c>
      <c r="E189" t="s">
        <v>1289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292</v>
      </c>
      <c r="B190" t="s">
        <v>1822</v>
      </c>
      <c r="C190" t="s">
        <v>2540</v>
      </c>
      <c r="D190" t="s">
        <v>2541</v>
      </c>
      <c r="E190" t="s">
        <v>1289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291</v>
      </c>
      <c r="B191" t="s">
        <v>153</v>
      </c>
      <c r="C191" t="s">
        <v>2542</v>
      </c>
      <c r="D191" t="s">
        <v>2543</v>
      </c>
      <c r="E191" t="s">
        <v>1289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4.5"/>
  <cols>
    <col min="1" max="1" width="20.08984375" style="118" customWidth="1"/>
    <col min="2" max="2" width="37.08984375" style="41" customWidth="1"/>
  </cols>
  <sheetData>
    <row r="1" spans="2:38" ht="15" customHeight="1">
      <c r="B1" s="41" t="s">
        <v>1347</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832</v>
      </c>
    </row>
    <row r="11" spans="2:38" ht="15" customHeight="1">
      <c r="C11" t="s">
        <v>2544</v>
      </c>
    </row>
    <row r="12" spans="2:38" ht="15" customHeight="1">
      <c r="C12" t="s">
        <v>2545</v>
      </c>
    </row>
    <row r="13" spans="2:38" ht="15" customHeight="1">
      <c r="C13" t="s">
        <v>2546</v>
      </c>
    </row>
    <row r="14" spans="2:38" ht="15" customHeight="1">
      <c r="C14" t="s">
        <v>1198</v>
      </c>
    </row>
    <row r="15" spans="2:38" ht="15" customHeight="1">
      <c r="D15" t="s">
        <v>1199</v>
      </c>
      <c r="E15" t="s">
        <v>1288</v>
      </c>
      <c r="F15" t="s">
        <v>1289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1290</v>
      </c>
    </row>
    <row r="16" spans="2:38">
      <c r="C16" t="s">
        <v>831</v>
      </c>
      <c r="E16" t="s">
        <v>2571</v>
      </c>
    </row>
    <row r="17" spans="1:38" ht="15" customHeight="1">
      <c r="C17" t="s">
        <v>2547</v>
      </c>
      <c r="E17" t="s">
        <v>2572</v>
      </c>
    </row>
    <row r="18" spans="1:38" ht="15" customHeight="1">
      <c r="C18" t="s">
        <v>1221</v>
      </c>
      <c r="E18" t="s">
        <v>2573</v>
      </c>
    </row>
    <row r="19" spans="1:38" ht="15" customHeight="1">
      <c r="A19" s="122" t="s">
        <v>115</v>
      </c>
      <c r="B19" s="111" t="s">
        <v>830</v>
      </c>
      <c r="C19" t="s">
        <v>1266</v>
      </c>
      <c r="D19" t="s">
        <v>2574</v>
      </c>
      <c r="E19" t="s">
        <v>2575</v>
      </c>
      <c r="F19" t="s">
        <v>1894</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2" t="s">
        <v>114</v>
      </c>
      <c r="B20" s="111" t="s">
        <v>829</v>
      </c>
      <c r="C20" t="s">
        <v>1352</v>
      </c>
      <c r="D20" t="s">
        <v>2576</v>
      </c>
      <c r="E20" t="s">
        <v>2577</v>
      </c>
      <c r="F20" t="s">
        <v>1894</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2" t="s">
        <v>853</v>
      </c>
      <c r="B21" s="111" t="s">
        <v>828</v>
      </c>
      <c r="C21" t="s">
        <v>1273</v>
      </c>
      <c r="D21" t="s">
        <v>2578</v>
      </c>
      <c r="E21" t="s">
        <v>2579</v>
      </c>
      <c r="F21" t="s">
        <v>1894</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2" t="s">
        <v>113</v>
      </c>
      <c r="B22" s="111" t="s">
        <v>827</v>
      </c>
      <c r="C22" t="s">
        <v>1282</v>
      </c>
      <c r="D22" t="s">
        <v>2580</v>
      </c>
      <c r="E22" t="s">
        <v>2581</v>
      </c>
      <c r="F22" t="s">
        <v>1894</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2" t="s">
        <v>114</v>
      </c>
      <c r="B23" s="111" t="s">
        <v>826</v>
      </c>
      <c r="C23" t="s">
        <v>2548</v>
      </c>
      <c r="D23" t="s">
        <v>2582</v>
      </c>
      <c r="E23" t="s">
        <v>2583</v>
      </c>
      <c r="F23" t="s">
        <v>1894</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2" t="s">
        <v>112</v>
      </c>
      <c r="B24" s="111" t="s">
        <v>825</v>
      </c>
      <c r="C24" t="s">
        <v>1577</v>
      </c>
      <c r="D24" t="s">
        <v>2584</v>
      </c>
      <c r="E24" t="s">
        <v>2585</v>
      </c>
      <c r="F24" t="s">
        <v>1894</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2" t="s">
        <v>116</v>
      </c>
      <c r="B25" s="111" t="s">
        <v>824</v>
      </c>
      <c r="C25" t="s">
        <v>2549</v>
      </c>
      <c r="D25" t="s">
        <v>2586</v>
      </c>
      <c r="E25" t="s">
        <v>2587</v>
      </c>
      <c r="F25" t="s">
        <v>1894</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2" t="s">
        <v>116</v>
      </c>
      <c r="B26" s="111" t="s">
        <v>823</v>
      </c>
      <c r="C26" t="s">
        <v>2550</v>
      </c>
      <c r="D26" t="s">
        <v>2588</v>
      </c>
      <c r="E26" t="s">
        <v>2589</v>
      </c>
      <c r="F26" t="s">
        <v>1894</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2" t="s">
        <v>854</v>
      </c>
      <c r="B27" s="111" t="s">
        <v>822</v>
      </c>
      <c r="C27" t="s">
        <v>1581</v>
      </c>
      <c r="D27" t="s">
        <v>2590</v>
      </c>
      <c r="E27" t="s">
        <v>2591</v>
      </c>
      <c r="F27" t="s">
        <v>1894</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821</v>
      </c>
      <c r="C28" t="s">
        <v>2551</v>
      </c>
      <c r="D28" t="s">
        <v>2592</v>
      </c>
      <c r="E28" t="s">
        <v>2593</v>
      </c>
      <c r="F28" t="s">
        <v>1894</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1223</v>
      </c>
      <c r="E29" t="s">
        <v>2594</v>
      </c>
    </row>
    <row r="30" spans="1:38" ht="15" customHeight="1">
      <c r="A30" s="122" t="s">
        <v>115</v>
      </c>
      <c r="B30" s="111" t="s">
        <v>820</v>
      </c>
      <c r="C30" t="s">
        <v>1266</v>
      </c>
      <c r="D30" t="s">
        <v>2595</v>
      </c>
      <c r="E30" t="s">
        <v>2596</v>
      </c>
      <c r="F30" t="s">
        <v>1894</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2" t="s">
        <v>114</v>
      </c>
      <c r="B31" s="111" t="s">
        <v>819</v>
      </c>
      <c r="C31" t="s">
        <v>1352</v>
      </c>
      <c r="D31" t="s">
        <v>2597</v>
      </c>
      <c r="E31" t="s">
        <v>2598</v>
      </c>
      <c r="F31" t="s">
        <v>1894</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2" t="s">
        <v>853</v>
      </c>
      <c r="B32" s="111" t="s">
        <v>818</v>
      </c>
      <c r="C32" t="s">
        <v>1273</v>
      </c>
      <c r="D32" t="s">
        <v>2599</v>
      </c>
      <c r="E32" t="s">
        <v>2600</v>
      </c>
      <c r="F32" t="s">
        <v>1894</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2" t="s">
        <v>113</v>
      </c>
      <c r="B33" s="111" t="s">
        <v>817</v>
      </c>
      <c r="C33" t="s">
        <v>1282</v>
      </c>
      <c r="D33" t="s">
        <v>2601</v>
      </c>
      <c r="E33" t="s">
        <v>2602</v>
      </c>
      <c r="F33" t="s">
        <v>1894</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2" t="s">
        <v>114</v>
      </c>
      <c r="B34" s="111" t="s">
        <v>816</v>
      </c>
      <c r="C34" t="s">
        <v>2548</v>
      </c>
      <c r="D34" t="s">
        <v>2603</v>
      </c>
      <c r="E34" t="s">
        <v>2604</v>
      </c>
      <c r="F34" t="s">
        <v>1894</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2" t="s">
        <v>112</v>
      </c>
      <c r="B35" s="111" t="s">
        <v>815</v>
      </c>
      <c r="C35" t="s">
        <v>1577</v>
      </c>
      <c r="D35" t="s">
        <v>2605</v>
      </c>
      <c r="E35" t="s">
        <v>2606</v>
      </c>
      <c r="F35" t="s">
        <v>1894</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2" t="s">
        <v>116</v>
      </c>
      <c r="B36" s="111" t="s">
        <v>814</v>
      </c>
      <c r="C36" t="s">
        <v>2549</v>
      </c>
      <c r="D36" t="s">
        <v>2607</v>
      </c>
      <c r="E36" t="s">
        <v>2608</v>
      </c>
      <c r="F36" t="s">
        <v>1894</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2" t="s">
        <v>116</v>
      </c>
      <c r="B37" s="111" t="s">
        <v>813</v>
      </c>
      <c r="C37" t="s">
        <v>2550</v>
      </c>
      <c r="D37" t="s">
        <v>2609</v>
      </c>
      <c r="E37" t="s">
        <v>2610</v>
      </c>
      <c r="F37" t="s">
        <v>1894</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2" t="s">
        <v>854</v>
      </c>
      <c r="B38" s="111" t="s">
        <v>812</v>
      </c>
      <c r="C38" t="s">
        <v>1581</v>
      </c>
      <c r="D38" t="s">
        <v>2611</v>
      </c>
      <c r="E38" t="s">
        <v>2612</v>
      </c>
      <c r="F38" t="s">
        <v>1894</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811</v>
      </c>
      <c r="C39" t="s">
        <v>2552</v>
      </c>
      <c r="D39" t="s">
        <v>2613</v>
      </c>
      <c r="E39" t="s">
        <v>2614</v>
      </c>
      <c r="F39" t="s">
        <v>1894</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2553</v>
      </c>
      <c r="E40" t="s">
        <v>2615</v>
      </c>
    </row>
    <row r="41" spans="1:38" ht="15" customHeight="1">
      <c r="A41" s="122" t="s">
        <v>115</v>
      </c>
      <c r="B41" s="111" t="s">
        <v>810</v>
      </c>
      <c r="C41" t="s">
        <v>1266</v>
      </c>
      <c r="D41" t="s">
        <v>2616</v>
      </c>
      <c r="E41" t="s">
        <v>2617</v>
      </c>
      <c r="F41" t="s">
        <v>1894</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2" t="s">
        <v>114</v>
      </c>
      <c r="B42" s="111" t="s">
        <v>809</v>
      </c>
      <c r="C42" t="s">
        <v>1352</v>
      </c>
      <c r="D42" t="s">
        <v>2618</v>
      </c>
      <c r="E42" t="s">
        <v>2619</v>
      </c>
      <c r="F42" t="s">
        <v>1894</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2" t="s">
        <v>853</v>
      </c>
      <c r="B43" s="111" t="s">
        <v>808</v>
      </c>
      <c r="C43" t="s">
        <v>1273</v>
      </c>
      <c r="D43" t="s">
        <v>2620</v>
      </c>
      <c r="E43" t="s">
        <v>2621</v>
      </c>
      <c r="F43" t="s">
        <v>1894</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2" t="s">
        <v>113</v>
      </c>
      <c r="B44" s="111" t="s">
        <v>807</v>
      </c>
      <c r="C44" t="s">
        <v>1282</v>
      </c>
      <c r="D44" t="s">
        <v>2622</v>
      </c>
      <c r="E44" t="s">
        <v>2623</v>
      </c>
      <c r="F44" t="s">
        <v>1894</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2" t="s">
        <v>114</v>
      </c>
      <c r="B45" s="111" t="s">
        <v>806</v>
      </c>
      <c r="C45" t="s">
        <v>2548</v>
      </c>
      <c r="D45" t="s">
        <v>2624</v>
      </c>
      <c r="E45" t="s">
        <v>2625</v>
      </c>
      <c r="F45" t="s">
        <v>1894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2" t="s">
        <v>112</v>
      </c>
      <c r="B46" s="111" t="s">
        <v>805</v>
      </c>
      <c r="C46" t="s">
        <v>1577</v>
      </c>
      <c r="D46" t="s">
        <v>2626</v>
      </c>
      <c r="E46" t="s">
        <v>2627</v>
      </c>
      <c r="F46" t="s">
        <v>1894</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2" t="s">
        <v>116</v>
      </c>
      <c r="B47" s="111" t="s">
        <v>804</v>
      </c>
      <c r="C47" t="s">
        <v>2549</v>
      </c>
      <c r="D47" t="s">
        <v>2628</v>
      </c>
      <c r="E47" t="s">
        <v>2629</v>
      </c>
      <c r="F47" t="s">
        <v>1894</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2" t="s">
        <v>116</v>
      </c>
      <c r="B48" s="111" t="s">
        <v>803</v>
      </c>
      <c r="C48" t="s">
        <v>2550</v>
      </c>
      <c r="D48" t="s">
        <v>2630</v>
      </c>
      <c r="E48" t="s">
        <v>2631</v>
      </c>
      <c r="F48" t="s">
        <v>1894</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2" t="s">
        <v>854</v>
      </c>
      <c r="B49" s="111" t="s">
        <v>802</v>
      </c>
      <c r="C49" t="s">
        <v>1581</v>
      </c>
      <c r="D49" t="s">
        <v>2632</v>
      </c>
      <c r="E49" t="s">
        <v>2633</v>
      </c>
      <c r="F49" t="s">
        <v>1894</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801</v>
      </c>
      <c r="C50" t="s">
        <v>2554</v>
      </c>
      <c r="D50" t="s">
        <v>2634</v>
      </c>
      <c r="E50" t="s">
        <v>2635</v>
      </c>
      <c r="F50" t="s">
        <v>1894</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800</v>
      </c>
      <c r="C51" t="s">
        <v>2555</v>
      </c>
      <c r="D51" t="s">
        <v>2636</v>
      </c>
      <c r="E51" t="s">
        <v>2637</v>
      </c>
      <c r="F51" t="s">
        <v>1894</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2556</v>
      </c>
      <c r="E52" t="s">
        <v>2638</v>
      </c>
    </row>
    <row r="53" spans="1:38" ht="15" customHeight="1">
      <c r="C53" t="s">
        <v>1221</v>
      </c>
      <c r="E53" t="s">
        <v>2639</v>
      </c>
    </row>
    <row r="54" spans="1:38" ht="15" customHeight="1">
      <c r="A54" s="122" t="s">
        <v>115</v>
      </c>
      <c r="B54" s="111" t="s">
        <v>799</v>
      </c>
      <c r="C54" t="s">
        <v>1266</v>
      </c>
      <c r="D54" t="s">
        <v>2640</v>
      </c>
      <c r="E54" t="s">
        <v>2641</v>
      </c>
      <c r="F54" t="s">
        <v>1294</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2" t="s">
        <v>114</v>
      </c>
      <c r="B55" s="111" t="s">
        <v>798</v>
      </c>
      <c r="C55" t="s">
        <v>1352</v>
      </c>
      <c r="D55" t="s">
        <v>2642</v>
      </c>
      <c r="E55" t="s">
        <v>2643</v>
      </c>
      <c r="F55" t="s">
        <v>1294</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2" t="s">
        <v>853</v>
      </c>
      <c r="B56" s="111" t="s">
        <v>797</v>
      </c>
      <c r="C56" t="s">
        <v>1273</v>
      </c>
      <c r="D56" t="s">
        <v>2644</v>
      </c>
      <c r="E56" t="s">
        <v>2645</v>
      </c>
      <c r="F56" t="s">
        <v>1294</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2" t="s">
        <v>113</v>
      </c>
      <c r="B57" s="111" t="s">
        <v>796</v>
      </c>
      <c r="C57" t="s">
        <v>1282</v>
      </c>
      <c r="D57" t="s">
        <v>2646</v>
      </c>
      <c r="E57" t="s">
        <v>2647</v>
      </c>
      <c r="F57" t="s">
        <v>1294</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2" t="s">
        <v>114</v>
      </c>
      <c r="B58" s="111" t="s">
        <v>795</v>
      </c>
      <c r="C58" t="s">
        <v>2548</v>
      </c>
      <c r="D58" t="s">
        <v>2648</v>
      </c>
      <c r="E58" t="s">
        <v>2649</v>
      </c>
      <c r="F58" t="s">
        <v>1294</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2" t="s">
        <v>112</v>
      </c>
      <c r="B59" s="111" t="s">
        <v>794</v>
      </c>
      <c r="C59" t="s">
        <v>1577</v>
      </c>
      <c r="D59" t="s">
        <v>2650</v>
      </c>
      <c r="E59" t="s">
        <v>2651</v>
      </c>
      <c r="F59" t="s">
        <v>1294</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2" t="s">
        <v>116</v>
      </c>
      <c r="B60" s="111" t="s">
        <v>793</v>
      </c>
      <c r="C60" t="s">
        <v>2549</v>
      </c>
      <c r="D60" t="s">
        <v>2652</v>
      </c>
      <c r="E60" t="s">
        <v>2653</v>
      </c>
      <c r="F60" t="s">
        <v>1294</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2" t="s">
        <v>116</v>
      </c>
      <c r="B61" s="111" t="s">
        <v>792</v>
      </c>
      <c r="C61" t="s">
        <v>2550</v>
      </c>
      <c r="D61" t="s">
        <v>2654</v>
      </c>
      <c r="E61" t="s">
        <v>2655</v>
      </c>
      <c r="F61" t="s">
        <v>1294</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2" t="s">
        <v>854</v>
      </c>
      <c r="B62" s="111" t="s">
        <v>791</v>
      </c>
      <c r="C62" t="s">
        <v>1581</v>
      </c>
      <c r="D62" t="s">
        <v>2656</v>
      </c>
      <c r="E62" t="s">
        <v>2657</v>
      </c>
      <c r="F62" t="s">
        <v>1294</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790</v>
      </c>
      <c r="C63" t="s">
        <v>2551</v>
      </c>
      <c r="D63" t="s">
        <v>2658</v>
      </c>
      <c r="E63" t="s">
        <v>2659</v>
      </c>
      <c r="F63" t="s">
        <v>1294</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1223</v>
      </c>
      <c r="E64" t="s">
        <v>2660</v>
      </c>
    </row>
    <row r="65" spans="1:38" ht="15" customHeight="1">
      <c r="A65" s="122" t="s">
        <v>115</v>
      </c>
      <c r="B65" s="111" t="s">
        <v>789</v>
      </c>
      <c r="C65" t="s">
        <v>1266</v>
      </c>
      <c r="D65" t="s">
        <v>2661</v>
      </c>
      <c r="E65" t="s">
        <v>2662</v>
      </c>
      <c r="F65" t="s">
        <v>1294</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2" t="s">
        <v>114</v>
      </c>
      <c r="B66" s="111" t="s">
        <v>788</v>
      </c>
      <c r="C66" t="s">
        <v>1352</v>
      </c>
      <c r="D66" t="s">
        <v>2663</v>
      </c>
      <c r="E66" t="s">
        <v>2664</v>
      </c>
      <c r="F66" t="s">
        <v>1294</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2" t="s">
        <v>853</v>
      </c>
      <c r="B67" s="111" t="s">
        <v>787</v>
      </c>
      <c r="C67" t="s">
        <v>1273</v>
      </c>
      <c r="D67" t="s">
        <v>2665</v>
      </c>
      <c r="E67" t="s">
        <v>2666</v>
      </c>
      <c r="F67" t="s">
        <v>1294</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2" t="s">
        <v>113</v>
      </c>
      <c r="B68" s="111" t="s">
        <v>786</v>
      </c>
      <c r="C68" t="s">
        <v>1282</v>
      </c>
      <c r="D68" t="s">
        <v>2667</v>
      </c>
      <c r="E68" t="s">
        <v>2668</v>
      </c>
      <c r="F68" t="s">
        <v>1294</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2" t="s">
        <v>114</v>
      </c>
      <c r="B69" s="111" t="s">
        <v>785</v>
      </c>
      <c r="C69" t="s">
        <v>2548</v>
      </c>
      <c r="D69" t="s">
        <v>2669</v>
      </c>
      <c r="E69" t="s">
        <v>2670</v>
      </c>
      <c r="F69" t="s">
        <v>1294</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2" t="s">
        <v>112</v>
      </c>
      <c r="B70" s="111" t="s">
        <v>784</v>
      </c>
      <c r="C70" t="s">
        <v>1577</v>
      </c>
      <c r="D70" t="s">
        <v>2671</v>
      </c>
      <c r="E70" t="s">
        <v>2672</v>
      </c>
      <c r="F70" t="s">
        <v>1294</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2" t="s">
        <v>116</v>
      </c>
      <c r="B71" s="111" t="s">
        <v>783</v>
      </c>
      <c r="C71" t="s">
        <v>2549</v>
      </c>
      <c r="D71" t="s">
        <v>2673</v>
      </c>
      <c r="E71" t="s">
        <v>2674</v>
      </c>
      <c r="F71" t="s">
        <v>1294</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2" t="s">
        <v>116</v>
      </c>
      <c r="B72" s="111" t="s">
        <v>782</v>
      </c>
      <c r="C72" t="s">
        <v>2550</v>
      </c>
      <c r="D72" t="s">
        <v>2675</v>
      </c>
      <c r="E72" t="s">
        <v>2676</v>
      </c>
      <c r="F72" t="s">
        <v>1294</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2" t="s">
        <v>854</v>
      </c>
      <c r="B73" s="111" t="s">
        <v>781</v>
      </c>
      <c r="C73" t="s">
        <v>1581</v>
      </c>
      <c r="D73" t="s">
        <v>2677</v>
      </c>
      <c r="E73" t="s">
        <v>2678</v>
      </c>
      <c r="F73" t="s">
        <v>1294</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780</v>
      </c>
      <c r="C74" t="s">
        <v>2552</v>
      </c>
      <c r="D74" t="s">
        <v>2679</v>
      </c>
      <c r="E74" t="s">
        <v>2680</v>
      </c>
      <c r="F74" t="s">
        <v>1294</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2553</v>
      </c>
      <c r="E75" t="s">
        <v>2681</v>
      </c>
    </row>
    <row r="76" spans="1:38" ht="15" customHeight="1">
      <c r="A76" s="122" t="s">
        <v>115</v>
      </c>
      <c r="B76" s="111" t="s">
        <v>779</v>
      </c>
      <c r="C76" t="s">
        <v>1266</v>
      </c>
      <c r="D76" t="s">
        <v>2682</v>
      </c>
      <c r="E76" t="s">
        <v>2683</v>
      </c>
      <c r="F76" t="s">
        <v>1294</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2" t="s">
        <v>114</v>
      </c>
      <c r="B77" s="111" t="s">
        <v>778</v>
      </c>
      <c r="C77" t="s">
        <v>1352</v>
      </c>
      <c r="D77" t="s">
        <v>2684</v>
      </c>
      <c r="E77" t="s">
        <v>2685</v>
      </c>
      <c r="F77" t="s">
        <v>1294</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2" t="s">
        <v>853</v>
      </c>
      <c r="B78" s="111" t="s">
        <v>777</v>
      </c>
      <c r="C78" t="s">
        <v>1273</v>
      </c>
      <c r="D78" t="s">
        <v>2686</v>
      </c>
      <c r="E78" t="s">
        <v>2687</v>
      </c>
      <c r="F78" t="s">
        <v>1294</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2" t="s">
        <v>113</v>
      </c>
      <c r="B79" s="111" t="s">
        <v>776</v>
      </c>
      <c r="C79" t="s">
        <v>1282</v>
      </c>
      <c r="D79" t="s">
        <v>2688</v>
      </c>
      <c r="E79" t="s">
        <v>2689</v>
      </c>
      <c r="F79" t="s">
        <v>1294</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2" t="s">
        <v>114</v>
      </c>
      <c r="B80" s="111" t="s">
        <v>775</v>
      </c>
      <c r="C80" t="s">
        <v>2548</v>
      </c>
      <c r="D80" t="s">
        <v>2690</v>
      </c>
      <c r="E80" t="s">
        <v>2691</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2" t="s">
        <v>112</v>
      </c>
      <c r="B81" s="111" t="s">
        <v>774</v>
      </c>
      <c r="C81" t="s">
        <v>1577</v>
      </c>
      <c r="D81" t="s">
        <v>2692</v>
      </c>
      <c r="E81" t="s">
        <v>2693</v>
      </c>
      <c r="F81" t="s">
        <v>1294</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2" t="s">
        <v>116</v>
      </c>
      <c r="B82" s="111" t="s">
        <v>773</v>
      </c>
      <c r="C82" t="s">
        <v>2549</v>
      </c>
      <c r="D82" t="s">
        <v>2694</v>
      </c>
      <c r="E82" t="s">
        <v>2695</v>
      </c>
      <c r="F82" t="s">
        <v>1294</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2" t="s">
        <v>116</v>
      </c>
      <c r="B83" s="111" t="s">
        <v>772</v>
      </c>
      <c r="C83" t="s">
        <v>2550</v>
      </c>
      <c r="D83" t="s">
        <v>2696</v>
      </c>
      <c r="E83" t="s">
        <v>2697</v>
      </c>
      <c r="F83" t="s">
        <v>1294</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2" t="s">
        <v>854</v>
      </c>
      <c r="B84" s="111" t="s">
        <v>771</v>
      </c>
      <c r="C84" t="s">
        <v>1581</v>
      </c>
      <c r="D84" t="s">
        <v>2698</v>
      </c>
      <c r="E84" t="s">
        <v>2699</v>
      </c>
      <c r="F84" t="s">
        <v>1294</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770</v>
      </c>
      <c r="C85" t="s">
        <v>2554</v>
      </c>
      <c r="D85" t="s">
        <v>2700</v>
      </c>
      <c r="E85" t="s">
        <v>2701</v>
      </c>
      <c r="F85" t="s">
        <v>1294</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1221</v>
      </c>
      <c r="D86" t="s">
        <v>2702</v>
      </c>
      <c r="E86" t="s">
        <v>2703</v>
      </c>
      <c r="G86" t="s">
        <v>2704</v>
      </c>
    </row>
    <row r="87" spans="1:38" ht="15" customHeight="1">
      <c r="A87" s="122" t="s">
        <v>115</v>
      </c>
      <c r="B87" s="111" t="s">
        <v>769</v>
      </c>
      <c r="C87" t="s">
        <v>1266</v>
      </c>
      <c r="D87" t="s">
        <v>2705</v>
      </c>
      <c r="E87" t="s">
        <v>2706</v>
      </c>
      <c r="F87" t="s">
        <v>1294</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2" t="s">
        <v>114</v>
      </c>
      <c r="B88" s="111" t="s">
        <v>768</v>
      </c>
      <c r="C88" t="s">
        <v>1352</v>
      </c>
      <c r="D88" t="s">
        <v>2707</v>
      </c>
      <c r="E88" t="s">
        <v>2708</v>
      </c>
      <c r="F88" t="s">
        <v>1294</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2" t="s">
        <v>853</v>
      </c>
      <c r="B89" s="111" t="s">
        <v>767</v>
      </c>
      <c r="C89" t="s">
        <v>1273</v>
      </c>
      <c r="D89" t="s">
        <v>2709</v>
      </c>
      <c r="E89" t="s">
        <v>2710</v>
      </c>
      <c r="F89" t="s">
        <v>1294</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2" t="s">
        <v>113</v>
      </c>
      <c r="B90" s="111" t="s">
        <v>766</v>
      </c>
      <c r="C90" t="s">
        <v>1282</v>
      </c>
      <c r="D90" t="s">
        <v>2711</v>
      </c>
      <c r="E90" t="s">
        <v>2712</v>
      </c>
      <c r="F90" t="s">
        <v>1294</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2" t="s">
        <v>114</v>
      </c>
      <c r="B91" s="111" t="s">
        <v>765</v>
      </c>
      <c r="C91" t="s">
        <v>2548</v>
      </c>
      <c r="D91" t="s">
        <v>2713</v>
      </c>
      <c r="E91" t="s">
        <v>2714</v>
      </c>
      <c r="F91" t="s">
        <v>1294</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2" t="s">
        <v>112</v>
      </c>
      <c r="B92" s="111" t="s">
        <v>764</v>
      </c>
      <c r="C92" t="s">
        <v>1577</v>
      </c>
      <c r="D92" t="s">
        <v>2715</v>
      </c>
      <c r="E92" t="s">
        <v>2716</v>
      </c>
      <c r="F92" t="s">
        <v>1294</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2" t="s">
        <v>116</v>
      </c>
      <c r="B93" s="111" t="s">
        <v>763</v>
      </c>
      <c r="C93" t="s">
        <v>2549</v>
      </c>
      <c r="D93" t="s">
        <v>2717</v>
      </c>
      <c r="E93" t="s">
        <v>2718</v>
      </c>
      <c r="F93" t="s">
        <v>1294</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2" t="s">
        <v>116</v>
      </c>
      <c r="B94" s="111" t="s">
        <v>762</v>
      </c>
      <c r="C94" t="s">
        <v>2550</v>
      </c>
      <c r="D94" t="s">
        <v>2719</v>
      </c>
      <c r="E94" t="s">
        <v>2720</v>
      </c>
      <c r="F94" t="s">
        <v>1294</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2" t="s">
        <v>854</v>
      </c>
      <c r="B95" s="111" t="s">
        <v>761</v>
      </c>
      <c r="C95" t="s">
        <v>1581</v>
      </c>
      <c r="D95" t="s">
        <v>2721</v>
      </c>
      <c r="E95" t="s">
        <v>2722</v>
      </c>
      <c r="F95" t="s">
        <v>1294</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760</v>
      </c>
      <c r="C96" t="s">
        <v>594</v>
      </c>
      <c r="D96" t="s">
        <v>2723</v>
      </c>
      <c r="E96" t="s">
        <v>2724</v>
      </c>
      <c r="F96" t="s">
        <v>1294</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2725</v>
      </c>
    </row>
    <row r="98" spans="1:38" ht="15" customHeight="1">
      <c r="C98" t="s">
        <v>1221</v>
      </c>
      <c r="E98" t="s">
        <v>2726</v>
      </c>
    </row>
    <row r="99" spans="1:38" ht="15" customHeight="1">
      <c r="A99" s="122" t="s">
        <v>115</v>
      </c>
      <c r="B99" s="111" t="s">
        <v>759</v>
      </c>
      <c r="C99" t="s">
        <v>1266</v>
      </c>
      <c r="D99" t="s">
        <v>2727</v>
      </c>
      <c r="E99" t="s">
        <v>2728</v>
      </c>
      <c r="F99" t="s">
        <v>2729</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2" t="s">
        <v>114</v>
      </c>
      <c r="B100" s="111" t="s">
        <v>758</v>
      </c>
      <c r="C100" t="s">
        <v>1352</v>
      </c>
      <c r="D100" t="s">
        <v>2730</v>
      </c>
      <c r="E100" t="s">
        <v>2731</v>
      </c>
      <c r="F100" t="s">
        <v>1718</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2" t="s">
        <v>853</v>
      </c>
      <c r="B101" s="111" t="s">
        <v>757</v>
      </c>
      <c r="C101" t="s">
        <v>1273</v>
      </c>
      <c r="D101" t="s">
        <v>2732</v>
      </c>
      <c r="E101" t="s">
        <v>2733</v>
      </c>
      <c r="F101" t="s">
        <v>1718</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2" t="s">
        <v>113</v>
      </c>
      <c r="B102" s="111" t="s">
        <v>756</v>
      </c>
      <c r="C102" t="s">
        <v>1282</v>
      </c>
      <c r="D102" t="s">
        <v>2734</v>
      </c>
      <c r="E102" t="s">
        <v>2735</v>
      </c>
      <c r="F102" t="s">
        <v>1718</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2" t="s">
        <v>114</v>
      </c>
      <c r="B103" s="111" t="s">
        <v>755</v>
      </c>
      <c r="C103" t="s">
        <v>2548</v>
      </c>
      <c r="D103" t="s">
        <v>2736</v>
      </c>
      <c r="E103" t="s">
        <v>2737</v>
      </c>
      <c r="F103" t="s">
        <v>1718</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2" t="s">
        <v>112</v>
      </c>
      <c r="B104" s="111" t="s">
        <v>754</v>
      </c>
      <c r="C104" t="s">
        <v>1577</v>
      </c>
      <c r="D104" t="s">
        <v>2738</v>
      </c>
      <c r="E104" t="s">
        <v>2739</v>
      </c>
      <c r="F104" t="s">
        <v>2729</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2" t="s">
        <v>116</v>
      </c>
      <c r="B105" s="111" t="s">
        <v>753</v>
      </c>
      <c r="C105" t="s">
        <v>2549</v>
      </c>
      <c r="D105" t="s">
        <v>2740</v>
      </c>
      <c r="E105" t="s">
        <v>2741</v>
      </c>
      <c r="F105" t="s">
        <v>2729</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2" t="s">
        <v>116</v>
      </c>
      <c r="B106" s="111" t="s">
        <v>752</v>
      </c>
      <c r="C106" t="s">
        <v>2550</v>
      </c>
      <c r="D106" t="s">
        <v>2742</v>
      </c>
      <c r="E106" t="s">
        <v>2743</v>
      </c>
      <c r="F106" t="s">
        <v>1718</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2" t="s">
        <v>854</v>
      </c>
      <c r="B107" s="111" t="s">
        <v>751</v>
      </c>
      <c r="C107" t="s">
        <v>1581</v>
      </c>
      <c r="D107" t="s">
        <v>2744</v>
      </c>
      <c r="E107" t="s">
        <v>2745</v>
      </c>
      <c r="F107" t="s">
        <v>2729</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750</v>
      </c>
      <c r="C108" t="s">
        <v>2558</v>
      </c>
      <c r="D108" t="s">
        <v>2746</v>
      </c>
      <c r="E108" t="s">
        <v>2747</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1223</v>
      </c>
      <c r="E109" t="s">
        <v>2748</v>
      </c>
    </row>
    <row r="110" spans="1:38" ht="15" customHeight="1">
      <c r="A110" s="122" t="s">
        <v>115</v>
      </c>
      <c r="B110" s="111" t="s">
        <v>749</v>
      </c>
      <c r="C110" t="s">
        <v>1266</v>
      </c>
      <c r="D110" t="s">
        <v>2749</v>
      </c>
      <c r="E110" t="s">
        <v>2750</v>
      </c>
      <c r="F110" t="s">
        <v>2729</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2" t="s">
        <v>114</v>
      </c>
      <c r="B111" s="111" t="s">
        <v>748</v>
      </c>
      <c r="C111" t="s">
        <v>1352</v>
      </c>
      <c r="D111" t="s">
        <v>2751</v>
      </c>
      <c r="E111" t="s">
        <v>2752</v>
      </c>
      <c r="F111" t="s">
        <v>1718</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2" t="s">
        <v>853</v>
      </c>
      <c r="B112" s="111" t="s">
        <v>747</v>
      </c>
      <c r="C112" t="s">
        <v>1273</v>
      </c>
      <c r="D112" t="s">
        <v>2753</v>
      </c>
      <c r="E112" t="s">
        <v>2754</v>
      </c>
      <c r="F112" t="s">
        <v>1718</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2" t="s">
        <v>113</v>
      </c>
      <c r="B113" s="111" t="s">
        <v>746</v>
      </c>
      <c r="C113" t="s">
        <v>1282</v>
      </c>
      <c r="D113" t="s">
        <v>2755</v>
      </c>
      <c r="E113" t="s">
        <v>2756</v>
      </c>
      <c r="F113" t="s">
        <v>1718</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2" t="s">
        <v>114</v>
      </c>
      <c r="B114" s="111" t="s">
        <v>745</v>
      </c>
      <c r="C114" t="s">
        <v>2548</v>
      </c>
      <c r="D114" t="s">
        <v>2757</v>
      </c>
      <c r="E114" t="s">
        <v>2758</v>
      </c>
      <c r="F114" t="s">
        <v>2759</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2" t="s">
        <v>112</v>
      </c>
      <c r="B115" s="111" t="s">
        <v>744</v>
      </c>
      <c r="C115" t="s">
        <v>1577</v>
      </c>
      <c r="D115" t="s">
        <v>2760</v>
      </c>
      <c r="E115" t="s">
        <v>2761</v>
      </c>
      <c r="F115" t="s">
        <v>1718</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2" t="s">
        <v>116</v>
      </c>
      <c r="B116" s="111" t="s">
        <v>743</v>
      </c>
      <c r="C116" t="s">
        <v>2549</v>
      </c>
      <c r="D116" t="s">
        <v>2762</v>
      </c>
      <c r="E116" t="s">
        <v>2763</v>
      </c>
      <c r="F116" t="s">
        <v>1718</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2" t="s">
        <v>116</v>
      </c>
      <c r="B117" s="111" t="s">
        <v>742</v>
      </c>
      <c r="C117" t="s">
        <v>2550</v>
      </c>
      <c r="D117" t="s">
        <v>2764</v>
      </c>
      <c r="E117" t="s">
        <v>2765</v>
      </c>
      <c r="F117" t="s">
        <v>1718</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2" t="s">
        <v>854</v>
      </c>
      <c r="B118" s="111" t="s">
        <v>741</v>
      </c>
      <c r="C118" t="s">
        <v>1581</v>
      </c>
      <c r="D118" t="s">
        <v>2766</v>
      </c>
      <c r="E118" t="s">
        <v>2767</v>
      </c>
      <c r="F118" t="s">
        <v>1718</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740</v>
      </c>
      <c r="C119" t="s">
        <v>2559</v>
      </c>
      <c r="D119" t="s">
        <v>2768</v>
      </c>
      <c r="E119" t="s">
        <v>2769</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2553</v>
      </c>
      <c r="E120" t="s">
        <v>2770</v>
      </c>
    </row>
    <row r="121" spans="1:38" ht="15" customHeight="1">
      <c r="A121" s="122" t="s">
        <v>115</v>
      </c>
      <c r="B121" s="111" t="s">
        <v>739</v>
      </c>
      <c r="C121" t="s">
        <v>1266</v>
      </c>
      <c r="D121" t="s">
        <v>2771</v>
      </c>
      <c r="E121" t="s">
        <v>2772</v>
      </c>
      <c r="F121" t="s">
        <v>2729</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2" t="s">
        <v>114</v>
      </c>
      <c r="B122" s="111" t="s">
        <v>738</v>
      </c>
      <c r="C122" t="s">
        <v>1352</v>
      </c>
      <c r="D122" t="s">
        <v>2773</v>
      </c>
      <c r="E122" t="s">
        <v>2774</v>
      </c>
      <c r="F122" t="s">
        <v>1718</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2" t="s">
        <v>853</v>
      </c>
      <c r="B123" s="111" t="s">
        <v>737</v>
      </c>
      <c r="C123" t="s">
        <v>1273</v>
      </c>
      <c r="D123" t="s">
        <v>2775</v>
      </c>
      <c r="E123" t="s">
        <v>2776</v>
      </c>
      <c r="F123" t="s">
        <v>1718</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2" t="s">
        <v>113</v>
      </c>
      <c r="B124" s="111" t="s">
        <v>736</v>
      </c>
      <c r="C124" t="s">
        <v>1282</v>
      </c>
      <c r="D124" t="s">
        <v>2777</v>
      </c>
      <c r="E124" t="s">
        <v>2778</v>
      </c>
      <c r="F124" t="s">
        <v>2729</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2" t="s">
        <v>114</v>
      </c>
      <c r="B125" s="111" t="s">
        <v>735</v>
      </c>
      <c r="C125" t="s">
        <v>2548</v>
      </c>
      <c r="D125" t="s">
        <v>2779</v>
      </c>
      <c r="E125" t="s">
        <v>2780</v>
      </c>
      <c r="F125" t="s">
        <v>1718</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2" t="s">
        <v>112</v>
      </c>
      <c r="B126" s="111" t="s">
        <v>734</v>
      </c>
      <c r="C126" t="s">
        <v>1577</v>
      </c>
      <c r="D126" t="s">
        <v>2781</v>
      </c>
      <c r="E126" t="s">
        <v>2782</v>
      </c>
      <c r="F126" t="s">
        <v>2729</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2" t="s">
        <v>116</v>
      </c>
      <c r="B127" s="111" t="s">
        <v>733</v>
      </c>
      <c r="C127" t="s">
        <v>2549</v>
      </c>
      <c r="D127" t="s">
        <v>2783</v>
      </c>
      <c r="E127" t="s">
        <v>2784</v>
      </c>
      <c r="F127" t="s">
        <v>2729</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2" t="s">
        <v>116</v>
      </c>
      <c r="B128" s="111" t="s">
        <v>732</v>
      </c>
      <c r="C128" t="s">
        <v>2550</v>
      </c>
      <c r="D128" t="s">
        <v>2785</v>
      </c>
      <c r="E128" t="s">
        <v>2786</v>
      </c>
      <c r="F128" t="s">
        <v>1718</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2" t="s">
        <v>854</v>
      </c>
      <c r="B129" s="111" t="s">
        <v>731</v>
      </c>
      <c r="C129" t="s">
        <v>1581</v>
      </c>
      <c r="D129" t="s">
        <v>2787</v>
      </c>
      <c r="E129" t="s">
        <v>2788</v>
      </c>
      <c r="F129" t="s">
        <v>2729</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730</v>
      </c>
      <c r="C130" t="s">
        <v>2560</v>
      </c>
      <c r="D130" t="s">
        <v>2789</v>
      </c>
      <c r="E130" t="s">
        <v>2790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8"/>
      <c r="B131" s="36" t="s">
        <v>729</v>
      </c>
      <c r="C131" s="37" t="s">
        <v>2561</v>
      </c>
      <c r="D131" s="37" t="s">
        <v>2791</v>
      </c>
      <c r="E131" s="37" t="s">
        <v>2792</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2562</v>
      </c>
      <c r="E132" t="s">
        <v>2793</v>
      </c>
    </row>
    <row r="133" spans="1:38" ht="15" customHeight="1">
      <c r="C133" t="s">
        <v>1221</v>
      </c>
      <c r="E133" t="s">
        <v>2794</v>
      </c>
    </row>
    <row r="134" spans="1:38" ht="15" customHeight="1">
      <c r="A134" s="122" t="s">
        <v>115</v>
      </c>
      <c r="B134" s="111" t="s">
        <v>728</v>
      </c>
      <c r="C134" t="s">
        <v>1266</v>
      </c>
      <c r="D134" t="s">
        <v>2795</v>
      </c>
      <c r="E134" t="s">
        <v>2796</v>
      </c>
      <c r="F134" t="s">
        <v>1864</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2" t="s">
        <v>114</v>
      </c>
      <c r="B135" s="111" t="s">
        <v>727</v>
      </c>
      <c r="C135" t="s">
        <v>1352</v>
      </c>
      <c r="D135" t="s">
        <v>2797</v>
      </c>
      <c r="E135" t="s">
        <v>2798</v>
      </c>
      <c r="F135" t="s">
        <v>1864</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2" t="s">
        <v>853</v>
      </c>
      <c r="B136" s="111" t="s">
        <v>726</v>
      </c>
      <c r="C136" t="s">
        <v>1273</v>
      </c>
      <c r="D136" t="s">
        <v>2799</v>
      </c>
      <c r="E136" t="s">
        <v>2800</v>
      </c>
      <c r="F136" t="s">
        <v>1864</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2" t="s">
        <v>113</v>
      </c>
      <c r="B137" s="111" t="s">
        <v>725</v>
      </c>
      <c r="C137" t="s">
        <v>1282</v>
      </c>
      <c r="D137" t="s">
        <v>2801</v>
      </c>
      <c r="E137" t="s">
        <v>2802</v>
      </c>
      <c r="F137" t="s">
        <v>1864</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2" t="s">
        <v>114</v>
      </c>
      <c r="B138" s="111" t="s">
        <v>724</v>
      </c>
      <c r="C138" t="s">
        <v>2548</v>
      </c>
      <c r="D138" t="s">
        <v>2803</v>
      </c>
      <c r="E138" t="s">
        <v>2804</v>
      </c>
      <c r="F138" t="s">
        <v>1864</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2" t="s">
        <v>112</v>
      </c>
      <c r="B139" s="111" t="s">
        <v>723</v>
      </c>
      <c r="C139" t="s">
        <v>1577</v>
      </c>
      <c r="D139" t="s">
        <v>2805</v>
      </c>
      <c r="E139" t="s">
        <v>2806</v>
      </c>
      <c r="F139" t="s">
        <v>1864</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2" t="s">
        <v>116</v>
      </c>
      <c r="B140" s="111" t="s">
        <v>722</v>
      </c>
      <c r="C140" t="s">
        <v>2549</v>
      </c>
      <c r="D140" t="s">
        <v>2807</v>
      </c>
      <c r="E140" t="s">
        <v>2808</v>
      </c>
      <c r="F140" t="s">
        <v>1864</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2" t="s">
        <v>116</v>
      </c>
      <c r="B141" s="111" t="s">
        <v>721</v>
      </c>
      <c r="C141" t="s">
        <v>2550</v>
      </c>
      <c r="D141" t="s">
        <v>2809</v>
      </c>
      <c r="E141" t="s">
        <v>2810</v>
      </c>
      <c r="F141" t="s">
        <v>1864</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2" t="s">
        <v>854</v>
      </c>
      <c r="B142" s="111" t="s">
        <v>720</v>
      </c>
      <c r="C142" t="s">
        <v>1581</v>
      </c>
      <c r="D142" t="s">
        <v>2811</v>
      </c>
      <c r="E142" t="s">
        <v>2812</v>
      </c>
      <c r="F142" t="s">
        <v>1864</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719</v>
      </c>
      <c r="C143" t="s">
        <v>2551</v>
      </c>
      <c r="D143" t="s">
        <v>2813</v>
      </c>
      <c r="E143" t="s">
        <v>2814</v>
      </c>
      <c r="F143" t="s">
        <v>1864</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1223</v>
      </c>
      <c r="E144" t="s">
        <v>2815</v>
      </c>
    </row>
    <row r="145" spans="1:38" ht="15" customHeight="1">
      <c r="A145" s="122" t="s">
        <v>115</v>
      </c>
      <c r="B145" s="111" t="s">
        <v>718</v>
      </c>
      <c r="C145" t="s">
        <v>1266</v>
      </c>
      <c r="D145" t="s">
        <v>2816</v>
      </c>
      <c r="E145" t="s">
        <v>2817</v>
      </c>
      <c r="F145" t="s">
        <v>1864</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2" t="s">
        <v>114</v>
      </c>
      <c r="B146" s="111" t="s">
        <v>717</v>
      </c>
      <c r="C146" t="s">
        <v>1352</v>
      </c>
      <c r="D146" t="s">
        <v>2818</v>
      </c>
      <c r="E146" t="s">
        <v>2819</v>
      </c>
      <c r="F146" t="s">
        <v>1864</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2" t="s">
        <v>853</v>
      </c>
      <c r="B147" s="111" t="s">
        <v>716</v>
      </c>
      <c r="C147" t="s">
        <v>1273</v>
      </c>
      <c r="D147" t="s">
        <v>2820</v>
      </c>
      <c r="E147" t="s">
        <v>2821</v>
      </c>
      <c r="F147" t="s">
        <v>1864</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2" t="s">
        <v>113</v>
      </c>
      <c r="B148" s="111" t="s">
        <v>715</v>
      </c>
      <c r="C148" t="s">
        <v>1282</v>
      </c>
      <c r="D148" t="s">
        <v>2822</v>
      </c>
      <c r="E148" t="s">
        <v>2823</v>
      </c>
      <c r="F148" t="s">
        <v>1864</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2" t="s">
        <v>114</v>
      </c>
      <c r="B149" s="111" t="s">
        <v>714</v>
      </c>
      <c r="C149" t="s">
        <v>2548</v>
      </c>
      <c r="D149" t="s">
        <v>2824</v>
      </c>
      <c r="E149" t="s">
        <v>2825</v>
      </c>
      <c r="F149" t="s">
        <v>1864</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2" t="s">
        <v>112</v>
      </c>
      <c r="B150" s="111" t="s">
        <v>713</v>
      </c>
      <c r="C150" t="s">
        <v>1577</v>
      </c>
      <c r="D150" t="s">
        <v>2826</v>
      </c>
      <c r="E150" t="s">
        <v>2827</v>
      </c>
      <c r="F150" t="s">
        <v>1864</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2" t="s">
        <v>116</v>
      </c>
      <c r="B151" s="111" t="s">
        <v>712</v>
      </c>
      <c r="C151" t="s">
        <v>2549</v>
      </c>
      <c r="D151" t="s">
        <v>2828</v>
      </c>
      <c r="E151" t="s">
        <v>2829</v>
      </c>
      <c r="F151" t="s">
        <v>1864</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2" t="s">
        <v>116</v>
      </c>
      <c r="B152" s="111" t="s">
        <v>711</v>
      </c>
      <c r="C152" t="s">
        <v>2550</v>
      </c>
      <c r="D152" t="s">
        <v>2830</v>
      </c>
      <c r="E152" t="s">
        <v>2831</v>
      </c>
      <c r="F152" t="s">
        <v>1864</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2" t="s">
        <v>854</v>
      </c>
      <c r="B153" s="111" t="s">
        <v>710</v>
      </c>
      <c r="C153" t="s">
        <v>1581</v>
      </c>
      <c r="D153" t="s">
        <v>2832</v>
      </c>
      <c r="E153" t="s">
        <v>2833</v>
      </c>
      <c r="F153" t="s">
        <v>1864</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709</v>
      </c>
      <c r="C154" t="s">
        <v>2552</v>
      </c>
      <c r="D154" t="s">
        <v>2834</v>
      </c>
      <c r="E154" t="s">
        <v>2835</v>
      </c>
      <c r="F154" t="s">
        <v>1864</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2553</v>
      </c>
      <c r="E155" t="s">
        <v>2836</v>
      </c>
    </row>
    <row r="156" spans="1:38" ht="15" customHeight="1">
      <c r="A156" s="122" t="s">
        <v>115</v>
      </c>
      <c r="B156" s="111" t="s">
        <v>708</v>
      </c>
      <c r="C156" t="s">
        <v>1266</v>
      </c>
      <c r="D156" t="s">
        <v>2837</v>
      </c>
      <c r="E156" t="s">
        <v>2838</v>
      </c>
      <c r="F156" t="s">
        <v>1864</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2" t="s">
        <v>114</v>
      </c>
      <c r="B157" s="111" t="s">
        <v>707</v>
      </c>
      <c r="C157" t="s">
        <v>1352</v>
      </c>
      <c r="D157" t="s">
        <v>2839</v>
      </c>
      <c r="E157" t="s">
        <v>2840</v>
      </c>
      <c r="F157" t="s">
        <v>1864</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2" t="s">
        <v>853</v>
      </c>
      <c r="B158" s="111" t="s">
        <v>706</v>
      </c>
      <c r="C158" t="s">
        <v>1273</v>
      </c>
      <c r="D158" t="s">
        <v>2841</v>
      </c>
      <c r="E158" t="s">
        <v>2842</v>
      </c>
      <c r="F158" t="s">
        <v>1864</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2" t="s">
        <v>113</v>
      </c>
      <c r="B159" s="111" t="s">
        <v>705</v>
      </c>
      <c r="C159" t="s">
        <v>1282</v>
      </c>
      <c r="D159" t="s">
        <v>2843</v>
      </c>
      <c r="E159" t="s">
        <v>2844</v>
      </c>
      <c r="F159" t="s">
        <v>1864</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2" t="s">
        <v>114</v>
      </c>
      <c r="B160" s="111" t="s">
        <v>704</v>
      </c>
      <c r="C160" t="s">
        <v>2548</v>
      </c>
      <c r="D160" t="s">
        <v>2845</v>
      </c>
      <c r="E160" t="s">
        <v>2846</v>
      </c>
      <c r="F160" t="s">
        <v>1864</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2" t="s">
        <v>112</v>
      </c>
      <c r="B161" s="111" t="s">
        <v>703</v>
      </c>
      <c r="C161" t="s">
        <v>1577</v>
      </c>
      <c r="D161" t="s">
        <v>2847</v>
      </c>
      <c r="E161" t="s">
        <v>2848</v>
      </c>
      <c r="F161" t="s">
        <v>1864</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2" t="s">
        <v>116</v>
      </c>
      <c r="B162" s="111" t="s">
        <v>702</v>
      </c>
      <c r="C162" t="s">
        <v>2549</v>
      </c>
      <c r="D162" t="s">
        <v>2849</v>
      </c>
      <c r="E162" t="s">
        <v>2850</v>
      </c>
      <c r="F162" t="s">
        <v>1864</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2" t="s">
        <v>116</v>
      </c>
      <c r="B163" s="111" t="s">
        <v>701</v>
      </c>
      <c r="C163" t="s">
        <v>2550</v>
      </c>
      <c r="D163" t="s">
        <v>2851</v>
      </c>
      <c r="E163" t="s">
        <v>2852</v>
      </c>
      <c r="F163" t="s">
        <v>1864</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2" t="s">
        <v>854</v>
      </c>
      <c r="B164" s="111" t="s">
        <v>700</v>
      </c>
      <c r="C164" t="s">
        <v>1581</v>
      </c>
      <c r="D164" t="s">
        <v>2853</v>
      </c>
      <c r="E164" t="s">
        <v>2854</v>
      </c>
      <c r="F164" t="s">
        <v>1864</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699</v>
      </c>
      <c r="C165" t="s">
        <v>2554</v>
      </c>
      <c r="D165" t="s">
        <v>2855</v>
      </c>
      <c r="E165" t="s">
        <v>2856</v>
      </c>
      <c r="F165" t="s">
        <v>1864</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698</v>
      </c>
      <c r="C166" t="s">
        <v>2563</v>
      </c>
      <c r="D166" t="s">
        <v>2857</v>
      </c>
      <c r="E166" t="s">
        <v>2858</v>
      </c>
      <c r="F166" t="s">
        <v>1864</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697</v>
      </c>
      <c r="E167" t="s">
        <v>2859</v>
      </c>
    </row>
    <row r="168" spans="1:38" ht="15" customHeight="1">
      <c r="C168" t="s">
        <v>2557</v>
      </c>
      <c r="E168" t="s">
        <v>2860</v>
      </c>
    </row>
    <row r="169" spans="1:38" ht="15" customHeight="1">
      <c r="C169" t="s">
        <v>1221</v>
      </c>
      <c r="E169" t="s">
        <v>2861</v>
      </c>
    </row>
    <row r="170" spans="1:38" ht="15" customHeight="1">
      <c r="A170" s="122" t="s">
        <v>115</v>
      </c>
      <c r="B170" s="111" t="s">
        <v>696</v>
      </c>
      <c r="C170" t="s">
        <v>1266</v>
      </c>
      <c r="D170" t="s">
        <v>2862</v>
      </c>
      <c r="E170" t="s">
        <v>2863</v>
      </c>
      <c r="F170" t="s">
        <v>2729</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2" t="s">
        <v>114</v>
      </c>
      <c r="B171" s="111" t="s">
        <v>695</v>
      </c>
      <c r="C171" t="s">
        <v>1352</v>
      </c>
      <c r="D171" t="s">
        <v>2864</v>
      </c>
      <c r="E171" t="s">
        <v>2865</v>
      </c>
      <c r="F171" t="s">
        <v>1718</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2" t="s">
        <v>853</v>
      </c>
      <c r="B172" s="111" t="s">
        <v>694</v>
      </c>
      <c r="C172" t="s">
        <v>1273</v>
      </c>
      <c r="D172" t="s">
        <v>2866</v>
      </c>
      <c r="E172" t="s">
        <v>2867</v>
      </c>
      <c r="F172" t="s">
        <v>1718</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2" t="s">
        <v>113</v>
      </c>
      <c r="B173" s="111" t="s">
        <v>693</v>
      </c>
      <c r="C173" t="s">
        <v>1282</v>
      </c>
      <c r="D173" t="s">
        <v>2868</v>
      </c>
      <c r="E173" t="s">
        <v>2869</v>
      </c>
      <c r="F173" t="s">
        <v>1718</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2" t="s">
        <v>114</v>
      </c>
      <c r="B174" s="111" t="s">
        <v>692</v>
      </c>
      <c r="C174" t="s">
        <v>2548</v>
      </c>
      <c r="D174" t="s">
        <v>2870</v>
      </c>
      <c r="E174" t="s">
        <v>2871</v>
      </c>
      <c r="F174" t="s">
        <v>1718</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2" t="s">
        <v>112</v>
      </c>
      <c r="B175" s="111" t="s">
        <v>691</v>
      </c>
      <c r="C175" t="s">
        <v>1577</v>
      </c>
      <c r="D175" t="s">
        <v>2872</v>
      </c>
      <c r="E175" t="s">
        <v>2873</v>
      </c>
      <c r="F175" t="s">
        <v>2729</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2" t="s">
        <v>116</v>
      </c>
      <c r="B176" s="111" t="s">
        <v>690</v>
      </c>
      <c r="C176" t="s">
        <v>2549</v>
      </c>
      <c r="D176" t="s">
        <v>2874</v>
      </c>
      <c r="E176" t="s">
        <v>2875</v>
      </c>
      <c r="F176" t="s">
        <v>2729</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2" t="s">
        <v>116</v>
      </c>
      <c r="B177" s="111" t="s">
        <v>689</v>
      </c>
      <c r="C177" t="s">
        <v>2550</v>
      </c>
      <c r="D177" t="s">
        <v>2876</v>
      </c>
      <c r="E177" t="s">
        <v>2877</v>
      </c>
      <c r="F177" t="s">
        <v>1718</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2" t="s">
        <v>854</v>
      </c>
      <c r="B178" s="111" t="s">
        <v>688</v>
      </c>
      <c r="C178" t="s">
        <v>1581</v>
      </c>
      <c r="D178" t="s">
        <v>2878</v>
      </c>
      <c r="E178" t="s">
        <v>2879</v>
      </c>
      <c r="F178" t="s">
        <v>2729</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687</v>
      </c>
      <c r="C179" t="s">
        <v>2558</v>
      </c>
      <c r="D179" t="s">
        <v>2880</v>
      </c>
      <c r="E179" t="s">
        <v>2881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1223</v>
      </c>
      <c r="E180" t="s">
        <v>2882</v>
      </c>
    </row>
    <row r="181" spans="1:38" ht="15" customHeight="1">
      <c r="A181" s="122" t="s">
        <v>115</v>
      </c>
      <c r="B181" s="111" t="s">
        <v>686</v>
      </c>
      <c r="C181" t="s">
        <v>1266</v>
      </c>
      <c r="D181" t="s">
        <v>2883</v>
      </c>
      <c r="E181" t="s">
        <v>2884</v>
      </c>
      <c r="F181" t="s">
        <v>2729</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2" t="s">
        <v>114</v>
      </c>
      <c r="B182" s="111" t="s">
        <v>685</v>
      </c>
      <c r="C182" t="s">
        <v>1352</v>
      </c>
      <c r="D182" t="s">
        <v>2885</v>
      </c>
      <c r="E182" t="s">
        <v>2886</v>
      </c>
      <c r="F182" t="s">
        <v>1718</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2" t="s">
        <v>853</v>
      </c>
      <c r="B183" s="111" t="s">
        <v>684</v>
      </c>
      <c r="C183" t="s">
        <v>1273</v>
      </c>
      <c r="D183" t="s">
        <v>2887</v>
      </c>
      <c r="E183" t="s">
        <v>2888</v>
      </c>
      <c r="F183" t="s">
        <v>1718</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2" t="s">
        <v>113</v>
      </c>
      <c r="B184" s="111" t="s">
        <v>683</v>
      </c>
      <c r="C184" t="s">
        <v>1282</v>
      </c>
      <c r="D184" t="s">
        <v>2889</v>
      </c>
      <c r="E184" t="s">
        <v>2890</v>
      </c>
      <c r="F184" t="s">
        <v>1718</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2" t="s">
        <v>114</v>
      </c>
      <c r="B185" s="111" t="s">
        <v>682</v>
      </c>
      <c r="C185" t="s">
        <v>2548</v>
      </c>
      <c r="D185" t="s">
        <v>2891</v>
      </c>
      <c r="E185" t="s">
        <v>2892</v>
      </c>
      <c r="F185" t="s">
        <v>2759</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2" t="s">
        <v>112</v>
      </c>
      <c r="B186" s="111" t="s">
        <v>681</v>
      </c>
      <c r="C186" t="s">
        <v>1577</v>
      </c>
      <c r="D186" t="s">
        <v>2893</v>
      </c>
      <c r="E186" t="s">
        <v>2894</v>
      </c>
      <c r="F186" t="s">
        <v>1718</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2" t="s">
        <v>116</v>
      </c>
      <c r="B187" s="111" t="s">
        <v>680</v>
      </c>
      <c r="C187" t="s">
        <v>2549</v>
      </c>
      <c r="D187" t="s">
        <v>2895</v>
      </c>
      <c r="E187" t="s">
        <v>2896</v>
      </c>
      <c r="F187" t="s">
        <v>1718</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2" t="s">
        <v>116</v>
      </c>
      <c r="B188" s="111" t="s">
        <v>679</v>
      </c>
      <c r="C188" t="s">
        <v>2550</v>
      </c>
      <c r="D188" t="s">
        <v>2897</v>
      </c>
      <c r="E188" t="s">
        <v>2898</v>
      </c>
      <c r="F188" t="s">
        <v>1718</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2" t="s">
        <v>854</v>
      </c>
      <c r="B189" s="111" t="s">
        <v>678</v>
      </c>
      <c r="C189" t="s">
        <v>1581</v>
      </c>
      <c r="D189" t="s">
        <v>2899</v>
      </c>
      <c r="E189" t="s">
        <v>2900</v>
      </c>
      <c r="F189" t="s">
        <v>1718</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677</v>
      </c>
      <c r="C190" t="s">
        <v>2559</v>
      </c>
      <c r="D190" t="s">
        <v>2901</v>
      </c>
      <c r="E190" t="s">
        <v>2902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2553</v>
      </c>
      <c r="E191" t="s">
        <v>2903</v>
      </c>
    </row>
    <row r="192" spans="1:38" ht="15" customHeight="1">
      <c r="A192" s="122" t="s">
        <v>115</v>
      </c>
      <c r="B192" s="111" t="s">
        <v>676</v>
      </c>
      <c r="C192" t="s">
        <v>1266</v>
      </c>
      <c r="D192" t="s">
        <v>2904</v>
      </c>
      <c r="E192" t="s">
        <v>2905</v>
      </c>
      <c r="F192" t="s">
        <v>2729</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2" t="s">
        <v>114</v>
      </c>
      <c r="B193" s="111" t="s">
        <v>675</v>
      </c>
      <c r="C193" t="s">
        <v>1352</v>
      </c>
      <c r="D193" t="s">
        <v>2906</v>
      </c>
      <c r="E193" t="s">
        <v>2907</v>
      </c>
      <c r="F193" t="s">
        <v>1718</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2" t="s">
        <v>853</v>
      </c>
      <c r="B194" s="111" t="s">
        <v>674</v>
      </c>
      <c r="C194" t="s">
        <v>1273</v>
      </c>
      <c r="D194" t="s">
        <v>2908</v>
      </c>
      <c r="E194" t="s">
        <v>2909</v>
      </c>
      <c r="F194" t="s">
        <v>1718</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2" t="s">
        <v>113</v>
      </c>
      <c r="B195" s="111" t="s">
        <v>673</v>
      </c>
      <c r="C195" t="s">
        <v>1282</v>
      </c>
      <c r="D195" t="s">
        <v>2910</v>
      </c>
      <c r="E195" t="s">
        <v>2911</v>
      </c>
      <c r="F195" t="s">
        <v>2729</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2" t="s">
        <v>114</v>
      </c>
      <c r="B196" s="111" t="s">
        <v>672</v>
      </c>
      <c r="C196" t="s">
        <v>2548</v>
      </c>
      <c r="D196" t="s">
        <v>2912</v>
      </c>
      <c r="E196" t="s">
        <v>2913</v>
      </c>
      <c r="F196" t="s">
        <v>1718</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2" t="s">
        <v>112</v>
      </c>
      <c r="B197" s="111" t="s">
        <v>671</v>
      </c>
      <c r="C197" t="s">
        <v>1577</v>
      </c>
      <c r="D197" t="s">
        <v>2914</v>
      </c>
      <c r="E197" t="s">
        <v>2915</v>
      </c>
      <c r="F197" t="s">
        <v>2729</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2" t="s">
        <v>116</v>
      </c>
      <c r="B198" s="111" t="s">
        <v>670</v>
      </c>
      <c r="C198" t="s">
        <v>2549</v>
      </c>
      <c r="D198" t="s">
        <v>2916</v>
      </c>
      <c r="E198" t="s">
        <v>2917</v>
      </c>
      <c r="F198" t="s">
        <v>2729</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2" t="s">
        <v>116</v>
      </c>
      <c r="B199" s="111" t="s">
        <v>669</v>
      </c>
      <c r="C199" t="s">
        <v>2550</v>
      </c>
      <c r="D199" t="s">
        <v>2918</v>
      </c>
      <c r="E199" t="s">
        <v>2919</v>
      </c>
      <c r="F199" t="s">
        <v>1718</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2" t="s">
        <v>854</v>
      </c>
      <c r="B200" s="111" t="s">
        <v>668</v>
      </c>
      <c r="C200" t="s">
        <v>1581</v>
      </c>
      <c r="D200" t="s">
        <v>2920</v>
      </c>
      <c r="E200" t="s">
        <v>2921</v>
      </c>
      <c r="F200" t="s">
        <v>2729</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667</v>
      </c>
      <c r="C201" t="s">
        <v>2560</v>
      </c>
      <c r="D201" t="s">
        <v>2922</v>
      </c>
      <c r="E201" t="s">
        <v>2923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8"/>
      <c r="B202" s="36" t="s">
        <v>666</v>
      </c>
      <c r="C202" s="37" t="s">
        <v>2561</v>
      </c>
      <c r="D202" s="37" t="s">
        <v>2924</v>
      </c>
      <c r="E202" s="37" t="s">
        <v>2925</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2564</v>
      </c>
      <c r="E203" t="s">
        <v>2926</v>
      </c>
    </row>
    <row r="204" spans="1:38" ht="15" customHeight="1">
      <c r="C204" t="s">
        <v>1221</v>
      </c>
      <c r="E204" t="s">
        <v>2927</v>
      </c>
    </row>
    <row r="205" spans="1:38" ht="15" customHeight="1">
      <c r="A205" s="122" t="s">
        <v>115</v>
      </c>
      <c r="B205" s="111" t="s">
        <v>665</v>
      </c>
      <c r="C205" t="s">
        <v>1266</v>
      </c>
      <c r="D205" t="s">
        <v>2928</v>
      </c>
      <c r="E205" t="s">
        <v>2929</v>
      </c>
      <c r="F205" t="s">
        <v>1588</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2" t="s">
        <v>114</v>
      </c>
      <c r="B206" s="111" t="s">
        <v>664</v>
      </c>
      <c r="C206" t="s">
        <v>1352</v>
      </c>
      <c r="D206" t="s">
        <v>2930</v>
      </c>
      <c r="E206" t="s">
        <v>2931</v>
      </c>
      <c r="F206" t="s">
        <v>1588</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2" t="s">
        <v>853</v>
      </c>
      <c r="B207" s="111" t="s">
        <v>663</v>
      </c>
      <c r="C207" t="s">
        <v>1273</v>
      </c>
      <c r="D207" t="s">
        <v>2932</v>
      </c>
      <c r="E207" t="s">
        <v>2933</v>
      </c>
      <c r="F207" t="s">
        <v>1588</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2" t="s">
        <v>113</v>
      </c>
      <c r="B208" s="111" t="s">
        <v>662</v>
      </c>
      <c r="C208" t="s">
        <v>1282</v>
      </c>
      <c r="D208" t="s">
        <v>2934</v>
      </c>
      <c r="E208" t="s">
        <v>2935</v>
      </c>
      <c r="F208" t="s">
        <v>1588</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2" t="s">
        <v>114</v>
      </c>
      <c r="B209" s="111" t="s">
        <v>661</v>
      </c>
      <c r="C209" t="s">
        <v>2548</v>
      </c>
      <c r="D209" t="s">
        <v>2936</v>
      </c>
      <c r="E209" t="s">
        <v>2937</v>
      </c>
      <c r="F209" t="s">
        <v>1588</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2" t="s">
        <v>112</v>
      </c>
      <c r="B210" s="111" t="s">
        <v>660</v>
      </c>
      <c r="C210" t="s">
        <v>1577</v>
      </c>
      <c r="D210" t="s">
        <v>2938</v>
      </c>
      <c r="E210" t="s">
        <v>2939</v>
      </c>
      <c r="F210" t="s">
        <v>1588</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2" t="s">
        <v>116</v>
      </c>
      <c r="B211" s="111" t="s">
        <v>659</v>
      </c>
      <c r="C211" t="s">
        <v>2549</v>
      </c>
      <c r="D211" t="s">
        <v>2940</v>
      </c>
      <c r="E211" t="s">
        <v>2941</v>
      </c>
      <c r="F211" t="s">
        <v>1588</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2" t="s">
        <v>116</v>
      </c>
      <c r="B212" s="111" t="s">
        <v>658</v>
      </c>
      <c r="C212" t="s">
        <v>2550</v>
      </c>
      <c r="D212" t="s">
        <v>2942</v>
      </c>
      <c r="E212" t="s">
        <v>2943</v>
      </c>
      <c r="F212" t="s">
        <v>1588</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2" t="s">
        <v>854</v>
      </c>
      <c r="B213" s="111" t="s">
        <v>657</v>
      </c>
      <c r="C213" t="s">
        <v>1581</v>
      </c>
      <c r="D213" t="s">
        <v>2944</v>
      </c>
      <c r="E213" t="s">
        <v>2945</v>
      </c>
      <c r="F213" t="s">
        <v>1588</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656</v>
      </c>
      <c r="C214" t="s">
        <v>2551</v>
      </c>
      <c r="D214" t="s">
        <v>2946</v>
      </c>
      <c r="E214" t="s">
        <v>2947</v>
      </c>
      <c r="F214" t="s">
        <v>1588</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1223</v>
      </c>
      <c r="E215" t="s">
        <v>2948</v>
      </c>
    </row>
    <row r="216" spans="1:38" ht="15" customHeight="1">
      <c r="A216" s="122" t="s">
        <v>115</v>
      </c>
      <c r="B216" s="111" t="s">
        <v>655</v>
      </c>
      <c r="C216" t="s">
        <v>1266</v>
      </c>
      <c r="D216" t="s">
        <v>2949</v>
      </c>
      <c r="E216" t="s">
        <v>2950</v>
      </c>
      <c r="F216" t="s">
        <v>1588</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2" t="s">
        <v>114</v>
      </c>
      <c r="B217" s="111" t="s">
        <v>654</v>
      </c>
      <c r="C217" t="s">
        <v>1352</v>
      </c>
      <c r="D217" t="s">
        <v>2951</v>
      </c>
      <c r="E217" t="s">
        <v>2952</v>
      </c>
      <c r="F217" t="s">
        <v>1588</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2" t="s">
        <v>853</v>
      </c>
      <c r="B218" s="111" t="s">
        <v>653</v>
      </c>
      <c r="C218" t="s">
        <v>1273</v>
      </c>
      <c r="D218" t="s">
        <v>2953</v>
      </c>
      <c r="E218" t="s">
        <v>2954</v>
      </c>
      <c r="F218" t="s">
        <v>1588</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2" t="s">
        <v>113</v>
      </c>
      <c r="B219" s="111" t="s">
        <v>652</v>
      </c>
      <c r="C219" t="s">
        <v>1282</v>
      </c>
      <c r="D219" t="s">
        <v>2955</v>
      </c>
      <c r="E219" t="s">
        <v>2956</v>
      </c>
      <c r="F219" t="s">
        <v>1588</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2" t="s">
        <v>114</v>
      </c>
      <c r="B220" s="111" t="s">
        <v>651</v>
      </c>
      <c r="C220" t="s">
        <v>2548</v>
      </c>
      <c r="D220" t="s">
        <v>2957</v>
      </c>
      <c r="E220" t="s">
        <v>2958</v>
      </c>
      <c r="F220" t="s">
        <v>1588</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2" t="s">
        <v>112</v>
      </c>
      <c r="B221" s="111" t="s">
        <v>650</v>
      </c>
      <c r="C221" t="s">
        <v>1577</v>
      </c>
      <c r="D221" t="s">
        <v>2959</v>
      </c>
      <c r="E221" t="s">
        <v>2960</v>
      </c>
      <c r="F221" t="s">
        <v>1588</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2" t="s">
        <v>116</v>
      </c>
      <c r="B222" s="111" t="s">
        <v>649</v>
      </c>
      <c r="C222" t="s">
        <v>2549</v>
      </c>
      <c r="D222" t="s">
        <v>2961</v>
      </c>
      <c r="E222" t="s">
        <v>2962</v>
      </c>
      <c r="F222" t="s">
        <v>1588</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2" t="s">
        <v>116</v>
      </c>
      <c r="B223" s="111" t="s">
        <v>648</v>
      </c>
      <c r="C223" t="s">
        <v>2550</v>
      </c>
      <c r="D223" t="s">
        <v>2963</v>
      </c>
      <c r="E223" t="s">
        <v>2964</v>
      </c>
      <c r="F223" t="s">
        <v>1588</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2" t="s">
        <v>854</v>
      </c>
      <c r="B224" s="111" t="s">
        <v>647</v>
      </c>
      <c r="C224" t="s">
        <v>1581</v>
      </c>
      <c r="D224" t="s">
        <v>2965</v>
      </c>
      <c r="E224" t="s">
        <v>2966</v>
      </c>
      <c r="F224" t="s">
        <v>1588</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646</v>
      </c>
      <c r="C225" t="s">
        <v>2552</v>
      </c>
      <c r="D225" t="s">
        <v>2967</v>
      </c>
      <c r="E225" t="s">
        <v>2968</v>
      </c>
      <c r="F225" t="s">
        <v>1588</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2553</v>
      </c>
      <c r="E226" t="s">
        <v>2969</v>
      </c>
    </row>
    <row r="227" spans="1:38" ht="15" customHeight="1">
      <c r="A227" s="122" t="s">
        <v>115</v>
      </c>
      <c r="B227" s="111" t="s">
        <v>645</v>
      </c>
      <c r="C227" t="s">
        <v>1266</v>
      </c>
      <c r="D227" t="s">
        <v>2970</v>
      </c>
      <c r="E227" t="s">
        <v>2971</v>
      </c>
      <c r="F227" t="s">
        <v>1588</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2" t="s">
        <v>114</v>
      </c>
      <c r="B228" s="111" t="s">
        <v>644</v>
      </c>
      <c r="C228" t="s">
        <v>1352</v>
      </c>
      <c r="D228" t="s">
        <v>2972</v>
      </c>
      <c r="E228" t="s">
        <v>2973</v>
      </c>
      <c r="F228" t="s">
        <v>1588</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2" t="s">
        <v>853</v>
      </c>
      <c r="B229" s="111" t="s">
        <v>643</v>
      </c>
      <c r="C229" t="s">
        <v>1273</v>
      </c>
      <c r="D229" t="s">
        <v>2974</v>
      </c>
      <c r="E229" t="s">
        <v>2975</v>
      </c>
      <c r="F229" t="s">
        <v>1588</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2" t="s">
        <v>113</v>
      </c>
      <c r="B230" s="111" t="s">
        <v>642</v>
      </c>
      <c r="C230" t="s">
        <v>1282</v>
      </c>
      <c r="D230" t="s">
        <v>2976</v>
      </c>
      <c r="E230" t="s">
        <v>2977</v>
      </c>
      <c r="F230" t="s">
        <v>1588</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2" t="s">
        <v>114</v>
      </c>
      <c r="B231" s="111" t="s">
        <v>641</v>
      </c>
      <c r="C231" t="s">
        <v>2548</v>
      </c>
      <c r="D231" t="s">
        <v>2978</v>
      </c>
      <c r="E231" t="s">
        <v>2979</v>
      </c>
      <c r="F231" t="s">
        <v>1588</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2" t="s">
        <v>112</v>
      </c>
      <c r="B232" s="111" t="s">
        <v>640</v>
      </c>
      <c r="C232" t="s">
        <v>1577</v>
      </c>
      <c r="D232" t="s">
        <v>2980</v>
      </c>
      <c r="E232" t="s">
        <v>2981</v>
      </c>
      <c r="F232" t="s">
        <v>1588</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2" t="s">
        <v>116</v>
      </c>
      <c r="B233" s="111" t="s">
        <v>639</v>
      </c>
      <c r="C233" t="s">
        <v>2549</v>
      </c>
      <c r="D233" t="s">
        <v>2982</v>
      </c>
      <c r="E233" t="s">
        <v>2983</v>
      </c>
      <c r="F233" t="s">
        <v>1588</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2" t="s">
        <v>116</v>
      </c>
      <c r="B234" s="111" t="s">
        <v>638</v>
      </c>
      <c r="C234" t="s">
        <v>2550</v>
      </c>
      <c r="D234" t="s">
        <v>2984</v>
      </c>
      <c r="E234" t="s">
        <v>2985</v>
      </c>
      <c r="F234" t="s">
        <v>1588</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2" t="s">
        <v>854</v>
      </c>
      <c r="B235" s="111" t="s">
        <v>637</v>
      </c>
      <c r="C235" t="s">
        <v>1581</v>
      </c>
      <c r="D235" t="s">
        <v>2986</v>
      </c>
      <c r="E235" t="s">
        <v>2987</v>
      </c>
      <c r="F235" t="s">
        <v>1588</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636</v>
      </c>
      <c r="C236" t="s">
        <v>2554</v>
      </c>
      <c r="D236" t="s">
        <v>2988</v>
      </c>
      <c r="E236" t="s">
        <v>2989</v>
      </c>
      <c r="F236" t="s">
        <v>1588</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635</v>
      </c>
      <c r="C237" t="s">
        <v>1573</v>
      </c>
      <c r="D237" t="s">
        <v>2990</v>
      </c>
      <c r="E237" t="s">
        <v>2991</v>
      </c>
      <c r="F237" t="s">
        <v>1588</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634</v>
      </c>
      <c r="E238" t="s">
        <v>2992</v>
      </c>
    </row>
    <row r="239" spans="1:38" ht="15" customHeight="1">
      <c r="B239" s="111" t="s">
        <v>633</v>
      </c>
      <c r="C239" t="s">
        <v>2565</v>
      </c>
      <c r="D239" t="s">
        <v>2993</v>
      </c>
      <c r="E239" t="s">
        <v>2994</v>
      </c>
      <c r="F239" t="s">
        <v>2995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632</v>
      </c>
      <c r="C240" t="s">
        <v>2566</v>
      </c>
      <c r="D240" t="s">
        <v>2996</v>
      </c>
      <c r="E240" t="s">
        <v>2997</v>
      </c>
      <c r="F240" t="s">
        <v>2998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133</v>
      </c>
      <c r="E241" t="s">
        <v>2999</v>
      </c>
    </row>
    <row r="242" spans="2:38" ht="15" customHeight="1">
      <c r="B242" s="111" t="s">
        <v>631</v>
      </c>
      <c r="C242" t="s">
        <v>1351</v>
      </c>
      <c r="D242" t="s">
        <v>3000</v>
      </c>
      <c r="E242" t="s">
        <v>3001</v>
      </c>
      <c r="F242" t="s">
        <v>1294</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630</v>
      </c>
      <c r="C243" t="s">
        <v>1257</v>
      </c>
      <c r="D243" t="s">
        <v>3002</v>
      </c>
      <c r="E243" t="s">
        <v>3003</v>
      </c>
      <c r="F243" t="s">
        <v>1294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1" t="s">
        <v>629</v>
      </c>
      <c r="C244" t="s">
        <v>1354</v>
      </c>
      <c r="D244" t="s">
        <v>3004</v>
      </c>
      <c r="E244" t="s">
        <v>3005</v>
      </c>
      <c r="F244" t="s">
        <v>1294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1" t="s">
        <v>628</v>
      </c>
      <c r="C245" t="s">
        <v>1355</v>
      </c>
      <c r="D245" t="s">
        <v>3006</v>
      </c>
      <c r="E245" t="s">
        <v>3007</v>
      </c>
      <c r="F245" t="s">
        <v>1294</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627</v>
      </c>
      <c r="E246" t="s">
        <v>3008</v>
      </c>
    </row>
    <row r="247" spans="2:38" ht="15" customHeight="1">
      <c r="B247" s="111" t="s">
        <v>626</v>
      </c>
      <c r="C247" t="s">
        <v>2567</v>
      </c>
      <c r="D247" t="s">
        <v>3009</v>
      </c>
      <c r="E247" t="s">
        <v>3010</v>
      </c>
      <c r="F247" t="s">
        <v>2995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625</v>
      </c>
      <c r="C248" t="s">
        <v>2566</v>
      </c>
      <c r="D248" t="s">
        <v>3011</v>
      </c>
      <c r="E248" t="s">
        <v>3012</v>
      </c>
      <c r="F248" t="s">
        <v>2998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133</v>
      </c>
      <c r="E249" t="s">
        <v>3013</v>
      </c>
    </row>
    <row r="250" spans="2:38" ht="15" customHeight="1">
      <c r="B250" s="111" t="s">
        <v>624</v>
      </c>
      <c r="C250" t="s">
        <v>1351</v>
      </c>
      <c r="D250" t="s">
        <v>3014</v>
      </c>
      <c r="E250" t="s">
        <v>3015</v>
      </c>
      <c r="F250" t="s">
        <v>1294</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623</v>
      </c>
      <c r="C251" t="s">
        <v>1257</v>
      </c>
      <c r="D251" t="s">
        <v>3016</v>
      </c>
      <c r="E251" t="s">
        <v>3017</v>
      </c>
      <c r="F251" t="s">
        <v>1294</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622</v>
      </c>
      <c r="C252" t="s">
        <v>1354</v>
      </c>
      <c r="D252" t="s">
        <v>3018</v>
      </c>
      <c r="E252" t="s">
        <v>3019</v>
      </c>
      <c r="F252" t="s">
        <v>1294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1" t="s">
        <v>621</v>
      </c>
      <c r="C253" t="s">
        <v>1355</v>
      </c>
      <c r="D253" t="s">
        <v>3020</v>
      </c>
      <c r="E253" t="s">
        <v>3021</v>
      </c>
      <c r="F253" t="s">
        <v>1294</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620</v>
      </c>
      <c r="E254" t="s">
        <v>3022</v>
      </c>
    </row>
    <row r="255" spans="2:38" ht="15" customHeight="1">
      <c r="B255" s="111" t="s">
        <v>619</v>
      </c>
      <c r="C255" t="s">
        <v>2568</v>
      </c>
      <c r="D255" t="s">
        <v>3023</v>
      </c>
      <c r="E255" t="s">
        <v>3024</v>
      </c>
      <c r="F255" t="s">
        <v>3025</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618</v>
      </c>
      <c r="C256" t="s">
        <v>2569</v>
      </c>
      <c r="D256" t="s">
        <v>3026</v>
      </c>
      <c r="E256" t="s">
        <v>3027</v>
      </c>
      <c r="F256" t="s">
        <v>3025</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617</v>
      </c>
      <c r="C257" t="s">
        <v>2570</v>
      </c>
      <c r="D257" t="s">
        <v>3028</v>
      </c>
      <c r="E257" t="s">
        <v>3029</v>
      </c>
      <c r="F257" t="s">
        <v>3025</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133</v>
      </c>
      <c r="E258" t="s">
        <v>3030</v>
      </c>
    </row>
    <row r="259" spans="2:38" ht="15" customHeight="1">
      <c r="B259" s="111" t="s">
        <v>616</v>
      </c>
      <c r="C259" t="s">
        <v>1351</v>
      </c>
      <c r="D259" t="s">
        <v>3031</v>
      </c>
      <c r="E259" t="s">
        <v>3032</v>
      </c>
      <c r="F259" t="s">
        <v>1294</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615</v>
      </c>
      <c r="C260" t="s">
        <v>1257</v>
      </c>
      <c r="D260" t="s">
        <v>3033</v>
      </c>
      <c r="E260" t="s">
        <v>3034</v>
      </c>
      <c r="F260" t="s">
        <v>1294</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614</v>
      </c>
      <c r="C261" t="s">
        <v>1354</v>
      </c>
      <c r="D261" t="s">
        <v>3035</v>
      </c>
      <c r="E261" t="s">
        <v>3036</v>
      </c>
      <c r="F261" t="s">
        <v>1294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1" t="s">
        <v>613</v>
      </c>
      <c r="C262" t="s">
        <v>1355</v>
      </c>
      <c r="D262" t="s">
        <v>3037</v>
      </c>
      <c r="E262" t="s">
        <v>3038</v>
      </c>
      <c r="F262" t="s">
        <v>1294</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08984375" defaultRowHeight="14.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3065</v>
      </c>
    </row>
    <row r="11" spans="2:38">
      <c r="B11" t="s">
        <v>2544</v>
      </c>
    </row>
    <row r="12" spans="2:38">
      <c r="B12" t="s">
        <v>3066</v>
      </c>
    </row>
    <row r="13" spans="2:38">
      <c r="B13" t="s">
        <v>3067</v>
      </c>
    </row>
    <row r="14" spans="2:38">
      <c r="B14" t="s">
        <v>1198</v>
      </c>
    </row>
    <row r="15" spans="2:38">
      <c r="C15" t="s">
        <v>1199</v>
      </c>
      <c r="D15" t="s">
        <v>1288</v>
      </c>
      <c r="E15" t="s">
        <v>1289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3065</v>
      </c>
    </row>
    <row r="16" spans="2:38">
      <c r="B16" t="s">
        <v>831</v>
      </c>
      <c r="D16" t="s">
        <v>3068</v>
      </c>
    </row>
    <row r="17" spans="1:38">
      <c r="B17" t="s">
        <v>2547</v>
      </c>
      <c r="D17" t="s">
        <v>3069</v>
      </c>
    </row>
    <row r="18" spans="1:38">
      <c r="B18" t="s">
        <v>1221</v>
      </c>
      <c r="D18" t="s">
        <v>3070</v>
      </c>
    </row>
    <row r="19" spans="1:38">
      <c r="A19" s="14" t="s">
        <v>115</v>
      </c>
      <c r="B19" t="s">
        <v>1266</v>
      </c>
      <c r="C19" t="s">
        <v>2574</v>
      </c>
      <c r="D19" t="s">
        <v>3071</v>
      </c>
      <c r="E19" t="s">
        <v>1894</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114</v>
      </c>
      <c r="B20" t="s">
        <v>1352</v>
      </c>
      <c r="C20" t="s">
        <v>2576</v>
      </c>
      <c r="D20" t="s">
        <v>3072</v>
      </c>
      <c r="E20" t="s">
        <v>1894</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853</v>
      </c>
      <c r="B21" t="s">
        <v>1273</v>
      </c>
      <c r="C21" t="s">
        <v>2578</v>
      </c>
      <c r="D21" t="s">
        <v>3073</v>
      </c>
      <c r="E21" t="s">
        <v>1894</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113</v>
      </c>
      <c r="B22" t="s">
        <v>1282</v>
      </c>
      <c r="C22" t="s">
        <v>2580</v>
      </c>
      <c r="D22" t="s">
        <v>3074</v>
      </c>
      <c r="E22" t="s">
        <v>1894</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114</v>
      </c>
      <c r="B23" t="s">
        <v>2548</v>
      </c>
      <c r="C23" t="s">
        <v>2582</v>
      </c>
      <c r="D23" t="s">
        <v>3075</v>
      </c>
      <c r="E23" t="s">
        <v>1894</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112</v>
      </c>
      <c r="B24" t="s">
        <v>1577</v>
      </c>
      <c r="C24" t="s">
        <v>2584</v>
      </c>
      <c r="D24" t="s">
        <v>3076</v>
      </c>
      <c r="E24" t="s">
        <v>1894</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116</v>
      </c>
      <c r="B25" t="s">
        <v>2549</v>
      </c>
      <c r="C25" t="s">
        <v>2586</v>
      </c>
      <c r="D25" t="s">
        <v>3077</v>
      </c>
      <c r="E25" t="s">
        <v>1894</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4" t="s">
        <v>116</v>
      </c>
      <c r="B26" t="s">
        <v>2550</v>
      </c>
      <c r="C26" t="s">
        <v>2588</v>
      </c>
      <c r="D26" t="s">
        <v>3078</v>
      </c>
      <c r="E26" t="s">
        <v>1894</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4" t="s">
        <v>854</v>
      </c>
      <c r="B27" t="s">
        <v>1581</v>
      </c>
      <c r="C27" t="s">
        <v>2590</v>
      </c>
      <c r="D27" t="s">
        <v>3079</v>
      </c>
      <c r="E27" t="s">
        <v>1894</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2551</v>
      </c>
      <c r="C28" t="s">
        <v>2592</v>
      </c>
      <c r="D28" t="s">
        <v>3080</v>
      </c>
      <c r="E28" t="s">
        <v>1894</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1223</v>
      </c>
      <c r="D29" t="s">
        <v>3081</v>
      </c>
    </row>
    <row r="30" spans="1:38">
      <c r="A30" s="14" t="s">
        <v>115</v>
      </c>
      <c r="B30" t="s">
        <v>1266</v>
      </c>
      <c r="C30" t="s">
        <v>2595</v>
      </c>
      <c r="D30" t="s">
        <v>3082</v>
      </c>
      <c r="E30" t="s">
        <v>1894</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114</v>
      </c>
      <c r="B31" t="s">
        <v>1352</v>
      </c>
      <c r="C31" t="s">
        <v>2597</v>
      </c>
      <c r="D31" t="s">
        <v>3083</v>
      </c>
      <c r="E31" t="s">
        <v>1894</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853</v>
      </c>
      <c r="B32" t="s">
        <v>1273</v>
      </c>
      <c r="C32" t="s">
        <v>2599</v>
      </c>
      <c r="D32" t="s">
        <v>3084</v>
      </c>
      <c r="E32" t="s">
        <v>1894</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113</v>
      </c>
      <c r="B33" t="s">
        <v>1282</v>
      </c>
      <c r="C33" t="s">
        <v>2601</v>
      </c>
      <c r="D33" t="s">
        <v>3085</v>
      </c>
      <c r="E33" t="s">
        <v>1894</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114</v>
      </c>
      <c r="B34" t="s">
        <v>2548</v>
      </c>
      <c r="C34" t="s">
        <v>2603</v>
      </c>
      <c r="D34" t="s">
        <v>3086</v>
      </c>
      <c r="E34" t="s">
        <v>1894</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112</v>
      </c>
      <c r="B35" t="s">
        <v>1577</v>
      </c>
      <c r="C35" t="s">
        <v>2605</v>
      </c>
      <c r="D35" t="s">
        <v>3087</v>
      </c>
      <c r="E35" t="s">
        <v>1894</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116</v>
      </c>
      <c r="B36" t="s">
        <v>2549</v>
      </c>
      <c r="C36" t="s">
        <v>2607</v>
      </c>
      <c r="D36" t="s">
        <v>3088</v>
      </c>
      <c r="E36" t="s">
        <v>1894</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4" t="s">
        <v>116</v>
      </c>
      <c r="B37" t="s">
        <v>2550</v>
      </c>
      <c r="C37" t="s">
        <v>2609</v>
      </c>
      <c r="D37" t="s">
        <v>3089</v>
      </c>
      <c r="E37" t="s">
        <v>1894</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4" t="s">
        <v>854</v>
      </c>
      <c r="B38" t="s">
        <v>1581</v>
      </c>
      <c r="C38" t="s">
        <v>2611</v>
      </c>
      <c r="D38" t="s">
        <v>3090</v>
      </c>
      <c r="E38" t="s">
        <v>1894</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2552</v>
      </c>
      <c r="C39" t="s">
        <v>2613</v>
      </c>
      <c r="D39" t="s">
        <v>3091</v>
      </c>
      <c r="E39" t="s">
        <v>1894</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2553</v>
      </c>
      <c r="D40" t="s">
        <v>3092</v>
      </c>
    </row>
    <row r="41" spans="1:38">
      <c r="A41" s="14" t="s">
        <v>115</v>
      </c>
      <c r="B41" t="s">
        <v>1266</v>
      </c>
      <c r="C41" t="s">
        <v>2616</v>
      </c>
      <c r="D41" t="s">
        <v>3093</v>
      </c>
      <c r="E41" t="s">
        <v>1894</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114</v>
      </c>
      <c r="B42" t="s">
        <v>1352</v>
      </c>
      <c r="C42" t="s">
        <v>2618</v>
      </c>
      <c r="D42" t="s">
        <v>3094</v>
      </c>
      <c r="E42" t="s">
        <v>1894</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853</v>
      </c>
      <c r="B43" t="s">
        <v>1273</v>
      </c>
      <c r="C43" t="s">
        <v>2620</v>
      </c>
      <c r="D43" t="s">
        <v>3095</v>
      </c>
      <c r="E43" t="s">
        <v>1894</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113</v>
      </c>
      <c r="B44" t="s">
        <v>1282</v>
      </c>
      <c r="C44" t="s">
        <v>2622</v>
      </c>
      <c r="D44" t="s">
        <v>3096</v>
      </c>
      <c r="E44" t="s">
        <v>1894</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114</v>
      </c>
      <c r="B45" t="s">
        <v>2548</v>
      </c>
      <c r="C45" t="s">
        <v>2624</v>
      </c>
      <c r="D45" t="s">
        <v>3097</v>
      </c>
      <c r="E45" t="s">
        <v>1894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4" t="s">
        <v>112</v>
      </c>
      <c r="B46" t="s">
        <v>1577</v>
      </c>
      <c r="C46" t="s">
        <v>2626</v>
      </c>
      <c r="D46" t="s">
        <v>3098</v>
      </c>
      <c r="E46" t="s">
        <v>1894</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4" t="s">
        <v>116</v>
      </c>
      <c r="B47" t="s">
        <v>2549</v>
      </c>
      <c r="C47" t="s">
        <v>2628</v>
      </c>
      <c r="D47" t="s">
        <v>3099</v>
      </c>
      <c r="E47" t="s">
        <v>1894</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116</v>
      </c>
      <c r="B48" t="s">
        <v>2550</v>
      </c>
      <c r="C48" t="s">
        <v>2630</v>
      </c>
      <c r="D48" t="s">
        <v>3100</v>
      </c>
      <c r="E48" t="s">
        <v>1894</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854</v>
      </c>
      <c r="B49" t="s">
        <v>1581</v>
      </c>
      <c r="C49" t="s">
        <v>2632</v>
      </c>
      <c r="D49" t="s">
        <v>3101</v>
      </c>
      <c r="E49" t="s">
        <v>1894</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2554</v>
      </c>
      <c r="C50" t="s">
        <v>2634</v>
      </c>
      <c r="D50" t="s">
        <v>3102</v>
      </c>
      <c r="E50" t="s">
        <v>1894</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2555</v>
      </c>
      <c r="C51" t="s">
        <v>2636</v>
      </c>
      <c r="D51" t="s">
        <v>3103</v>
      </c>
      <c r="E51" t="s">
        <v>1894</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2556</v>
      </c>
      <c r="D52" t="s">
        <v>3104</v>
      </c>
    </row>
    <row r="53" spans="1:38">
      <c r="B53" t="s">
        <v>1221</v>
      </c>
      <c r="D53" t="s">
        <v>3105</v>
      </c>
    </row>
    <row r="54" spans="1:38">
      <c r="A54" s="14" t="s">
        <v>115</v>
      </c>
      <c r="B54" t="s">
        <v>1266</v>
      </c>
      <c r="C54" t="s">
        <v>2640</v>
      </c>
      <c r="D54" t="s">
        <v>3106</v>
      </c>
      <c r="E54" t="s">
        <v>1294</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114</v>
      </c>
      <c r="B55" t="s">
        <v>1352</v>
      </c>
      <c r="C55" t="s">
        <v>2642</v>
      </c>
      <c r="D55" t="s">
        <v>3107</v>
      </c>
      <c r="E55" t="s">
        <v>1294</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853</v>
      </c>
      <c r="B56" t="s">
        <v>1273</v>
      </c>
      <c r="C56" t="s">
        <v>2644</v>
      </c>
      <c r="D56" t="s">
        <v>3108</v>
      </c>
      <c r="E56" t="s">
        <v>1294</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113</v>
      </c>
      <c r="B57" t="s">
        <v>1282</v>
      </c>
      <c r="C57" t="s">
        <v>2646</v>
      </c>
      <c r="D57" t="s">
        <v>3109</v>
      </c>
      <c r="E57" t="s">
        <v>1294</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114</v>
      </c>
      <c r="B58" t="s">
        <v>2548</v>
      </c>
      <c r="C58" t="s">
        <v>2648</v>
      </c>
      <c r="D58" t="s">
        <v>3110</v>
      </c>
      <c r="E58" t="s">
        <v>1294</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112</v>
      </c>
      <c r="B59" t="s">
        <v>1577</v>
      </c>
      <c r="C59" t="s">
        <v>2650</v>
      </c>
      <c r="D59" t="s">
        <v>3111</v>
      </c>
      <c r="E59" t="s">
        <v>1294</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116</v>
      </c>
      <c r="B60" t="s">
        <v>2549</v>
      </c>
      <c r="C60" t="s">
        <v>2652</v>
      </c>
      <c r="D60" t="s">
        <v>3112</v>
      </c>
      <c r="E60" t="s">
        <v>1294</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4" t="s">
        <v>116</v>
      </c>
      <c r="B61" t="s">
        <v>2550</v>
      </c>
      <c r="C61" t="s">
        <v>2654</v>
      </c>
      <c r="D61" t="s">
        <v>3113</v>
      </c>
      <c r="E61" t="s">
        <v>1294</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4" t="s">
        <v>854</v>
      </c>
      <c r="B62" t="s">
        <v>1581</v>
      </c>
      <c r="C62" t="s">
        <v>2656</v>
      </c>
      <c r="D62" t="s">
        <v>3114</v>
      </c>
      <c r="E62" t="s">
        <v>1294</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2551</v>
      </c>
      <c r="C63" t="s">
        <v>2658</v>
      </c>
      <c r="D63" t="s">
        <v>3115</v>
      </c>
      <c r="E63" t="s">
        <v>1294</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1223</v>
      </c>
      <c r="D64" t="s">
        <v>3116</v>
      </c>
    </row>
    <row r="65" spans="1:38">
      <c r="A65" s="14" t="s">
        <v>115</v>
      </c>
      <c r="B65" t="s">
        <v>1266</v>
      </c>
      <c r="C65" t="s">
        <v>2661</v>
      </c>
      <c r="D65" t="s">
        <v>3117</v>
      </c>
      <c r="E65" t="s">
        <v>1294</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114</v>
      </c>
      <c r="B66" t="s">
        <v>1352</v>
      </c>
      <c r="C66" t="s">
        <v>2663</v>
      </c>
      <c r="D66" t="s">
        <v>3118</v>
      </c>
      <c r="E66" t="s">
        <v>1294</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853</v>
      </c>
      <c r="B67" t="s">
        <v>1273</v>
      </c>
      <c r="C67" t="s">
        <v>2665</v>
      </c>
      <c r="D67" t="s">
        <v>3119</v>
      </c>
      <c r="E67" t="s">
        <v>1294</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113</v>
      </c>
      <c r="B68" t="s">
        <v>1282</v>
      </c>
      <c r="C68" t="s">
        <v>2667</v>
      </c>
      <c r="D68" t="s">
        <v>3120</v>
      </c>
      <c r="E68" t="s">
        <v>1294</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114</v>
      </c>
      <c r="B69" t="s">
        <v>2548</v>
      </c>
      <c r="C69" t="s">
        <v>2669</v>
      </c>
      <c r="D69" t="s">
        <v>3121</v>
      </c>
      <c r="E69" t="s">
        <v>1294</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112</v>
      </c>
      <c r="B70" t="s">
        <v>1577</v>
      </c>
      <c r="C70" t="s">
        <v>2671</v>
      </c>
      <c r="D70" t="s">
        <v>3122</v>
      </c>
      <c r="E70" t="s">
        <v>1294</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4" t="s">
        <v>116</v>
      </c>
      <c r="B71" t="s">
        <v>2549</v>
      </c>
      <c r="C71" t="s">
        <v>2673</v>
      </c>
      <c r="D71" t="s">
        <v>3123</v>
      </c>
      <c r="E71" t="s">
        <v>1294</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4" t="s">
        <v>116</v>
      </c>
      <c r="B72" t="s">
        <v>2550</v>
      </c>
      <c r="C72" t="s">
        <v>2675</v>
      </c>
      <c r="D72" t="s">
        <v>3124</v>
      </c>
      <c r="E72" t="s">
        <v>1294</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4" t="s">
        <v>854</v>
      </c>
      <c r="B73" t="s">
        <v>1581</v>
      </c>
      <c r="C73" t="s">
        <v>2677</v>
      </c>
      <c r="D73" t="s">
        <v>3125</v>
      </c>
      <c r="E73" t="s">
        <v>1294</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2552</v>
      </c>
      <c r="C74" t="s">
        <v>2679</v>
      </c>
      <c r="D74" t="s">
        <v>3126</v>
      </c>
      <c r="E74" t="s">
        <v>1294</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2553</v>
      </c>
      <c r="D75" t="s">
        <v>3127</v>
      </c>
    </row>
    <row r="76" spans="1:38">
      <c r="A76" s="14" t="s">
        <v>115</v>
      </c>
      <c r="B76" t="s">
        <v>1266</v>
      </c>
      <c r="C76" t="s">
        <v>2682</v>
      </c>
      <c r="D76" t="s">
        <v>3128</v>
      </c>
      <c r="E76" t="s">
        <v>1294</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114</v>
      </c>
      <c r="B77" t="s">
        <v>1352</v>
      </c>
      <c r="C77" t="s">
        <v>2684</v>
      </c>
      <c r="D77" t="s">
        <v>3129</v>
      </c>
      <c r="E77" t="s">
        <v>1294</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853</v>
      </c>
      <c r="B78" t="s">
        <v>1273</v>
      </c>
      <c r="C78" t="s">
        <v>2686</v>
      </c>
      <c r="D78" t="s">
        <v>3130</v>
      </c>
      <c r="E78" t="s">
        <v>1294</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113</v>
      </c>
      <c r="B79" t="s">
        <v>1282</v>
      </c>
      <c r="C79" t="s">
        <v>2688</v>
      </c>
      <c r="D79" t="s">
        <v>3131</v>
      </c>
      <c r="E79" t="s">
        <v>1294</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114</v>
      </c>
      <c r="B80" t="s">
        <v>2548</v>
      </c>
      <c r="C80" t="s">
        <v>2690</v>
      </c>
      <c r="D80" t="s">
        <v>3132</v>
      </c>
      <c r="E80" t="s">
        <v>1294</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4" t="s">
        <v>112</v>
      </c>
      <c r="B81" t="s">
        <v>1577</v>
      </c>
      <c r="C81" t="s">
        <v>2692</v>
      </c>
      <c r="D81" t="s">
        <v>3133</v>
      </c>
      <c r="E81" t="s">
        <v>1294</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4" t="s">
        <v>116</v>
      </c>
      <c r="B82" t="s">
        <v>2549</v>
      </c>
      <c r="C82" t="s">
        <v>2694</v>
      </c>
      <c r="D82" t="s">
        <v>3134</v>
      </c>
      <c r="E82" t="s">
        <v>1294</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116</v>
      </c>
      <c r="B83" t="s">
        <v>2550</v>
      </c>
      <c r="C83" t="s">
        <v>2696</v>
      </c>
      <c r="D83" t="s">
        <v>3135</v>
      </c>
      <c r="E83" t="s">
        <v>1294</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854</v>
      </c>
      <c r="B84" t="s">
        <v>1581</v>
      </c>
      <c r="C84" t="s">
        <v>2698</v>
      </c>
      <c r="D84" t="s">
        <v>3136</v>
      </c>
      <c r="E84" t="s">
        <v>1294</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2554</v>
      </c>
      <c r="C85" t="s">
        <v>2700</v>
      </c>
      <c r="D85" t="s">
        <v>3137</v>
      </c>
      <c r="E85" t="s">
        <v>1294</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1221</v>
      </c>
      <c r="C86" t="s">
        <v>2702</v>
      </c>
      <c r="D86" t="s">
        <v>2703</v>
      </c>
      <c r="F86" t="s">
        <v>3138</v>
      </c>
    </row>
    <row r="87" spans="1:38">
      <c r="A87" s="14" t="s">
        <v>115</v>
      </c>
      <c r="B87" t="s">
        <v>1266</v>
      </c>
      <c r="C87" t="s">
        <v>2705</v>
      </c>
      <c r="D87" t="s">
        <v>3139</v>
      </c>
      <c r="E87" t="s">
        <v>1294</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114</v>
      </c>
      <c r="B88" t="s">
        <v>1352</v>
      </c>
      <c r="C88" t="s">
        <v>2707</v>
      </c>
      <c r="D88" t="s">
        <v>3140</v>
      </c>
      <c r="E88" t="s">
        <v>1294</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853</v>
      </c>
      <c r="B89" t="s">
        <v>1273</v>
      </c>
      <c r="C89" t="s">
        <v>2709</v>
      </c>
      <c r="D89" t="s">
        <v>3141</v>
      </c>
      <c r="E89" t="s">
        <v>1294</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113</v>
      </c>
      <c r="B90" t="s">
        <v>1282</v>
      </c>
      <c r="C90" t="s">
        <v>2711</v>
      </c>
      <c r="D90" t="s">
        <v>3142</v>
      </c>
      <c r="E90" t="s">
        <v>1294</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114</v>
      </c>
      <c r="B91" t="s">
        <v>2548</v>
      </c>
      <c r="C91" t="s">
        <v>2713</v>
      </c>
      <c r="D91" t="s">
        <v>3143</v>
      </c>
      <c r="E91" t="s">
        <v>1294</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112</v>
      </c>
      <c r="B92" t="s">
        <v>1577</v>
      </c>
      <c r="C92" t="s">
        <v>2715</v>
      </c>
      <c r="D92" t="s">
        <v>3144</v>
      </c>
      <c r="E92" t="s">
        <v>1294</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116</v>
      </c>
      <c r="B93" t="s">
        <v>2549</v>
      </c>
      <c r="C93" t="s">
        <v>2717</v>
      </c>
      <c r="D93" t="s">
        <v>3145</v>
      </c>
      <c r="E93" t="s">
        <v>1294</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116</v>
      </c>
      <c r="B94" t="s">
        <v>2550</v>
      </c>
      <c r="C94" t="s">
        <v>2719</v>
      </c>
      <c r="D94" t="s">
        <v>3146</v>
      </c>
      <c r="E94" t="s">
        <v>1294</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854</v>
      </c>
      <c r="B95" t="s">
        <v>1581</v>
      </c>
      <c r="C95" t="s">
        <v>2721</v>
      </c>
      <c r="D95" t="s">
        <v>3147</v>
      </c>
      <c r="E95" t="s">
        <v>1294</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594</v>
      </c>
      <c r="C96" t="s">
        <v>2723</v>
      </c>
      <c r="D96" t="s">
        <v>3148</v>
      </c>
      <c r="E96" t="s">
        <v>1294</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3149</v>
      </c>
    </row>
    <row r="98" spans="1:38">
      <c r="B98" t="s">
        <v>1221</v>
      </c>
      <c r="D98" t="s">
        <v>3150</v>
      </c>
    </row>
    <row r="99" spans="1:38">
      <c r="A99" s="14" t="s">
        <v>115</v>
      </c>
      <c r="B99" t="s">
        <v>1266</v>
      </c>
      <c r="C99" t="s">
        <v>2727</v>
      </c>
      <c r="D99" t="s">
        <v>3151</v>
      </c>
      <c r="E99" t="s">
        <v>2729</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114</v>
      </c>
      <c r="B100" t="s">
        <v>1352</v>
      </c>
      <c r="C100" t="s">
        <v>2730</v>
      </c>
      <c r="D100" t="s">
        <v>3152</v>
      </c>
      <c r="E100" t="s">
        <v>1718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853</v>
      </c>
      <c r="B101" t="s">
        <v>1273</v>
      </c>
      <c r="C101" t="s">
        <v>2732</v>
      </c>
      <c r="D101" t="s">
        <v>3153</v>
      </c>
      <c r="E101" t="s">
        <v>1718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113</v>
      </c>
      <c r="B102" t="s">
        <v>1282</v>
      </c>
      <c r="C102" t="s">
        <v>2734</v>
      </c>
      <c r="D102" t="s">
        <v>3154</v>
      </c>
      <c r="E102" t="s">
        <v>1718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114</v>
      </c>
      <c r="B103" t="s">
        <v>2548</v>
      </c>
      <c r="C103" t="s">
        <v>2736</v>
      </c>
      <c r="D103" t="s">
        <v>3155</v>
      </c>
      <c r="E103" t="s">
        <v>1718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112</v>
      </c>
      <c r="B104" t="s">
        <v>1577</v>
      </c>
      <c r="C104" t="s">
        <v>2738</v>
      </c>
      <c r="D104" t="s">
        <v>3156</v>
      </c>
      <c r="E104" t="s">
        <v>2729</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116</v>
      </c>
      <c r="B105" t="s">
        <v>2549</v>
      </c>
      <c r="C105" t="s">
        <v>2740</v>
      </c>
      <c r="D105" t="s">
        <v>3157</v>
      </c>
      <c r="E105" t="s">
        <v>2729</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4" t="s">
        <v>116</v>
      </c>
      <c r="B106" t="s">
        <v>2550</v>
      </c>
      <c r="C106" t="s">
        <v>2742</v>
      </c>
      <c r="D106" t="s">
        <v>3158</v>
      </c>
      <c r="E106" t="s">
        <v>1718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4" t="s">
        <v>854</v>
      </c>
      <c r="B107" t="s">
        <v>1581</v>
      </c>
      <c r="C107" t="s">
        <v>2744</v>
      </c>
      <c r="D107" t="s">
        <v>3159</v>
      </c>
      <c r="E107" t="s">
        <v>2729</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2558</v>
      </c>
      <c r="C108" t="s">
        <v>2746</v>
      </c>
      <c r="D108" t="s">
        <v>3160</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1223</v>
      </c>
      <c r="D109" t="s">
        <v>3161</v>
      </c>
    </row>
    <row r="110" spans="1:38">
      <c r="A110" s="14" t="s">
        <v>115</v>
      </c>
      <c r="B110" t="s">
        <v>1266</v>
      </c>
      <c r="C110" t="s">
        <v>2749</v>
      </c>
      <c r="D110" t="s">
        <v>3162</v>
      </c>
      <c r="E110" t="s">
        <v>2729</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114</v>
      </c>
      <c r="B111" t="s">
        <v>1352</v>
      </c>
      <c r="C111" t="s">
        <v>2751</v>
      </c>
      <c r="D111" t="s">
        <v>3163</v>
      </c>
      <c r="E111" t="s">
        <v>1718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853</v>
      </c>
      <c r="B112" t="s">
        <v>1273</v>
      </c>
      <c r="C112" t="s">
        <v>2753</v>
      </c>
      <c r="D112" t="s">
        <v>3164</v>
      </c>
      <c r="E112" t="s">
        <v>1718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113</v>
      </c>
      <c r="B113" t="s">
        <v>1282</v>
      </c>
      <c r="C113" t="s">
        <v>2755</v>
      </c>
      <c r="D113" t="s">
        <v>3165</v>
      </c>
      <c r="E113" t="s">
        <v>1718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114</v>
      </c>
      <c r="B114" t="s">
        <v>2548</v>
      </c>
      <c r="C114" t="s">
        <v>2757</v>
      </c>
      <c r="D114" t="s">
        <v>3166</v>
      </c>
      <c r="E114" t="s">
        <v>2759</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112</v>
      </c>
      <c r="B115" t="s">
        <v>1577</v>
      </c>
      <c r="C115" t="s">
        <v>2760</v>
      </c>
      <c r="D115" t="s">
        <v>3167</v>
      </c>
      <c r="E115" t="s">
        <v>1718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4" t="s">
        <v>116</v>
      </c>
      <c r="B116" t="s">
        <v>2549</v>
      </c>
      <c r="C116" t="s">
        <v>2762</v>
      </c>
      <c r="D116" t="s">
        <v>3168</v>
      </c>
      <c r="E116" t="s">
        <v>1718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4" t="s">
        <v>116</v>
      </c>
      <c r="B117" t="s">
        <v>2550</v>
      </c>
      <c r="C117" t="s">
        <v>2764</v>
      </c>
      <c r="D117" t="s">
        <v>3169</v>
      </c>
      <c r="E117" t="s">
        <v>1718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4" t="s">
        <v>854</v>
      </c>
      <c r="B118" t="s">
        <v>1581</v>
      </c>
      <c r="C118" t="s">
        <v>2766</v>
      </c>
      <c r="D118" t="s">
        <v>3170</v>
      </c>
      <c r="E118" t="s">
        <v>1718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2559</v>
      </c>
      <c r="C119" t="s">
        <v>2768</v>
      </c>
      <c r="D119" t="s">
        <v>3171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2553</v>
      </c>
      <c r="D120" t="s">
        <v>3172</v>
      </c>
    </row>
    <row r="121" spans="1:38">
      <c r="A121" s="14" t="s">
        <v>115</v>
      </c>
      <c r="B121" t="s">
        <v>1266</v>
      </c>
      <c r="C121" t="s">
        <v>2771</v>
      </c>
      <c r="D121" t="s">
        <v>3173</v>
      </c>
      <c r="E121" t="s">
        <v>2729</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114</v>
      </c>
      <c r="B122" t="s">
        <v>1352</v>
      </c>
      <c r="C122" t="s">
        <v>2773</v>
      </c>
      <c r="D122" t="s">
        <v>3174</v>
      </c>
      <c r="E122" t="s">
        <v>1718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853</v>
      </c>
      <c r="B123" t="s">
        <v>1273</v>
      </c>
      <c r="C123" t="s">
        <v>2775</v>
      </c>
      <c r="D123" t="s">
        <v>3175</v>
      </c>
      <c r="E123" t="s">
        <v>1718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113</v>
      </c>
      <c r="B124" t="s">
        <v>1282</v>
      </c>
      <c r="C124" t="s">
        <v>2777</v>
      </c>
      <c r="D124" t="s">
        <v>3176</v>
      </c>
      <c r="E124" t="s">
        <v>2729</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114</v>
      </c>
      <c r="B125" t="s">
        <v>2548</v>
      </c>
      <c r="C125" t="s">
        <v>2779</v>
      </c>
      <c r="D125" t="s">
        <v>3177</v>
      </c>
      <c r="E125" t="s">
        <v>1718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4" t="s">
        <v>112</v>
      </c>
      <c r="B126" t="s">
        <v>1577</v>
      </c>
      <c r="C126" t="s">
        <v>2781</v>
      </c>
      <c r="D126" t="s">
        <v>3178</v>
      </c>
      <c r="E126" t="s">
        <v>2729</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4" t="s">
        <v>116</v>
      </c>
      <c r="B127" t="s">
        <v>2549</v>
      </c>
      <c r="C127" t="s">
        <v>2783</v>
      </c>
      <c r="D127" t="s">
        <v>3179</v>
      </c>
      <c r="E127" t="s">
        <v>2729</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116</v>
      </c>
      <c r="B128" t="s">
        <v>2550</v>
      </c>
      <c r="C128" t="s">
        <v>2785</v>
      </c>
      <c r="D128" t="s">
        <v>3180</v>
      </c>
      <c r="E128" t="s">
        <v>1718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854</v>
      </c>
      <c r="B129" t="s">
        <v>1581</v>
      </c>
      <c r="C129" t="s">
        <v>2787</v>
      </c>
      <c r="D129" t="s">
        <v>3181</v>
      </c>
      <c r="E129" t="s">
        <v>2729</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2560</v>
      </c>
      <c r="C130" t="s">
        <v>2789</v>
      </c>
      <c r="D130" t="s">
        <v>3182</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2561</v>
      </c>
      <c r="C131" t="s">
        <v>2791</v>
      </c>
      <c r="D131" t="s">
        <v>3183</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2562</v>
      </c>
      <c r="D132" t="s">
        <v>3184</v>
      </c>
    </row>
    <row r="133" spans="1:38">
      <c r="B133" t="s">
        <v>1221</v>
      </c>
      <c r="D133" t="s">
        <v>3185</v>
      </c>
    </row>
    <row r="134" spans="1:38">
      <c r="A134" s="14" t="s">
        <v>115</v>
      </c>
      <c r="B134" t="s">
        <v>1266</v>
      </c>
      <c r="C134" t="s">
        <v>2795</v>
      </c>
      <c r="D134" t="s">
        <v>3186</v>
      </c>
      <c r="E134" t="s">
        <v>1864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114</v>
      </c>
      <c r="B135" t="s">
        <v>1352</v>
      </c>
      <c r="C135" t="s">
        <v>2797</v>
      </c>
      <c r="D135" t="s">
        <v>3187</v>
      </c>
      <c r="E135" t="s">
        <v>1864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853</v>
      </c>
      <c r="B136" t="s">
        <v>1273</v>
      </c>
      <c r="C136" t="s">
        <v>2799</v>
      </c>
      <c r="D136" t="s">
        <v>3188</v>
      </c>
      <c r="E136" t="s">
        <v>1864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113</v>
      </c>
      <c r="B137" t="s">
        <v>1282</v>
      </c>
      <c r="C137" t="s">
        <v>2801</v>
      </c>
      <c r="D137" t="s">
        <v>3189</v>
      </c>
      <c r="E137" t="s">
        <v>1864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114</v>
      </c>
      <c r="B138" t="s">
        <v>2548</v>
      </c>
      <c r="C138" t="s">
        <v>2803</v>
      </c>
      <c r="D138" t="s">
        <v>3190</v>
      </c>
      <c r="E138" t="s">
        <v>1864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112</v>
      </c>
      <c r="B139" t="s">
        <v>1577</v>
      </c>
      <c r="C139" t="s">
        <v>2805</v>
      </c>
      <c r="D139" t="s">
        <v>3191</v>
      </c>
      <c r="E139" t="s">
        <v>1864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116</v>
      </c>
      <c r="B140" t="s">
        <v>2549</v>
      </c>
      <c r="C140" t="s">
        <v>2807</v>
      </c>
      <c r="D140" t="s">
        <v>3192</v>
      </c>
      <c r="E140" t="s">
        <v>1864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4" t="s">
        <v>116</v>
      </c>
      <c r="B141" t="s">
        <v>2550</v>
      </c>
      <c r="C141" t="s">
        <v>2809</v>
      </c>
      <c r="D141" t="s">
        <v>3193</v>
      </c>
      <c r="E141" t="s">
        <v>1864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4" t="s">
        <v>854</v>
      </c>
      <c r="B142" t="s">
        <v>1581</v>
      </c>
      <c r="C142" t="s">
        <v>2811</v>
      </c>
      <c r="D142" t="s">
        <v>3194</v>
      </c>
      <c r="E142" t="s">
        <v>1864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2551</v>
      </c>
      <c r="C143" t="s">
        <v>2813</v>
      </c>
      <c r="D143" t="s">
        <v>3195</v>
      </c>
      <c r="E143" t="s">
        <v>1864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1223</v>
      </c>
      <c r="D144" t="s">
        <v>3196</v>
      </c>
    </row>
    <row r="145" spans="1:38">
      <c r="A145" s="14" t="s">
        <v>115</v>
      </c>
      <c r="B145" t="s">
        <v>1266</v>
      </c>
      <c r="C145" t="s">
        <v>2816</v>
      </c>
      <c r="D145" t="s">
        <v>3197</v>
      </c>
      <c r="E145" t="s">
        <v>1864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114</v>
      </c>
      <c r="B146" t="s">
        <v>1352</v>
      </c>
      <c r="C146" t="s">
        <v>2818</v>
      </c>
      <c r="D146" t="s">
        <v>3198</v>
      </c>
      <c r="E146" t="s">
        <v>1864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853</v>
      </c>
      <c r="B147" t="s">
        <v>1273</v>
      </c>
      <c r="C147" t="s">
        <v>2820</v>
      </c>
      <c r="D147" t="s">
        <v>3199</v>
      </c>
      <c r="E147" t="s">
        <v>1864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113</v>
      </c>
      <c r="B148" t="s">
        <v>1282</v>
      </c>
      <c r="C148" t="s">
        <v>2822</v>
      </c>
      <c r="D148" t="s">
        <v>3200</v>
      </c>
      <c r="E148" t="s">
        <v>1864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114</v>
      </c>
      <c r="B149" t="s">
        <v>2548</v>
      </c>
      <c r="C149" t="s">
        <v>2824</v>
      </c>
      <c r="D149" t="s">
        <v>3201</v>
      </c>
      <c r="E149" t="s">
        <v>1864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112</v>
      </c>
      <c r="B150" t="s">
        <v>1577</v>
      </c>
      <c r="C150" t="s">
        <v>2826</v>
      </c>
      <c r="D150" t="s">
        <v>3202</v>
      </c>
      <c r="E150" t="s">
        <v>1864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116</v>
      </c>
      <c r="B151" t="s">
        <v>2549</v>
      </c>
      <c r="C151" t="s">
        <v>2828</v>
      </c>
      <c r="D151" t="s">
        <v>3203</v>
      </c>
      <c r="E151" t="s">
        <v>1864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4" t="s">
        <v>116</v>
      </c>
      <c r="B152" t="s">
        <v>2550</v>
      </c>
      <c r="C152" t="s">
        <v>2830</v>
      </c>
      <c r="D152" t="s">
        <v>3204</v>
      </c>
      <c r="E152" t="s">
        <v>1864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4" t="s">
        <v>854</v>
      </c>
      <c r="B153" t="s">
        <v>1581</v>
      </c>
      <c r="C153" t="s">
        <v>2832</v>
      </c>
      <c r="D153" t="s">
        <v>3205</v>
      </c>
      <c r="E153" t="s">
        <v>1864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2552</v>
      </c>
      <c r="C154" t="s">
        <v>2834</v>
      </c>
      <c r="D154" t="s">
        <v>3206</v>
      </c>
      <c r="E154" t="s">
        <v>1864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2553</v>
      </c>
      <c r="D155" t="s">
        <v>3207</v>
      </c>
    </row>
    <row r="156" spans="1:38">
      <c r="A156" s="14" t="s">
        <v>115</v>
      </c>
      <c r="B156" t="s">
        <v>1266</v>
      </c>
      <c r="C156" t="s">
        <v>2837</v>
      </c>
      <c r="D156" t="s">
        <v>3208</v>
      </c>
      <c r="E156" t="s">
        <v>1864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114</v>
      </c>
      <c r="B157" t="s">
        <v>1352</v>
      </c>
      <c r="C157" t="s">
        <v>2839</v>
      </c>
      <c r="D157" t="s">
        <v>3209</v>
      </c>
      <c r="E157" t="s">
        <v>1864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853</v>
      </c>
      <c r="B158" t="s">
        <v>1273</v>
      </c>
      <c r="C158" t="s">
        <v>2841</v>
      </c>
      <c r="D158" t="s">
        <v>3210</v>
      </c>
      <c r="E158" t="s">
        <v>1864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113</v>
      </c>
      <c r="B159" t="s">
        <v>1282</v>
      </c>
      <c r="C159" t="s">
        <v>2843</v>
      </c>
      <c r="D159" t="s">
        <v>3211</v>
      </c>
      <c r="E159" t="s">
        <v>1864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114</v>
      </c>
      <c r="B160" t="s">
        <v>2548</v>
      </c>
      <c r="C160" t="s">
        <v>2845</v>
      </c>
      <c r="D160" t="s">
        <v>3212</v>
      </c>
      <c r="E160" t="s">
        <v>1864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4" t="s">
        <v>112</v>
      </c>
      <c r="B161" t="s">
        <v>1577</v>
      </c>
      <c r="C161" t="s">
        <v>2847</v>
      </c>
      <c r="D161" t="s">
        <v>3213</v>
      </c>
      <c r="E161" t="s">
        <v>1864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4" t="s">
        <v>116</v>
      </c>
      <c r="B162" t="s">
        <v>2549</v>
      </c>
      <c r="C162" t="s">
        <v>2849</v>
      </c>
      <c r="D162" t="s">
        <v>3214</v>
      </c>
      <c r="E162" t="s">
        <v>1864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116</v>
      </c>
      <c r="B163" t="s">
        <v>2550</v>
      </c>
      <c r="C163" t="s">
        <v>2851</v>
      </c>
      <c r="D163" t="s">
        <v>3215</v>
      </c>
      <c r="E163" t="s">
        <v>1864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854</v>
      </c>
      <c r="B164" t="s">
        <v>1581</v>
      </c>
      <c r="C164" t="s">
        <v>2853</v>
      </c>
      <c r="D164" t="s">
        <v>3216</v>
      </c>
      <c r="E164" t="s">
        <v>1864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2554</v>
      </c>
      <c r="C165" t="s">
        <v>2855</v>
      </c>
      <c r="D165" t="s">
        <v>3217</v>
      </c>
      <c r="E165" t="s">
        <v>1864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2563</v>
      </c>
      <c r="C166" t="s">
        <v>2857</v>
      </c>
      <c r="D166" t="s">
        <v>3218</v>
      </c>
      <c r="E166" t="s">
        <v>1864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697</v>
      </c>
      <c r="D167" t="s">
        <v>3219</v>
      </c>
    </row>
    <row r="168" spans="1:38">
      <c r="B168" t="s">
        <v>2557</v>
      </c>
      <c r="D168" t="s">
        <v>3220</v>
      </c>
    </row>
    <row r="169" spans="1:38">
      <c r="B169" t="s">
        <v>1221</v>
      </c>
      <c r="D169" t="s">
        <v>3221</v>
      </c>
    </row>
    <row r="170" spans="1:38">
      <c r="B170" t="s">
        <v>1266</v>
      </c>
      <c r="C170" t="s">
        <v>2862</v>
      </c>
      <c r="D170" t="s">
        <v>3222</v>
      </c>
      <c r="E170" t="s">
        <v>2729</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1352</v>
      </c>
      <c r="C171" t="s">
        <v>2864</v>
      </c>
      <c r="D171" t="s">
        <v>3223</v>
      </c>
      <c r="E171" t="s">
        <v>1718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1273</v>
      </c>
      <c r="C172" t="s">
        <v>2866</v>
      </c>
      <c r="D172" t="s">
        <v>3224</v>
      </c>
      <c r="E172" t="s">
        <v>1718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1282</v>
      </c>
      <c r="C173" t="s">
        <v>2868</v>
      </c>
      <c r="D173" t="s">
        <v>3225</v>
      </c>
      <c r="E173" t="s">
        <v>1718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2548</v>
      </c>
      <c r="C174" t="s">
        <v>2870</v>
      </c>
      <c r="D174" t="s">
        <v>3226</v>
      </c>
      <c r="E174" t="s">
        <v>1718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1577</v>
      </c>
      <c r="C175" t="s">
        <v>2872</v>
      </c>
      <c r="D175" t="s">
        <v>3227</v>
      </c>
      <c r="E175" t="s">
        <v>2729</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2549</v>
      </c>
      <c r="C176" t="s">
        <v>2874</v>
      </c>
      <c r="D176" t="s">
        <v>3228</v>
      </c>
      <c r="E176" t="s">
        <v>2729</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2550</v>
      </c>
      <c r="C177" t="s">
        <v>2876</v>
      </c>
      <c r="D177" t="s">
        <v>3229</v>
      </c>
      <c r="E177" t="s">
        <v>1718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1581</v>
      </c>
      <c r="C178" t="s">
        <v>2878</v>
      </c>
      <c r="D178" t="s">
        <v>3230</v>
      </c>
      <c r="E178" t="s">
        <v>2729</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2558</v>
      </c>
      <c r="C179" t="s">
        <v>2880</v>
      </c>
      <c r="D179" t="s">
        <v>3231</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1223</v>
      </c>
      <c r="D180" t="s">
        <v>3232</v>
      </c>
    </row>
    <row r="181" spans="2:38">
      <c r="B181" t="s">
        <v>1266</v>
      </c>
      <c r="C181" t="s">
        <v>2883</v>
      </c>
      <c r="D181" t="s">
        <v>3233</v>
      </c>
      <c r="E181" t="s">
        <v>2729</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1352</v>
      </c>
      <c r="C182" t="s">
        <v>2885</v>
      </c>
      <c r="D182" t="s">
        <v>3234</v>
      </c>
      <c r="E182" t="s">
        <v>1718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1273</v>
      </c>
      <c r="C183" t="s">
        <v>2887</v>
      </c>
      <c r="D183" t="s">
        <v>3235</v>
      </c>
      <c r="E183" t="s">
        <v>1718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1282</v>
      </c>
      <c r="C184" t="s">
        <v>2889</v>
      </c>
      <c r="D184" t="s">
        <v>3236</v>
      </c>
      <c r="E184" t="s">
        <v>1718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2548</v>
      </c>
      <c r="C185" t="s">
        <v>2891</v>
      </c>
      <c r="D185" t="s">
        <v>3237</v>
      </c>
      <c r="E185" t="s">
        <v>2759</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1577</v>
      </c>
      <c r="C186" t="s">
        <v>2893</v>
      </c>
      <c r="D186" t="s">
        <v>3238</v>
      </c>
      <c r="E186" t="s">
        <v>1718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2549</v>
      </c>
      <c r="C187" t="s">
        <v>2895</v>
      </c>
      <c r="D187" t="s">
        <v>3239</v>
      </c>
      <c r="E187" t="s">
        <v>1718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2550</v>
      </c>
      <c r="C188" t="s">
        <v>2897</v>
      </c>
      <c r="D188" t="s">
        <v>3240</v>
      </c>
      <c r="E188" t="s">
        <v>1718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1581</v>
      </c>
      <c r="C189" t="s">
        <v>2899</v>
      </c>
      <c r="D189" t="s">
        <v>3241</v>
      </c>
      <c r="E189" t="s">
        <v>1718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2559</v>
      </c>
      <c r="C190" t="s">
        <v>2901</v>
      </c>
      <c r="D190" t="s">
        <v>3242</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2553</v>
      </c>
      <c r="D191" t="s">
        <v>3243</v>
      </c>
    </row>
    <row r="192" spans="2:38">
      <c r="B192" t="s">
        <v>1266</v>
      </c>
      <c r="C192" t="s">
        <v>2904</v>
      </c>
      <c r="D192" t="s">
        <v>3244</v>
      </c>
      <c r="E192" t="s">
        <v>2729</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1352</v>
      </c>
      <c r="C193" t="s">
        <v>2906</v>
      </c>
      <c r="D193" t="s">
        <v>3245</v>
      </c>
      <c r="E193" t="s">
        <v>1718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1273</v>
      </c>
      <c r="C194" t="s">
        <v>2908</v>
      </c>
      <c r="D194" t="s">
        <v>3246</v>
      </c>
      <c r="E194" t="s">
        <v>1718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1282</v>
      </c>
      <c r="C195" t="s">
        <v>2910</v>
      </c>
      <c r="D195" t="s">
        <v>3247</v>
      </c>
      <c r="E195" t="s">
        <v>2729</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2548</v>
      </c>
      <c r="C196" t="s">
        <v>2912</v>
      </c>
      <c r="D196" t="s">
        <v>3248</v>
      </c>
      <c r="E196" t="s">
        <v>1718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1577</v>
      </c>
      <c r="C197" t="s">
        <v>2914</v>
      </c>
      <c r="D197" t="s">
        <v>3249</v>
      </c>
      <c r="E197" t="s">
        <v>2729</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2549</v>
      </c>
      <c r="C198" t="s">
        <v>2916</v>
      </c>
      <c r="D198" t="s">
        <v>3250</v>
      </c>
      <c r="E198" t="s">
        <v>2729</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2550</v>
      </c>
      <c r="C199" t="s">
        <v>2918</v>
      </c>
      <c r="D199" t="s">
        <v>3251</v>
      </c>
      <c r="E199" t="s">
        <v>1718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1581</v>
      </c>
      <c r="C200" t="s">
        <v>2920</v>
      </c>
      <c r="D200" t="s">
        <v>3252</v>
      </c>
      <c r="E200" t="s">
        <v>2729</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2560</v>
      </c>
      <c r="C201" t="s">
        <v>2922</v>
      </c>
      <c r="D201" t="s">
        <v>3253</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2561</v>
      </c>
      <c r="C202" t="s">
        <v>2924</v>
      </c>
      <c r="D202" t="s">
        <v>3254</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2564</v>
      </c>
      <c r="D203" t="s">
        <v>3255</v>
      </c>
    </row>
    <row r="204" spans="2:38">
      <c r="B204" t="s">
        <v>1221</v>
      </c>
      <c r="D204" t="s">
        <v>3256</v>
      </c>
    </row>
    <row r="205" spans="2:38">
      <c r="B205" t="s">
        <v>1266</v>
      </c>
      <c r="C205" t="s">
        <v>2928</v>
      </c>
      <c r="D205" t="s">
        <v>3257</v>
      </c>
      <c r="E205" t="s">
        <v>1588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1352</v>
      </c>
      <c r="C206" t="s">
        <v>2930</v>
      </c>
      <c r="D206" t="s">
        <v>3258</v>
      </c>
      <c r="E206" t="s">
        <v>1588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1273</v>
      </c>
      <c r="C207" t="s">
        <v>2932</v>
      </c>
      <c r="D207" t="s">
        <v>3259</v>
      </c>
      <c r="E207" t="s">
        <v>1588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1282</v>
      </c>
      <c r="C208" t="s">
        <v>2934</v>
      </c>
      <c r="D208" t="s">
        <v>3260</v>
      </c>
      <c r="E208" t="s">
        <v>1588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2548</v>
      </c>
      <c r="C209" t="s">
        <v>2936</v>
      </c>
      <c r="D209" t="s">
        <v>3261</v>
      </c>
      <c r="E209" t="s">
        <v>1588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1577</v>
      </c>
      <c r="C210" t="s">
        <v>2938</v>
      </c>
      <c r="D210" t="s">
        <v>3262</v>
      </c>
      <c r="E210" t="s">
        <v>1588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2549</v>
      </c>
      <c r="C211" t="s">
        <v>2940</v>
      </c>
      <c r="D211" t="s">
        <v>3263</v>
      </c>
      <c r="E211" t="s">
        <v>1588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2550</v>
      </c>
      <c r="C212" t="s">
        <v>2942</v>
      </c>
      <c r="D212" t="s">
        <v>3264</v>
      </c>
      <c r="E212" t="s">
        <v>1588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1581</v>
      </c>
      <c r="C213" t="s">
        <v>2944</v>
      </c>
      <c r="D213" t="s">
        <v>3265</v>
      </c>
      <c r="E213" t="s">
        <v>1588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2551</v>
      </c>
      <c r="C214" t="s">
        <v>2946</v>
      </c>
      <c r="D214" t="s">
        <v>3266</v>
      </c>
      <c r="E214" t="s">
        <v>1588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1223</v>
      </c>
      <c r="D215" t="s">
        <v>3267</v>
      </c>
    </row>
    <row r="216" spans="2:38">
      <c r="B216" t="s">
        <v>1266</v>
      </c>
      <c r="C216" t="s">
        <v>2949</v>
      </c>
      <c r="D216" t="s">
        <v>3268</v>
      </c>
      <c r="E216" t="s">
        <v>1588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1352</v>
      </c>
      <c r="C217" t="s">
        <v>2951</v>
      </c>
      <c r="D217" t="s">
        <v>3269</v>
      </c>
      <c r="E217" t="s">
        <v>1588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1273</v>
      </c>
      <c r="C218" t="s">
        <v>2953</v>
      </c>
      <c r="D218" t="s">
        <v>3270</v>
      </c>
      <c r="E218" t="s">
        <v>1588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1282</v>
      </c>
      <c r="C219" t="s">
        <v>2955</v>
      </c>
      <c r="D219" t="s">
        <v>3271</v>
      </c>
      <c r="E219" t="s">
        <v>1588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2548</v>
      </c>
      <c r="C220" t="s">
        <v>2957</v>
      </c>
      <c r="D220" t="s">
        <v>3272</v>
      </c>
      <c r="E220" t="s">
        <v>1588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1577</v>
      </c>
      <c r="C221" t="s">
        <v>2959</v>
      </c>
      <c r="D221" t="s">
        <v>3273</v>
      </c>
      <c r="E221" t="s">
        <v>1588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2549</v>
      </c>
      <c r="C222" t="s">
        <v>2961</v>
      </c>
      <c r="D222" t="s">
        <v>3274</v>
      </c>
      <c r="E222" t="s">
        <v>1588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2550</v>
      </c>
      <c r="C223" t="s">
        <v>2963</v>
      </c>
      <c r="D223" t="s">
        <v>3275</v>
      </c>
      <c r="E223" t="s">
        <v>1588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1581</v>
      </c>
      <c r="C224" t="s">
        <v>2965</v>
      </c>
      <c r="D224" t="s">
        <v>3276</v>
      </c>
      <c r="E224" t="s">
        <v>1588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2552</v>
      </c>
      <c r="C225" t="s">
        <v>2967</v>
      </c>
      <c r="D225" t="s">
        <v>3277</v>
      </c>
      <c r="E225" t="s">
        <v>1588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2553</v>
      </c>
      <c r="D226" t="s">
        <v>3278</v>
      </c>
    </row>
    <row r="227" spans="2:38">
      <c r="B227" t="s">
        <v>1266</v>
      </c>
      <c r="C227" t="s">
        <v>2970</v>
      </c>
      <c r="D227" t="s">
        <v>3279</v>
      </c>
      <c r="E227" t="s">
        <v>1588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1352</v>
      </c>
      <c r="C228" t="s">
        <v>2972</v>
      </c>
      <c r="D228" t="s">
        <v>3280</v>
      </c>
      <c r="E228" t="s">
        <v>1588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1273</v>
      </c>
      <c r="C229" t="s">
        <v>2974</v>
      </c>
      <c r="D229" t="s">
        <v>3281</v>
      </c>
      <c r="E229" t="s">
        <v>1588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1282</v>
      </c>
      <c r="C230" t="s">
        <v>2976</v>
      </c>
      <c r="D230" t="s">
        <v>3282</v>
      </c>
      <c r="E230" t="s">
        <v>1588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2548</v>
      </c>
      <c r="C231" t="s">
        <v>2978</v>
      </c>
      <c r="D231" t="s">
        <v>3283</v>
      </c>
      <c r="E231" t="s">
        <v>1588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1577</v>
      </c>
      <c r="C232" t="s">
        <v>2980</v>
      </c>
      <c r="D232" t="s">
        <v>3284</v>
      </c>
      <c r="E232" t="s">
        <v>1588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2549</v>
      </c>
      <c r="C233" t="s">
        <v>2982</v>
      </c>
      <c r="D233" t="s">
        <v>3285</v>
      </c>
      <c r="E233" t="s">
        <v>1588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2550</v>
      </c>
      <c r="C234" t="s">
        <v>2984</v>
      </c>
      <c r="D234" t="s">
        <v>3286</v>
      </c>
      <c r="E234" t="s">
        <v>1588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1581</v>
      </c>
      <c r="C235" t="s">
        <v>2986</v>
      </c>
      <c r="D235" t="s">
        <v>3287</v>
      </c>
      <c r="E235" t="s">
        <v>1588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2554</v>
      </c>
      <c r="C236" t="s">
        <v>2988</v>
      </c>
      <c r="D236" t="s">
        <v>3288</v>
      </c>
      <c r="E236" t="s">
        <v>1588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1573</v>
      </c>
      <c r="C237" t="s">
        <v>2990</v>
      </c>
      <c r="D237" t="s">
        <v>3289</v>
      </c>
      <c r="E237" t="s">
        <v>1588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634</v>
      </c>
      <c r="D238" t="s">
        <v>3290</v>
      </c>
    </row>
    <row r="239" spans="2:38">
      <c r="B239" t="s">
        <v>2565</v>
      </c>
      <c r="C239" t="s">
        <v>2993</v>
      </c>
      <c r="D239" t="s">
        <v>3291</v>
      </c>
      <c r="E239" t="s">
        <v>2995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2566</v>
      </c>
      <c r="C240" t="s">
        <v>2996</v>
      </c>
      <c r="D240" t="s">
        <v>3292</v>
      </c>
      <c r="E240" t="s">
        <v>2998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133</v>
      </c>
      <c r="D241" t="s">
        <v>3293</v>
      </c>
    </row>
    <row r="242" spans="2:38">
      <c r="B242" t="s">
        <v>1351</v>
      </c>
      <c r="C242" t="s">
        <v>3000</v>
      </c>
      <c r="D242" t="s">
        <v>3294</v>
      </c>
      <c r="E242" t="s">
        <v>1294</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1257</v>
      </c>
      <c r="C243" t="s">
        <v>3002</v>
      </c>
      <c r="D243" t="s">
        <v>3295</v>
      </c>
      <c r="E243" t="s">
        <v>1294</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1354</v>
      </c>
      <c r="C244" t="s">
        <v>3004</v>
      </c>
      <c r="D244" t="s">
        <v>3296</v>
      </c>
      <c r="E244" t="s">
        <v>1294</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1355</v>
      </c>
      <c r="C245" t="s">
        <v>3006</v>
      </c>
      <c r="D245" t="s">
        <v>3297</v>
      </c>
      <c r="E245" t="s">
        <v>1294</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3298</v>
      </c>
    </row>
    <row r="247" spans="2:38">
      <c r="B247" t="s">
        <v>2567</v>
      </c>
      <c r="C247" t="s">
        <v>3009</v>
      </c>
      <c r="D247" t="s">
        <v>3299</v>
      </c>
      <c r="E247" t="s">
        <v>2995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2566</v>
      </c>
      <c r="C248" t="s">
        <v>3011</v>
      </c>
      <c r="D248" t="s">
        <v>3300</v>
      </c>
      <c r="E248" t="s">
        <v>2998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133</v>
      </c>
      <c r="D249" t="s">
        <v>3301</v>
      </c>
    </row>
    <row r="250" spans="2:38">
      <c r="B250" t="s">
        <v>1351</v>
      </c>
      <c r="C250" t="s">
        <v>3014</v>
      </c>
      <c r="D250" t="s">
        <v>3302</v>
      </c>
      <c r="E250" t="s">
        <v>1294</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1257</v>
      </c>
      <c r="C251" t="s">
        <v>3016</v>
      </c>
      <c r="D251" t="s">
        <v>3303</v>
      </c>
      <c r="E251" t="s">
        <v>1294</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1354</v>
      </c>
      <c r="C252" t="s">
        <v>3018</v>
      </c>
      <c r="D252" t="s">
        <v>3304</v>
      </c>
      <c r="E252" t="s">
        <v>1294</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1355</v>
      </c>
      <c r="C253" t="s">
        <v>3020</v>
      </c>
      <c r="D253" t="s">
        <v>3305</v>
      </c>
      <c r="E253" t="s">
        <v>1294</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620</v>
      </c>
      <c r="D254" t="s">
        <v>3306</v>
      </c>
    </row>
    <row r="255" spans="2:38">
      <c r="B255" t="s">
        <v>2568</v>
      </c>
      <c r="C255" t="s">
        <v>3023</v>
      </c>
      <c r="D255" t="s">
        <v>3307</v>
      </c>
      <c r="E255" t="s">
        <v>3025</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2569</v>
      </c>
      <c r="C256" t="s">
        <v>3026</v>
      </c>
      <c r="D256" t="s">
        <v>3308</v>
      </c>
      <c r="E256" t="s">
        <v>3025</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2570</v>
      </c>
      <c r="C257" t="s">
        <v>3028</v>
      </c>
      <c r="D257" t="s">
        <v>3309</v>
      </c>
      <c r="E257" t="s">
        <v>3025</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133</v>
      </c>
      <c r="D258" t="s">
        <v>3310</v>
      </c>
    </row>
    <row r="259" spans="2:38">
      <c r="B259" t="s">
        <v>1351</v>
      </c>
      <c r="C259" t="s">
        <v>3031</v>
      </c>
      <c r="D259" t="s">
        <v>3311</v>
      </c>
      <c r="E259" t="s">
        <v>1294</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1257</v>
      </c>
      <c r="C260" t="s">
        <v>3033</v>
      </c>
      <c r="D260" t="s">
        <v>3312</v>
      </c>
      <c r="E260" t="s">
        <v>1294</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1354</v>
      </c>
      <c r="C261" t="s">
        <v>3035</v>
      </c>
      <c r="D261" t="s">
        <v>3313</v>
      </c>
      <c r="E261" t="s">
        <v>1294</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1355</v>
      </c>
      <c r="C262" t="s">
        <v>3037</v>
      </c>
      <c r="D262" t="s">
        <v>3314</v>
      </c>
      <c r="E262" t="s">
        <v>1294</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zoomScaleNormal="100" workbookViewId="0">
      <selection activeCell="A2" sqref="A2:B32"/>
    </sheetView>
  </sheetViews>
  <sheetFormatPr defaultColWidth="9.08984375" defaultRowHeight="14.5"/>
  <cols>
    <col min="1" max="1" width="14.6328125" customWidth="1"/>
    <col min="2" max="2" width="18.1796875" customWidth="1"/>
    <col min="3" max="3" width="19.54296875" customWidth="1"/>
    <col min="4" max="4" width="19.36328125" style="41" customWidth="1"/>
    <col min="5" max="5" width="16.6328125" customWidth="1"/>
    <col min="6" max="6" width="11.90625" customWidth="1"/>
    <col min="11" max="11" width="15.26953125" customWidth="1"/>
    <col min="12" max="12" width="14.81640625" customWidth="1"/>
    <col min="13" max="13" width="13.08984375" customWidth="1"/>
  </cols>
  <sheetData>
    <row r="1" spans="1:33" s="1" customFormat="1">
      <c r="A1" s="1" t="s">
        <v>3039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8" t="s">
        <v>114</v>
      </c>
      <c r="B2" s="111" t="s">
        <v>874</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8" t="s">
        <v>115</v>
      </c>
      <c r="B3" s="111" t="s">
        <v>875</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8"/>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8" t="s">
        <v>114</v>
      </c>
      <c r="B5" s="111" t="s">
        <v>876</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8" t="s">
        <v>112</v>
      </c>
      <c r="B6" s="111" t="s">
        <v>877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8" t="s">
        <v>112</v>
      </c>
      <c r="B7" s="111" t="s">
        <v>878</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8" t="s">
        <v>112</v>
      </c>
      <c r="B8" s="111" t="s">
        <v>879</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8" t="s">
        <v>116</v>
      </c>
      <c r="B9" s="111" t="s">
        <v>880</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8" t="s">
        <v>116</v>
      </c>
      <c r="B10" s="111" t="s">
        <v>881</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8" t="s">
        <v>115</v>
      </c>
      <c r="B11" s="111" t="s">
        <v>882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8" t="s">
        <v>114</v>
      </c>
      <c r="B12" s="111" t="s">
        <v>883</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8" t="s">
        <v>113</v>
      </c>
      <c r="B13" s="111" t="s">
        <v>884</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8" t="s">
        <v>113</v>
      </c>
      <c r="B14" s="111" t="s">
        <v>885</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8" t="s">
        <v>853</v>
      </c>
      <c r="B15" s="111" t="s">
        <v>886</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8" t="s">
        <v>853</v>
      </c>
      <c r="B16" s="111" t="s">
        <v>887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8" t="s">
        <v>854</v>
      </c>
      <c r="B17" s="111" t="s">
        <v>888</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8" t="s">
        <v>854</v>
      </c>
      <c r="B18" s="111" t="s">
        <v>889</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8"/>
      <c r="B19" s="111" t="s">
        <v>890</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8"/>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8"/>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8" t="s">
        <v>114</v>
      </c>
      <c r="B22" s="111" t="s">
        <v>891</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8" t="s">
        <v>115</v>
      </c>
      <c r="B23" s="111" t="s">
        <v>892</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8"/>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8" t="s">
        <v>114</v>
      </c>
      <c r="B25" s="111" t="s">
        <v>893</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8" t="s">
        <v>112</v>
      </c>
      <c r="B26" s="111" t="s">
        <v>894</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8" t="s">
        <v>112</v>
      </c>
      <c r="B27" s="111" t="s">
        <v>895</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8" t="s">
        <v>112</v>
      </c>
      <c r="B28" s="111" t="s">
        <v>896</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8" t="s">
        <v>116</v>
      </c>
      <c r="B29" s="111" t="s">
        <v>897</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8" t="s">
        <v>116</v>
      </c>
      <c r="B30" s="111" t="s">
        <v>898</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8" t="s">
        <v>115</v>
      </c>
      <c r="B31" s="111" t="s">
        <v>899</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8" t="s">
        <v>114</v>
      </c>
      <c r="B32" s="111" t="s">
        <v>900</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8" t="s">
        <v>113</v>
      </c>
      <c r="B33" s="111" t="s">
        <v>901</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8" t="s">
        <v>113</v>
      </c>
      <c r="B34" s="111" t="s">
        <v>902</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8" t="s">
        <v>853</v>
      </c>
      <c r="B35" s="111" t="s">
        <v>903</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8" t="s">
        <v>853</v>
      </c>
      <c r="B36" s="111" t="s">
        <v>904</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8" t="s">
        <v>854</v>
      </c>
      <c r="B37" s="111" t="s">
        <v>905</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8" t="s">
        <v>854</v>
      </c>
      <c r="B38" s="111" t="s">
        <v>906</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8"/>
      <c r="B39" s="111" t="s">
        <v>907</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3040</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8" t="s">
        <v>114</v>
      </c>
      <c r="B42" s="111" t="s">
        <v>916</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8" t="s">
        <v>115</v>
      </c>
      <c r="B43" s="111" t="s">
        <v>917</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8"/>
      <c r="B44" s="111" t="s">
        <v>918</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8" t="s">
        <v>114</v>
      </c>
      <c r="B45" s="111" t="s">
        <v>919</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8" t="s">
        <v>112</v>
      </c>
      <c r="B46" s="111" t="s">
        <v>920</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8" t="s">
        <v>112</v>
      </c>
      <c r="B47" s="111" t="s">
        <v>921</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8" t="s">
        <v>112</v>
      </c>
      <c r="B48" s="111" t="s">
        <v>922</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8" t="s">
        <v>116</v>
      </c>
      <c r="B49" s="111" t="s">
        <v>923</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8" t="s">
        <v>116</v>
      </c>
      <c r="B50" s="111" t="s">
        <v>924</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8" t="s">
        <v>115</v>
      </c>
      <c r="B51" s="111" t="s">
        <v>925</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8" t="s">
        <v>114</v>
      </c>
      <c r="B52" s="111" t="s">
        <v>926</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8" t="s">
        <v>113</v>
      </c>
      <c r="B53" s="111" t="s">
        <v>927</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8" t="s">
        <v>113</v>
      </c>
      <c r="B54" s="111" t="s">
        <v>928</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8" t="s">
        <v>853</v>
      </c>
      <c r="B55" s="111" t="s">
        <v>929</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8" t="s">
        <v>853</v>
      </c>
      <c r="B56" s="111" t="s">
        <v>930</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8" t="s">
        <v>854</v>
      </c>
      <c r="B57" s="111" t="s">
        <v>931</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8" t="s">
        <v>854</v>
      </c>
      <c r="B58" s="111" t="s">
        <v>932</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8"/>
      <c r="B59" s="111" t="s">
        <v>933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8"/>
      <c r="B60" s="111" t="s">
        <v>934</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8"/>
      <c r="B61" s="111" t="s">
        <v>936</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8" t="s">
        <v>114</v>
      </c>
      <c r="B62" s="111" t="s">
        <v>938</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8" t="s">
        <v>115</v>
      </c>
      <c r="B63" s="111" t="s">
        <v>939</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8"/>
      <c r="B64" s="111" t="s">
        <v>940</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8" t="s">
        <v>114</v>
      </c>
      <c r="B65" s="111" t="s">
        <v>941</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8" t="s">
        <v>112</v>
      </c>
      <c r="B66" s="111" t="s">
        <v>942</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8" t="s">
        <v>112</v>
      </c>
      <c r="B67" s="111" t="s">
        <v>943</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8" t="s">
        <v>112</v>
      </c>
      <c r="B68" s="111" t="s">
        <v>944</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8" t="s">
        <v>116</v>
      </c>
      <c r="B69" s="111" t="s">
        <v>945</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8" t="s">
        <v>116</v>
      </c>
      <c r="B70" s="111" t="s">
        <v>946</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8" t="s">
        <v>115</v>
      </c>
      <c r="B71" s="111" t="s">
        <v>947</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8" t="s">
        <v>114</v>
      </c>
      <c r="B72" s="111" t="s">
        <v>948</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8" t="s">
        <v>113</v>
      </c>
      <c r="B73" s="111" t="s">
        <v>949</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8" t="s">
        <v>113</v>
      </c>
      <c r="B74" s="111" t="s">
        <v>950</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8" t="s">
        <v>853</v>
      </c>
      <c r="B75" s="111" t="s">
        <v>951</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8" t="s">
        <v>853</v>
      </c>
      <c r="B76" s="111" t="s">
        <v>952</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8" t="s">
        <v>854</v>
      </c>
      <c r="B77" s="111" t="s">
        <v>953</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8" t="s">
        <v>854</v>
      </c>
      <c r="B78" s="111" t="s">
        <v>954</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8"/>
      <c r="B79" s="111" t="s">
        <v>955</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3.5">
      <c r="A81" s="6" t="s">
        <v>3041</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8" t="s">
        <v>114</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8" t="s">
        <v>115</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8"/>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8" t="s">
        <v>114</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8" t="s">
        <v>112</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8" t="s">
        <v>112</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8" t="s">
        <v>112</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8" t="s">
        <v>116</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8" t="s">
        <v>116</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8" t="s">
        <v>115</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8" t="s">
        <v>114</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8" t="s">
        <v>113</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8" t="s">
        <v>113</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8" t="s">
        <v>853</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8" t="s">
        <v>853</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8" t="s">
        <v>854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8" t="s">
        <v>854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8"/>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8"/>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8"/>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8" t="s">
        <v>114</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8" t="s">
        <v>115</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8"/>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8" t="s">
        <v>114</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8" t="s">
        <v>112</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8" t="s">
        <v>112</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8" t="s">
        <v>112</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8" t="s">
        <v>116</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8" t="s">
        <v>116</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8" t="s">
        <v>115</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8" t="s">
        <v>114</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8" t="s">
        <v>113</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8" t="s">
        <v>113</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8" t="s">
        <v>853</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8" t="s">
        <v>853</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8" t="s">
        <v>854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8" t="s">
        <v>854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8"/>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row r="120" spans="1:32">
      <c r="D120"/>
    </row>
    <row r="121" spans="1:32">
      <c r="D121"/>
    </row>
    <row r="122" spans="1:32">
      <c r="D122"/>
    </row>
    <row r="123" spans="1:32">
      <c r="D123"/>
    </row>
    <row r="124" spans="1:32">
      <c r="D124"/>
    </row>
    <row r="125" spans="1:32">
      <c r="D125"/>
    </row>
    <row r="126" spans="1:32">
      <c r="D126"/>
    </row>
    <row r="127" spans="1:32">
      <c r="D127"/>
    </row>
    <row r="128" spans="1:32">
      <c r="D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5"/>
  <cols>
    <col min="1" max="1" width="41.7265625" style="85" customWidth="1"/>
    <col min="2" max="32" width="8.81640625" style="85" hidden="1" customWidth="1"/>
    <col min="33" max="35" width="8.81640625" style="85" bestFit="1" customWidth="1"/>
    <col min="36" max="37" width="8.81640625" style="85" customWidth="1"/>
    <col min="38" max="245" width="9.08984375" style="85"/>
    <col min="246" max="246" width="37.7265625" style="85" customWidth="1"/>
    <col min="247" max="273" width="12.08984375" style="85" customWidth="1"/>
    <col min="274" max="274" width="12.7265625" style="85" customWidth="1"/>
    <col min="275" max="276" width="9.08984375" style="85"/>
    <col min="277" max="278" width="13.36328125" style="85" customWidth="1"/>
    <col min="279" max="279" width="13.81640625" style="85" customWidth="1"/>
    <col min="280" max="501" width="9.08984375" style="85"/>
    <col min="502" max="502" width="37.7265625" style="85" customWidth="1"/>
    <col min="503" max="529" width="12.08984375" style="85" customWidth="1"/>
    <col min="530" max="530" width="12.7265625" style="85" customWidth="1"/>
    <col min="531" max="532" width="9.08984375" style="85"/>
    <col min="533" max="534" width="13.36328125" style="85" customWidth="1"/>
    <col min="535" max="535" width="13.81640625" style="85" customWidth="1"/>
    <col min="536" max="757" width="9.08984375" style="85"/>
    <col min="758" max="758" width="37.7265625" style="85" customWidth="1"/>
    <col min="759" max="785" width="12.08984375" style="85" customWidth="1"/>
    <col min="786" max="786" width="12.7265625" style="85" customWidth="1"/>
    <col min="787" max="788" width="9.08984375" style="85"/>
    <col min="789" max="790" width="13.36328125" style="85" customWidth="1"/>
    <col min="791" max="791" width="13.81640625" style="85" customWidth="1"/>
    <col min="792" max="1013" width="9.08984375" style="85"/>
    <col min="1014" max="1014" width="37.7265625" style="85" customWidth="1"/>
    <col min="1015" max="1041" width="12.08984375" style="85" customWidth="1"/>
    <col min="1042" max="1042" width="12.7265625" style="85" customWidth="1"/>
    <col min="1043" max="1044" width="9.08984375" style="85"/>
    <col min="1045" max="1046" width="13.36328125" style="85" customWidth="1"/>
    <col min="1047" max="1047" width="13.81640625" style="85" customWidth="1"/>
    <col min="1048" max="1269" width="9.08984375" style="85"/>
    <col min="1270" max="1270" width="37.7265625" style="85" customWidth="1"/>
    <col min="1271" max="1297" width="12.08984375" style="85" customWidth="1"/>
    <col min="1298" max="1298" width="12.7265625" style="85" customWidth="1"/>
    <col min="1299" max="1300" width="9.08984375" style="85"/>
    <col min="1301" max="1302" width="13.36328125" style="85" customWidth="1"/>
    <col min="1303" max="1303" width="13.81640625" style="85" customWidth="1"/>
    <col min="1304" max="1525" width="9.08984375" style="85"/>
    <col min="1526" max="1526" width="37.7265625" style="85" customWidth="1"/>
    <col min="1527" max="1553" width="12.08984375" style="85" customWidth="1"/>
    <col min="1554" max="1554" width="12.7265625" style="85" customWidth="1"/>
    <col min="1555" max="1556" width="9.08984375" style="85"/>
    <col min="1557" max="1558" width="13.36328125" style="85" customWidth="1"/>
    <col min="1559" max="1559" width="13.81640625" style="85" customWidth="1"/>
    <col min="1560" max="1781" width="9.08984375" style="85"/>
    <col min="1782" max="1782" width="37.7265625" style="85" customWidth="1"/>
    <col min="1783" max="1809" width="12.08984375" style="85" customWidth="1"/>
    <col min="1810" max="1810" width="12.7265625" style="85" customWidth="1"/>
    <col min="1811" max="1812" width="9.08984375" style="85"/>
    <col min="1813" max="1814" width="13.36328125" style="85" customWidth="1"/>
    <col min="1815" max="1815" width="13.81640625" style="85" customWidth="1"/>
    <col min="1816" max="2037" width="9.08984375" style="85"/>
    <col min="2038" max="2038" width="37.7265625" style="85" customWidth="1"/>
    <col min="2039" max="2065" width="12.08984375" style="85" customWidth="1"/>
    <col min="2066" max="2066" width="12.7265625" style="85" customWidth="1"/>
    <col min="2067" max="2068" width="9.08984375" style="85"/>
    <col min="2069" max="2070" width="13.36328125" style="85" customWidth="1"/>
    <col min="2071" max="2071" width="13.81640625" style="85" customWidth="1"/>
    <col min="2072" max="2293" width="9.08984375" style="85"/>
    <col min="2294" max="2294" width="37.7265625" style="85" customWidth="1"/>
    <col min="2295" max="2321" width="12.08984375" style="85" customWidth="1"/>
    <col min="2322" max="2322" width="12.7265625" style="85" customWidth="1"/>
    <col min="2323" max="2324" width="9.08984375" style="85"/>
    <col min="2325" max="2326" width="13.36328125" style="85" customWidth="1"/>
    <col min="2327" max="2327" width="13.81640625" style="85" customWidth="1"/>
    <col min="2328" max="2549" width="9.08984375" style="85"/>
    <col min="2550" max="2550" width="37.7265625" style="85" customWidth="1"/>
    <col min="2551" max="2577" width="12.08984375" style="85" customWidth="1"/>
    <col min="2578" max="2578" width="12.7265625" style="85" customWidth="1"/>
    <col min="2579" max="2580" width="9.08984375" style="85"/>
    <col min="2581" max="2582" width="13.36328125" style="85" customWidth="1"/>
    <col min="2583" max="2583" width="13.81640625" style="85" customWidth="1"/>
    <col min="2584" max="2805" width="9.08984375" style="85"/>
    <col min="2806" max="2806" width="37.7265625" style="85" customWidth="1"/>
    <col min="2807" max="2833" width="12.08984375" style="85" customWidth="1"/>
    <col min="2834" max="2834" width="12.7265625" style="85" customWidth="1"/>
    <col min="2835" max="2836" width="9.08984375" style="85"/>
    <col min="2837" max="2838" width="13.36328125" style="85" customWidth="1"/>
    <col min="2839" max="2839" width="13.81640625" style="85" customWidth="1"/>
    <col min="2840" max="3061" width="9.08984375" style="85"/>
    <col min="3062" max="3062" width="37.7265625" style="85" customWidth="1"/>
    <col min="3063" max="3089" width="12.08984375" style="85" customWidth="1"/>
    <col min="3090" max="3090" width="12.7265625" style="85" customWidth="1"/>
    <col min="3091" max="3092" width="9.08984375" style="85"/>
    <col min="3093" max="3094" width="13.36328125" style="85" customWidth="1"/>
    <col min="3095" max="3095" width="13.81640625" style="85" customWidth="1"/>
    <col min="3096" max="3317" width="9.08984375" style="85"/>
    <col min="3318" max="3318" width="37.7265625" style="85" customWidth="1"/>
    <col min="3319" max="3345" width="12.08984375" style="85" customWidth="1"/>
    <col min="3346" max="3346" width="12.7265625" style="85" customWidth="1"/>
    <col min="3347" max="3348" width="9.08984375" style="85"/>
    <col min="3349" max="3350" width="13.36328125" style="85" customWidth="1"/>
    <col min="3351" max="3351" width="13.81640625" style="85" customWidth="1"/>
    <col min="3352" max="3573" width="9.08984375" style="85"/>
    <col min="3574" max="3574" width="37.7265625" style="85" customWidth="1"/>
    <col min="3575" max="3601" width="12.08984375" style="85" customWidth="1"/>
    <col min="3602" max="3602" width="12.7265625" style="85" customWidth="1"/>
    <col min="3603" max="3604" width="9.08984375" style="85"/>
    <col min="3605" max="3606" width="13.36328125" style="85" customWidth="1"/>
    <col min="3607" max="3607" width="13.81640625" style="85" customWidth="1"/>
    <col min="3608" max="3829" width="9.08984375" style="85"/>
    <col min="3830" max="3830" width="37.7265625" style="85" customWidth="1"/>
    <col min="3831" max="3857" width="12.08984375" style="85" customWidth="1"/>
    <col min="3858" max="3858" width="12.7265625" style="85" customWidth="1"/>
    <col min="3859" max="3860" width="9.08984375" style="85"/>
    <col min="3861" max="3862" width="13.36328125" style="85" customWidth="1"/>
    <col min="3863" max="3863" width="13.81640625" style="85" customWidth="1"/>
    <col min="3864" max="4085" width="9.08984375" style="85"/>
    <col min="4086" max="4086" width="37.7265625" style="85" customWidth="1"/>
    <col min="4087" max="4113" width="12.08984375" style="85" customWidth="1"/>
    <col min="4114" max="4114" width="12.7265625" style="85" customWidth="1"/>
    <col min="4115" max="4116" width="9.08984375" style="85"/>
    <col min="4117" max="4118" width="13.36328125" style="85" customWidth="1"/>
    <col min="4119" max="4119" width="13.81640625" style="85" customWidth="1"/>
    <col min="4120" max="4341" width="9.08984375" style="85"/>
    <col min="4342" max="4342" width="37.7265625" style="85" customWidth="1"/>
    <col min="4343" max="4369" width="12.08984375" style="85" customWidth="1"/>
    <col min="4370" max="4370" width="12.7265625" style="85" customWidth="1"/>
    <col min="4371" max="4372" width="9.08984375" style="85"/>
    <col min="4373" max="4374" width="13.36328125" style="85" customWidth="1"/>
    <col min="4375" max="4375" width="13.81640625" style="85" customWidth="1"/>
    <col min="4376" max="4597" width="9.08984375" style="85"/>
    <col min="4598" max="4598" width="37.7265625" style="85" customWidth="1"/>
    <col min="4599" max="4625" width="12.08984375" style="85" customWidth="1"/>
    <col min="4626" max="4626" width="12.7265625" style="85" customWidth="1"/>
    <col min="4627" max="4628" width="9.08984375" style="85"/>
    <col min="4629" max="4630" width="13.36328125" style="85" customWidth="1"/>
    <col min="4631" max="4631" width="13.81640625" style="85" customWidth="1"/>
    <col min="4632" max="4853" width="9.08984375" style="85"/>
    <col min="4854" max="4854" width="37.7265625" style="85" customWidth="1"/>
    <col min="4855" max="4881" width="12.08984375" style="85" customWidth="1"/>
    <col min="4882" max="4882" width="12.7265625" style="85" customWidth="1"/>
    <col min="4883" max="4884" width="9.08984375" style="85"/>
    <col min="4885" max="4886" width="13.36328125" style="85" customWidth="1"/>
    <col min="4887" max="4887" width="13.81640625" style="85" customWidth="1"/>
    <col min="4888" max="5109" width="9.08984375" style="85"/>
    <col min="5110" max="5110" width="37.7265625" style="85" customWidth="1"/>
    <col min="5111" max="5137" width="12.08984375" style="85" customWidth="1"/>
    <col min="5138" max="5138" width="12.7265625" style="85" customWidth="1"/>
    <col min="5139" max="5140" width="9.08984375" style="85"/>
    <col min="5141" max="5142" width="13.36328125" style="85" customWidth="1"/>
    <col min="5143" max="5143" width="13.81640625" style="85" customWidth="1"/>
    <col min="5144" max="5365" width="9.08984375" style="85"/>
    <col min="5366" max="5366" width="37.7265625" style="85" customWidth="1"/>
    <col min="5367" max="5393" width="12.08984375" style="85" customWidth="1"/>
    <col min="5394" max="5394" width="12.7265625" style="85" customWidth="1"/>
    <col min="5395" max="5396" width="9.08984375" style="85"/>
    <col min="5397" max="5398" width="13.36328125" style="85" customWidth="1"/>
    <col min="5399" max="5399" width="13.81640625" style="85" customWidth="1"/>
    <col min="5400" max="5621" width="9.08984375" style="85"/>
    <col min="5622" max="5622" width="37.7265625" style="85" customWidth="1"/>
    <col min="5623" max="5649" width="12.08984375" style="85" customWidth="1"/>
    <col min="5650" max="5650" width="12.7265625" style="85" customWidth="1"/>
    <col min="5651" max="5652" width="9.08984375" style="85"/>
    <col min="5653" max="5654" width="13.36328125" style="85" customWidth="1"/>
    <col min="5655" max="5655" width="13.81640625" style="85" customWidth="1"/>
    <col min="5656" max="5877" width="9.08984375" style="85"/>
    <col min="5878" max="5878" width="37.7265625" style="85" customWidth="1"/>
    <col min="5879" max="5905" width="12.08984375" style="85" customWidth="1"/>
    <col min="5906" max="5906" width="12.7265625" style="85" customWidth="1"/>
    <col min="5907" max="5908" width="9.08984375" style="85"/>
    <col min="5909" max="5910" width="13.36328125" style="85" customWidth="1"/>
    <col min="5911" max="5911" width="13.81640625" style="85" customWidth="1"/>
    <col min="5912" max="6133" width="9.08984375" style="85"/>
    <col min="6134" max="6134" width="37.7265625" style="85" customWidth="1"/>
    <col min="6135" max="6161" width="12.08984375" style="85" customWidth="1"/>
    <col min="6162" max="6162" width="12.7265625" style="85" customWidth="1"/>
    <col min="6163" max="6164" width="9.08984375" style="85"/>
    <col min="6165" max="6166" width="13.36328125" style="85" customWidth="1"/>
    <col min="6167" max="6167" width="13.81640625" style="85" customWidth="1"/>
    <col min="6168" max="6389" width="9.08984375" style="85"/>
    <col min="6390" max="6390" width="37.7265625" style="85" customWidth="1"/>
    <col min="6391" max="6417" width="12.08984375" style="85" customWidth="1"/>
    <col min="6418" max="6418" width="12.7265625" style="85" customWidth="1"/>
    <col min="6419" max="6420" width="9.08984375" style="85"/>
    <col min="6421" max="6422" width="13.36328125" style="85" customWidth="1"/>
    <col min="6423" max="6423" width="13.81640625" style="85" customWidth="1"/>
    <col min="6424" max="6645" width="9.08984375" style="85"/>
    <col min="6646" max="6646" width="37.7265625" style="85" customWidth="1"/>
    <col min="6647" max="6673" width="12.08984375" style="85" customWidth="1"/>
    <col min="6674" max="6674" width="12.7265625" style="85" customWidth="1"/>
    <col min="6675" max="6676" width="9.08984375" style="85"/>
    <col min="6677" max="6678" width="13.36328125" style="85" customWidth="1"/>
    <col min="6679" max="6679" width="13.81640625" style="85" customWidth="1"/>
    <col min="6680" max="6901" width="9.08984375" style="85"/>
    <col min="6902" max="6902" width="37.7265625" style="85" customWidth="1"/>
    <col min="6903" max="6929" width="12.08984375" style="85" customWidth="1"/>
    <col min="6930" max="6930" width="12.7265625" style="85" customWidth="1"/>
    <col min="6931" max="6932" width="9.08984375" style="85"/>
    <col min="6933" max="6934" width="13.36328125" style="85" customWidth="1"/>
    <col min="6935" max="6935" width="13.81640625" style="85" customWidth="1"/>
    <col min="6936" max="7157" width="9.08984375" style="85"/>
    <col min="7158" max="7158" width="37.7265625" style="85" customWidth="1"/>
    <col min="7159" max="7185" width="12.08984375" style="85" customWidth="1"/>
    <col min="7186" max="7186" width="12.7265625" style="85" customWidth="1"/>
    <col min="7187" max="7188" width="9.08984375" style="85"/>
    <col min="7189" max="7190" width="13.36328125" style="85" customWidth="1"/>
    <col min="7191" max="7191" width="13.81640625" style="85" customWidth="1"/>
    <col min="7192" max="7413" width="9.08984375" style="85"/>
    <col min="7414" max="7414" width="37.7265625" style="85" customWidth="1"/>
    <col min="7415" max="7441" width="12.08984375" style="85" customWidth="1"/>
    <col min="7442" max="7442" width="12.7265625" style="85" customWidth="1"/>
    <col min="7443" max="7444" width="9.08984375" style="85"/>
    <col min="7445" max="7446" width="13.36328125" style="85" customWidth="1"/>
    <col min="7447" max="7447" width="13.81640625" style="85" customWidth="1"/>
    <col min="7448" max="7669" width="9.08984375" style="85"/>
    <col min="7670" max="7670" width="37.7265625" style="85" customWidth="1"/>
    <col min="7671" max="7697" width="12.08984375" style="85" customWidth="1"/>
    <col min="7698" max="7698" width="12.7265625" style="85" customWidth="1"/>
    <col min="7699" max="7700" width="9.08984375" style="85"/>
    <col min="7701" max="7702" width="13.36328125" style="85" customWidth="1"/>
    <col min="7703" max="7703" width="13.81640625" style="85" customWidth="1"/>
    <col min="7704" max="7925" width="9.08984375" style="85"/>
    <col min="7926" max="7926" width="37.7265625" style="85" customWidth="1"/>
    <col min="7927" max="7953" width="12.08984375" style="85" customWidth="1"/>
    <col min="7954" max="7954" width="12.7265625" style="85" customWidth="1"/>
    <col min="7955" max="7956" width="9.08984375" style="85"/>
    <col min="7957" max="7958" width="13.36328125" style="85" customWidth="1"/>
    <col min="7959" max="7959" width="13.81640625" style="85" customWidth="1"/>
    <col min="7960" max="8181" width="9.08984375" style="85"/>
    <col min="8182" max="8182" width="37.7265625" style="85" customWidth="1"/>
    <col min="8183" max="8209" width="12.08984375" style="85" customWidth="1"/>
    <col min="8210" max="8210" width="12.7265625" style="85" customWidth="1"/>
    <col min="8211" max="8212" width="9.08984375" style="85"/>
    <col min="8213" max="8214" width="13.36328125" style="85" customWidth="1"/>
    <col min="8215" max="8215" width="13.81640625" style="85" customWidth="1"/>
    <col min="8216" max="8437" width="9.08984375" style="85"/>
    <col min="8438" max="8438" width="37.7265625" style="85" customWidth="1"/>
    <col min="8439" max="8465" width="12.08984375" style="85" customWidth="1"/>
    <col min="8466" max="8466" width="12.7265625" style="85" customWidth="1"/>
    <col min="8467" max="8468" width="9.08984375" style="85"/>
    <col min="8469" max="8470" width="13.36328125" style="85" customWidth="1"/>
    <col min="8471" max="8471" width="13.81640625" style="85" customWidth="1"/>
    <col min="8472" max="8693" width="9.08984375" style="85"/>
    <col min="8694" max="8694" width="37.7265625" style="85" customWidth="1"/>
    <col min="8695" max="8721" width="12.08984375" style="85" customWidth="1"/>
    <col min="8722" max="8722" width="12.7265625" style="85" customWidth="1"/>
    <col min="8723" max="8724" width="9.08984375" style="85"/>
    <col min="8725" max="8726" width="13.36328125" style="85" customWidth="1"/>
    <col min="8727" max="8727" width="13.81640625" style="85" customWidth="1"/>
    <col min="8728" max="8949" width="9.08984375" style="85"/>
    <col min="8950" max="8950" width="37.7265625" style="85" customWidth="1"/>
    <col min="8951" max="8977" width="12.08984375" style="85" customWidth="1"/>
    <col min="8978" max="8978" width="12.7265625" style="85" customWidth="1"/>
    <col min="8979" max="8980" width="9.08984375" style="85"/>
    <col min="8981" max="8982" width="13.36328125" style="85" customWidth="1"/>
    <col min="8983" max="8983" width="13.81640625" style="85" customWidth="1"/>
    <col min="8984" max="9205" width="9.08984375" style="85"/>
    <col min="9206" max="9206" width="37.7265625" style="85" customWidth="1"/>
    <col min="9207" max="9233" width="12.08984375" style="85" customWidth="1"/>
    <col min="9234" max="9234" width="12.7265625" style="85" customWidth="1"/>
    <col min="9235" max="9236" width="9.08984375" style="85"/>
    <col min="9237" max="9238" width="13.36328125" style="85" customWidth="1"/>
    <col min="9239" max="9239" width="13.81640625" style="85" customWidth="1"/>
    <col min="9240" max="9461" width="9.08984375" style="85"/>
    <col min="9462" max="9462" width="37.7265625" style="85" customWidth="1"/>
    <col min="9463" max="9489" width="12.08984375" style="85" customWidth="1"/>
    <col min="9490" max="9490" width="12.7265625" style="85" customWidth="1"/>
    <col min="9491" max="9492" width="9.08984375" style="85"/>
    <col min="9493" max="9494" width="13.36328125" style="85" customWidth="1"/>
    <col min="9495" max="9495" width="13.81640625" style="85" customWidth="1"/>
    <col min="9496" max="9717" width="9.08984375" style="85"/>
    <col min="9718" max="9718" width="37.7265625" style="85" customWidth="1"/>
    <col min="9719" max="9745" width="12.08984375" style="85" customWidth="1"/>
    <col min="9746" max="9746" width="12.7265625" style="85" customWidth="1"/>
    <col min="9747" max="9748" width="9.08984375" style="85"/>
    <col min="9749" max="9750" width="13.36328125" style="85" customWidth="1"/>
    <col min="9751" max="9751" width="13.81640625" style="85" customWidth="1"/>
    <col min="9752" max="9973" width="9.08984375" style="85"/>
    <col min="9974" max="9974" width="37.7265625" style="85" customWidth="1"/>
    <col min="9975" max="10001" width="12.08984375" style="85" customWidth="1"/>
    <col min="10002" max="10002" width="12.7265625" style="85" customWidth="1"/>
    <col min="10003" max="10004" width="9.08984375" style="85"/>
    <col min="10005" max="10006" width="13.36328125" style="85" customWidth="1"/>
    <col min="10007" max="10007" width="13.81640625" style="85" customWidth="1"/>
    <col min="10008" max="10229" width="9.08984375" style="85"/>
    <col min="10230" max="10230" width="37.7265625" style="85" customWidth="1"/>
    <col min="10231" max="10257" width="12.08984375" style="85" customWidth="1"/>
    <col min="10258" max="10258" width="12.7265625" style="85" customWidth="1"/>
    <col min="10259" max="10260" width="9.08984375" style="85"/>
    <col min="10261" max="10262" width="13.36328125" style="85" customWidth="1"/>
    <col min="10263" max="10263" width="13.81640625" style="85" customWidth="1"/>
    <col min="10264" max="10485" width="9.08984375" style="85"/>
    <col min="10486" max="10486" width="37.7265625" style="85" customWidth="1"/>
    <col min="10487" max="10513" width="12.08984375" style="85" customWidth="1"/>
    <col min="10514" max="10514" width="12.7265625" style="85" customWidth="1"/>
    <col min="10515" max="10516" width="9.08984375" style="85"/>
    <col min="10517" max="10518" width="13.36328125" style="85" customWidth="1"/>
    <col min="10519" max="10519" width="13.81640625" style="85" customWidth="1"/>
    <col min="10520" max="10741" width="9.08984375" style="85"/>
    <col min="10742" max="10742" width="37.7265625" style="85" customWidth="1"/>
    <col min="10743" max="10769" width="12.08984375" style="85" customWidth="1"/>
    <col min="10770" max="10770" width="12.7265625" style="85" customWidth="1"/>
    <col min="10771" max="10772" width="9.08984375" style="85"/>
    <col min="10773" max="10774" width="13.36328125" style="85" customWidth="1"/>
    <col min="10775" max="10775" width="13.81640625" style="85" customWidth="1"/>
    <col min="10776" max="10997" width="9.08984375" style="85"/>
    <col min="10998" max="10998" width="37.7265625" style="85" customWidth="1"/>
    <col min="10999" max="11025" width="12.08984375" style="85" customWidth="1"/>
    <col min="11026" max="11026" width="12.7265625" style="85" customWidth="1"/>
    <col min="11027" max="11028" width="9.08984375" style="85"/>
    <col min="11029" max="11030" width="13.36328125" style="85" customWidth="1"/>
    <col min="11031" max="11031" width="13.81640625" style="85" customWidth="1"/>
    <col min="11032" max="11253" width="9.08984375" style="85"/>
    <col min="11254" max="11254" width="37.7265625" style="85" customWidth="1"/>
    <col min="11255" max="11281" width="12.08984375" style="85" customWidth="1"/>
    <col min="11282" max="11282" width="12.7265625" style="85" customWidth="1"/>
    <col min="11283" max="11284" width="9.08984375" style="85"/>
    <col min="11285" max="11286" width="13.36328125" style="85" customWidth="1"/>
    <col min="11287" max="11287" width="13.81640625" style="85" customWidth="1"/>
    <col min="11288" max="11509" width="9.08984375" style="85"/>
    <col min="11510" max="11510" width="37.7265625" style="85" customWidth="1"/>
    <col min="11511" max="11537" width="12.08984375" style="85" customWidth="1"/>
    <col min="11538" max="11538" width="12.7265625" style="85" customWidth="1"/>
    <col min="11539" max="11540" width="9.08984375" style="85"/>
    <col min="11541" max="11542" width="13.36328125" style="85" customWidth="1"/>
    <col min="11543" max="11543" width="13.81640625" style="85" customWidth="1"/>
    <col min="11544" max="11765" width="9.08984375" style="85"/>
    <col min="11766" max="11766" width="37.7265625" style="85" customWidth="1"/>
    <col min="11767" max="11793" width="12.08984375" style="85" customWidth="1"/>
    <col min="11794" max="11794" width="12.7265625" style="85" customWidth="1"/>
    <col min="11795" max="11796" width="9.08984375" style="85"/>
    <col min="11797" max="11798" width="13.36328125" style="85" customWidth="1"/>
    <col min="11799" max="11799" width="13.81640625" style="85" customWidth="1"/>
    <col min="11800" max="12021" width="9.08984375" style="85"/>
    <col min="12022" max="12022" width="37.7265625" style="85" customWidth="1"/>
    <col min="12023" max="12049" width="12.08984375" style="85" customWidth="1"/>
    <col min="12050" max="12050" width="12.7265625" style="85" customWidth="1"/>
    <col min="12051" max="12052" width="9.08984375" style="85"/>
    <col min="12053" max="12054" width="13.36328125" style="85" customWidth="1"/>
    <col min="12055" max="12055" width="13.81640625" style="85" customWidth="1"/>
    <col min="12056" max="12277" width="9.08984375" style="85"/>
    <col min="12278" max="12278" width="37.7265625" style="85" customWidth="1"/>
    <col min="12279" max="12305" width="12.08984375" style="85" customWidth="1"/>
    <col min="12306" max="12306" width="12.7265625" style="85" customWidth="1"/>
    <col min="12307" max="12308" width="9.08984375" style="85"/>
    <col min="12309" max="12310" width="13.36328125" style="85" customWidth="1"/>
    <col min="12311" max="12311" width="13.81640625" style="85" customWidth="1"/>
    <col min="12312" max="12533" width="9.08984375" style="85"/>
    <col min="12534" max="12534" width="37.7265625" style="85" customWidth="1"/>
    <col min="12535" max="12561" width="12.08984375" style="85" customWidth="1"/>
    <col min="12562" max="12562" width="12.7265625" style="85" customWidth="1"/>
    <col min="12563" max="12564" width="9.08984375" style="85"/>
    <col min="12565" max="12566" width="13.36328125" style="85" customWidth="1"/>
    <col min="12567" max="12567" width="13.81640625" style="85" customWidth="1"/>
    <col min="12568" max="12789" width="9.08984375" style="85"/>
    <col min="12790" max="12790" width="37.7265625" style="85" customWidth="1"/>
    <col min="12791" max="12817" width="12.08984375" style="85" customWidth="1"/>
    <col min="12818" max="12818" width="12.7265625" style="85" customWidth="1"/>
    <col min="12819" max="12820" width="9.08984375" style="85"/>
    <col min="12821" max="12822" width="13.36328125" style="85" customWidth="1"/>
    <col min="12823" max="12823" width="13.81640625" style="85" customWidth="1"/>
    <col min="12824" max="13045" width="9.08984375" style="85"/>
    <col min="13046" max="13046" width="37.7265625" style="85" customWidth="1"/>
    <col min="13047" max="13073" width="12.08984375" style="85" customWidth="1"/>
    <col min="13074" max="13074" width="12.7265625" style="85" customWidth="1"/>
    <col min="13075" max="13076" width="9.08984375" style="85"/>
    <col min="13077" max="13078" width="13.36328125" style="85" customWidth="1"/>
    <col min="13079" max="13079" width="13.81640625" style="85" customWidth="1"/>
    <col min="13080" max="13301" width="9.08984375" style="85"/>
    <col min="13302" max="13302" width="37.7265625" style="85" customWidth="1"/>
    <col min="13303" max="13329" width="12.08984375" style="85" customWidth="1"/>
    <col min="13330" max="13330" width="12.7265625" style="85" customWidth="1"/>
    <col min="13331" max="13332" width="9.08984375" style="85"/>
    <col min="13333" max="13334" width="13.36328125" style="85" customWidth="1"/>
    <col min="13335" max="13335" width="13.81640625" style="85" customWidth="1"/>
    <col min="13336" max="13557" width="9.08984375" style="85"/>
    <col min="13558" max="13558" width="37.7265625" style="85" customWidth="1"/>
    <col min="13559" max="13585" width="12.08984375" style="85" customWidth="1"/>
    <col min="13586" max="13586" width="12.7265625" style="85" customWidth="1"/>
    <col min="13587" max="13588" width="9.08984375" style="85"/>
    <col min="13589" max="13590" width="13.36328125" style="85" customWidth="1"/>
    <col min="13591" max="13591" width="13.81640625" style="85" customWidth="1"/>
    <col min="13592" max="13813" width="9.08984375" style="85"/>
    <col min="13814" max="13814" width="37.7265625" style="85" customWidth="1"/>
    <col min="13815" max="13841" width="12.08984375" style="85" customWidth="1"/>
    <col min="13842" max="13842" width="12.7265625" style="85" customWidth="1"/>
    <col min="13843" max="13844" width="9.08984375" style="85"/>
    <col min="13845" max="13846" width="13.36328125" style="85" customWidth="1"/>
    <col min="13847" max="13847" width="13.81640625" style="85" customWidth="1"/>
    <col min="13848" max="14069" width="9.08984375" style="85"/>
    <col min="14070" max="14070" width="37.7265625" style="85" customWidth="1"/>
    <col min="14071" max="14097" width="12.08984375" style="85" customWidth="1"/>
    <col min="14098" max="14098" width="12.7265625" style="85" customWidth="1"/>
    <col min="14099" max="14100" width="9.08984375" style="85"/>
    <col min="14101" max="14102" width="13.36328125" style="85" customWidth="1"/>
    <col min="14103" max="14103" width="13.81640625" style="85" customWidth="1"/>
    <col min="14104" max="14325" width="9.08984375" style="85"/>
    <col min="14326" max="14326" width="37.7265625" style="85" customWidth="1"/>
    <col min="14327" max="14353" width="12.08984375" style="85" customWidth="1"/>
    <col min="14354" max="14354" width="12.7265625" style="85" customWidth="1"/>
    <col min="14355" max="14356" width="9.08984375" style="85"/>
    <col min="14357" max="14358" width="13.36328125" style="85" customWidth="1"/>
    <col min="14359" max="14359" width="13.81640625" style="85" customWidth="1"/>
    <col min="14360" max="14581" width="9.08984375" style="85"/>
    <col min="14582" max="14582" width="37.7265625" style="85" customWidth="1"/>
    <col min="14583" max="14609" width="12.08984375" style="85" customWidth="1"/>
    <col min="14610" max="14610" width="12.7265625" style="85" customWidth="1"/>
    <col min="14611" max="14612" width="9.08984375" style="85"/>
    <col min="14613" max="14614" width="13.36328125" style="85" customWidth="1"/>
    <col min="14615" max="14615" width="13.81640625" style="85" customWidth="1"/>
    <col min="14616" max="14837" width="9.08984375" style="85"/>
    <col min="14838" max="14838" width="37.7265625" style="85" customWidth="1"/>
    <col min="14839" max="14865" width="12.08984375" style="85" customWidth="1"/>
    <col min="14866" max="14866" width="12.7265625" style="85" customWidth="1"/>
    <col min="14867" max="14868" width="9.08984375" style="85"/>
    <col min="14869" max="14870" width="13.36328125" style="85" customWidth="1"/>
    <col min="14871" max="14871" width="13.81640625" style="85" customWidth="1"/>
    <col min="14872" max="15093" width="9.08984375" style="85"/>
    <col min="15094" max="15094" width="37.7265625" style="85" customWidth="1"/>
    <col min="15095" max="15121" width="12.08984375" style="85" customWidth="1"/>
    <col min="15122" max="15122" width="12.7265625" style="85" customWidth="1"/>
    <col min="15123" max="15124" width="9.08984375" style="85"/>
    <col min="15125" max="15126" width="13.36328125" style="85" customWidth="1"/>
    <col min="15127" max="15127" width="13.81640625" style="85" customWidth="1"/>
    <col min="15128" max="15349" width="9.08984375" style="85"/>
    <col min="15350" max="15350" width="37.7265625" style="85" customWidth="1"/>
    <col min="15351" max="15377" width="12.08984375" style="85" customWidth="1"/>
    <col min="15378" max="15378" width="12.7265625" style="85" customWidth="1"/>
    <col min="15379" max="15380" width="9.08984375" style="85"/>
    <col min="15381" max="15382" width="13.36328125" style="85" customWidth="1"/>
    <col min="15383" max="15383" width="13.81640625" style="85" customWidth="1"/>
    <col min="15384" max="15605" width="9.08984375" style="85"/>
    <col min="15606" max="15606" width="37.7265625" style="85" customWidth="1"/>
    <col min="15607" max="15633" width="12.08984375" style="85" customWidth="1"/>
    <col min="15634" max="15634" width="12.7265625" style="85" customWidth="1"/>
    <col min="15635" max="15636" width="9.08984375" style="85"/>
    <col min="15637" max="15638" width="13.36328125" style="85" customWidth="1"/>
    <col min="15639" max="15639" width="13.81640625" style="85" customWidth="1"/>
    <col min="15640" max="15861" width="9.08984375" style="85"/>
    <col min="15862" max="15862" width="37.7265625" style="85" customWidth="1"/>
    <col min="15863" max="15889" width="12.08984375" style="85" customWidth="1"/>
    <col min="15890" max="15890" width="12.7265625" style="85" customWidth="1"/>
    <col min="15891" max="15892" width="9.08984375" style="85"/>
    <col min="15893" max="15894" width="13.36328125" style="85" customWidth="1"/>
    <col min="15895" max="15895" width="13.81640625" style="85" customWidth="1"/>
    <col min="15896" max="16117" width="9.08984375" style="85"/>
    <col min="16118" max="16118" width="37.7265625" style="85" customWidth="1"/>
    <col min="16119" max="16145" width="12.08984375" style="85" customWidth="1"/>
    <col min="16146" max="16146" width="12.7265625" style="85" customWidth="1"/>
    <col min="16147" max="16148" width="9.08984375" style="85"/>
    <col min="16149" max="16150" width="13.36328125" style="85" customWidth="1"/>
    <col min="16151" max="16151" width="13.81640625" style="85" customWidth="1"/>
    <col min="16152" max="16384" width="9.08984375" style="85"/>
  </cols>
  <sheetData>
    <row r="1" spans="1:38" s="67" customFormat="1" ht="16.5" customHeight="1" thickBot="1">
      <c r="A1" s="66" t="s">
        <v>535</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534</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1120</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1121</v>
      </c>
      <c r="B5" s="79">
        <v>2300</v>
      </c>
      <c r="C5" s="77" t="s">
        <v>527</v>
      </c>
      <c r="D5" s="79">
        <v>9100</v>
      </c>
      <c r="E5" s="77" t="s">
        <v>527</v>
      </c>
      <c r="F5" s="79">
        <v>14700</v>
      </c>
      <c r="G5" s="77" t="s">
        <v>527</v>
      </c>
      <c r="H5" s="79">
        <v>13000</v>
      </c>
      <c r="I5" s="77" t="s">
        <v>527</v>
      </c>
      <c r="J5" s="77" t="s">
        <v>527</v>
      </c>
      <c r="K5" s="77" t="s">
        <v>527</v>
      </c>
      <c r="L5" s="77" t="s">
        <v>527</v>
      </c>
      <c r="M5" s="79">
        <v>10800</v>
      </c>
      <c r="N5" s="79">
        <v>12000</v>
      </c>
      <c r="O5" s="79">
        <v>12500</v>
      </c>
      <c r="P5" s="79">
        <v>13100</v>
      </c>
      <c r="Q5" s="79">
        <v>14100</v>
      </c>
      <c r="R5" s="79">
        <v>15200</v>
      </c>
      <c r="S5" s="79">
        <v>15900</v>
      </c>
      <c r="T5" s="78" t="s">
        <v>532</v>
      </c>
      <c r="U5" s="78" t="s">
        <v>532</v>
      </c>
      <c r="V5" s="78" t="s">
        <v>532</v>
      </c>
      <c r="W5" s="78" t="s">
        <v>532</v>
      </c>
      <c r="X5" s="78" t="s">
        <v>532</v>
      </c>
      <c r="Y5" s="78" t="s">
        <v>532</v>
      </c>
      <c r="Z5" s="78" t="s">
        <v>532</v>
      </c>
      <c r="AA5" s="78" t="s">
        <v>532</v>
      </c>
      <c r="AB5" s="78" t="s">
        <v>532</v>
      </c>
      <c r="AC5" s="78" t="s">
        <v>532</v>
      </c>
      <c r="AD5" s="78" t="s">
        <v>532</v>
      </c>
      <c r="AE5" s="78" t="s">
        <v>532</v>
      </c>
      <c r="AF5" s="78" t="s">
        <v>532</v>
      </c>
      <c r="AG5" s="78" t="s">
        <v>532</v>
      </c>
      <c r="AH5" s="78" t="s">
        <v>532</v>
      </c>
      <c r="AI5" s="78" t="s">
        <v>532</v>
      </c>
      <c r="AJ5" s="78" t="s">
        <v>532</v>
      </c>
      <c r="AK5" s="78" t="s">
        <v>532</v>
      </c>
    </row>
    <row r="6" spans="1:38" s="76" customFormat="1" ht="16.5" customHeight="1">
      <c r="A6" s="80" t="s">
        <v>533</v>
      </c>
      <c r="B6" s="81">
        <v>1272078.3999999999</v>
      </c>
      <c r="C6" s="81">
        <v>1555237.28</v>
      </c>
      <c r="D6" s="81">
        <v>2042002.2799999998</v>
      </c>
      <c r="E6" s="81">
        <v>2404954.4</v>
      </c>
      <c r="F6" s="81">
        <v>2653510.21</v>
      </c>
      <c r="G6" s="81">
        <v>2991120.8</v>
      </c>
      <c r="H6" s="81">
        <v>3539602.56</v>
      </c>
      <c r="I6" s="81">
        <v>3578582.4400000004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4908058.8374757655</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1122</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2685826.6531088967</v>
      </c>
      <c r="W7" s="78">
        <v>2699304.6428176584</v>
      </c>
      <c r="X7" s="78">
        <v>2671044.2305259043</v>
      </c>
      <c r="Y7" s="78">
        <v>3324977</v>
      </c>
      <c r="Z7" s="78">
        <v>3199116</v>
      </c>
      <c r="AA7" s="78">
        <v>3413875</v>
      </c>
      <c r="AB7" s="78">
        <v>3429995.6410861243</v>
      </c>
      <c r="AC7" s="78">
        <v>3464405.2296386864</v>
      </c>
      <c r="AD7" s="78">
        <v>3490438.2857423411</v>
      </c>
      <c r="AE7" s="78">
        <v>3507723.0973114655</v>
      </c>
      <c r="AF7" s="78">
        <v>3502000.6903627221</v>
      </c>
      <c r="AG7" s="78">
        <v>3628378.8815517384</v>
      </c>
      <c r="AH7" s="78">
        <v>3699794.4380078609</v>
      </c>
      <c r="AI7" s="78">
        <v>3709919.1961312541</v>
      </c>
      <c r="AJ7" s="78">
        <v>3729610.234329388</v>
      </c>
      <c r="AK7" s="78">
        <v>3765896.0121443863</v>
      </c>
    </row>
    <row r="8" spans="1:38" s="76" customFormat="1" ht="16.5" customHeight="1">
      <c r="A8" s="10" t="s">
        <v>1123</v>
      </c>
      <c r="B8" s="77" t="s">
        <v>527</v>
      </c>
      <c r="C8" s="82" t="s">
        <v>527</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11311.197996230532</v>
      </c>
      <c r="Q8" s="78">
        <v>11642.295010415633</v>
      </c>
      <c r="R8" s="78">
        <v>11515.796151175477</v>
      </c>
      <c r="S8" s="78">
        <v>11759.58</v>
      </c>
      <c r="T8" s="78">
        <v>12131.04</v>
      </c>
      <c r="U8" s="78">
        <v>12162.999800241942</v>
      </c>
      <c r="V8" s="78">
        <v>12855.361903711795</v>
      </c>
      <c r="W8" s="78">
        <v>13276.957048550581</v>
      </c>
      <c r="X8" s="78">
        <v>15302.837710775921</v>
      </c>
      <c r="Y8" s="78">
        <v>27173</v>
      </c>
      <c r="Z8" s="78">
        <v>26430</v>
      </c>
      <c r="AA8" s="78">
        <v>24162</v>
      </c>
      <c r="AB8" s="78">
        <v>21482.715623236356</v>
      </c>
      <c r="AC8" s="78">
        <v>21516.752486125952</v>
      </c>
      <c r="AD8" s="78">
        <v>24815.916143547372</v>
      </c>
      <c r="AE8" s="78">
        <v>23633.293571165999</v>
      </c>
      <c r="AF8" s="78">
        <v>23173.173385423503</v>
      </c>
      <c r="AG8" s="78">
        <v>22751.532128664399</v>
      </c>
      <c r="AH8" s="78">
        <v>23725.111955421387</v>
      </c>
      <c r="AI8" s="78">
        <v>23381.622003386132</v>
      </c>
      <c r="AJ8" s="78">
        <v>23296.76856786057</v>
      </c>
      <c r="AK8" s="78">
        <v>22846.373475193806</v>
      </c>
    </row>
    <row r="9" spans="1:38" s="76" customFormat="1" ht="16.5" customHeight="1">
      <c r="A9" s="10" t="s">
        <v>1124</v>
      </c>
      <c r="B9" s="77" t="s">
        <v>527</v>
      </c>
      <c r="C9" s="77" t="s">
        <v>527</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1380557.2397938734</v>
      </c>
      <c r="Q9" s="78">
        <v>1432782.3794077854</v>
      </c>
      <c r="R9" s="78">
        <v>1467663.7991499156</v>
      </c>
      <c r="S9" s="78">
        <v>1678852.5595885422</v>
      </c>
      <c r="T9" s="78">
        <v>1674791.8930520001</v>
      </c>
      <c r="U9" s="78">
        <v>1706102.912463947</v>
      </c>
      <c r="V9" s="78">
        <v>1780771.1384466074</v>
      </c>
      <c r="W9" s="78">
        <v>1804848.0064037023</v>
      </c>
      <c r="X9" s="78">
        <v>1876689.847532914</v>
      </c>
      <c r="Y9" s="78">
        <v>1017007</v>
      </c>
      <c r="Z9" s="78">
        <v>1049667</v>
      </c>
      <c r="AA9" s="78">
        <v>991383</v>
      </c>
      <c r="AB9" s="78">
        <v>1001455.7277059199</v>
      </c>
      <c r="AC9" s="78">
        <v>972382.44726826402</v>
      </c>
      <c r="AD9" s="78">
        <v>970669.41516661318</v>
      </c>
      <c r="AE9" s="78">
        <v>977476.62107445241</v>
      </c>
      <c r="AF9" s="78">
        <v>1037129.0861966583</v>
      </c>
      <c r="AG9" s="78">
        <v>1028773.6840018815</v>
      </c>
      <c r="AH9" s="78">
        <v>1075233.5052042801</v>
      </c>
      <c r="AI9" s="78">
        <v>1106303.4454204475</v>
      </c>
      <c r="AJ9" s="78">
        <v>1119644.0825954296</v>
      </c>
      <c r="AK9" s="78">
        <v>1128488.8887035879</v>
      </c>
    </row>
    <row r="10" spans="1:38" s="76" customFormat="1" ht="16.5" customHeight="1">
      <c r="A10" s="9" t="s">
        <v>1125</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103803.03027298137</v>
      </c>
      <c r="AD10" s="78">
        <v>105605.2225970268</v>
      </c>
      <c r="AE10" s="78">
        <v>106581.57890487878</v>
      </c>
      <c r="AF10" s="78">
        <v>109301.40619692924</v>
      </c>
      <c r="AG10" s="78">
        <v>109597.31844960712</v>
      </c>
      <c r="AH10" s="78">
        <v>113337.94163267993</v>
      </c>
      <c r="AI10" s="78">
        <v>116102.39910916959</v>
      </c>
      <c r="AJ10" s="78">
        <v>120698.99421461202</v>
      </c>
      <c r="AK10" s="78">
        <v>124745.70718075465</v>
      </c>
    </row>
    <row r="11" spans="1:38" s="76" customFormat="1" ht="16.5" customHeight="1">
      <c r="A11" s="9" t="s">
        <v>531</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140159.96248174272</v>
      </c>
      <c r="V11" s="78">
        <v>142369.77185656936</v>
      </c>
      <c r="W11" s="78">
        <v>144027.63604132412</v>
      </c>
      <c r="X11" s="78">
        <v>142169.22730548185</v>
      </c>
      <c r="Y11" s="78">
        <v>184199</v>
      </c>
      <c r="Z11" s="78">
        <v>183826</v>
      </c>
      <c r="AA11" s="78">
        <v>168100</v>
      </c>
      <c r="AB11" s="78">
        <v>175788.97173715092</v>
      </c>
      <c r="AC11" s="78">
        <v>163791.29311902044</v>
      </c>
      <c r="AD11" s="78">
        <v>163601.73110557569</v>
      </c>
      <c r="AE11" s="78">
        <v>168435.63414130086</v>
      </c>
      <c r="AF11" s="78">
        <v>169830.17838475661</v>
      </c>
      <c r="AG11" s="78">
        <v>170246.27799988686</v>
      </c>
      <c r="AH11" s="78">
        <v>174556.97827435564</v>
      </c>
      <c r="AI11" s="78">
        <v>181490.18169777928</v>
      </c>
      <c r="AJ11" s="78">
        <v>184165.1211510069</v>
      </c>
      <c r="AK11" s="78">
        <v>175304.70135307586</v>
      </c>
    </row>
    <row r="12" spans="1:38" s="76" customFormat="1" ht="16.5" customHeight="1">
      <c r="A12" s="9" t="s">
        <v>1126</v>
      </c>
      <c r="B12" s="77" t="s">
        <v>527</v>
      </c>
      <c r="C12" s="77" t="s">
        <v>527</v>
      </c>
      <c r="D12" s="77" t="s">
        <v>527</v>
      </c>
      <c r="E12" s="77" t="s">
        <v>527</v>
      </c>
      <c r="F12" s="77" t="s">
        <v>527</v>
      </c>
      <c r="G12" s="77">
        <v>73093</v>
      </c>
      <c r="H12" s="77">
        <v>99792</v>
      </c>
      <c r="I12" s="77">
        <v>100166</v>
      </c>
      <c r="J12" s="77">
        <v>101465</v>
      </c>
      <c r="K12" s="77">
        <v>108854</v>
      </c>
      <c r="L12" s="77">
        <v>116275</v>
      </c>
      <c r="M12" s="77">
        <v>116492</v>
      </c>
      <c r="N12" s="77">
        <v>121758.7273</v>
      </c>
      <c r="O12" s="77">
        <v>126830.53287200001</v>
      </c>
      <c r="P12" s="77">
        <v>129989.38218325401</v>
      </c>
      <c r="Q12" s="77">
        <v>143037.46203487608</v>
      </c>
      <c r="R12" s="77">
        <v>141331.7671156849</v>
      </c>
      <c r="S12" s="77">
        <v>129646.68645014966</v>
      </c>
      <c r="T12" s="77">
        <v>124606.13185429553</v>
      </c>
      <c r="U12" s="77">
        <v>123757.41139621758</v>
      </c>
      <c r="V12" s="77">
        <v>124390.5181900022</v>
      </c>
      <c r="W12" s="77">
        <v>127655.58792172259</v>
      </c>
      <c r="X12" s="77">
        <v>122508.47323663282</v>
      </c>
      <c r="Y12" s="77">
        <v>286431.70120000001</v>
      </c>
      <c r="Z12" s="77">
        <v>292075.290018</v>
      </c>
      <c r="AA12" s="77">
        <v>282864.89591900003</v>
      </c>
      <c r="AB12" s="77">
        <v>270344.2606625912</v>
      </c>
      <c r="AC12" s="78">
        <v>271150.55391375569</v>
      </c>
      <c r="AD12" s="78">
        <v>291201.84246469656</v>
      </c>
      <c r="AE12" s="78">
        <v>299273.23993402399</v>
      </c>
      <c r="AF12" s="78">
        <v>316726.32030126388</v>
      </c>
      <c r="AG12" s="78">
        <v>322962.55593409849</v>
      </c>
      <c r="AH12" s="78">
        <v>325179.64792415383</v>
      </c>
      <c r="AI12" s="78">
        <v>344992.9126821332</v>
      </c>
      <c r="AJ12" s="78">
        <v>368430.10266490339</v>
      </c>
      <c r="AK12" s="78">
        <v>361844.28941487317</v>
      </c>
    </row>
    <row r="13" spans="1:38" s="76" customFormat="1" ht="16.5" customHeight="1">
      <c r="A13" s="83" t="s">
        <v>1127</v>
      </c>
      <c r="B13" s="72" t="s">
        <v>527</v>
      </c>
      <c r="C13" s="72" t="s">
        <v>527</v>
      </c>
      <c r="D13" s="72" t="s">
        <v>527</v>
      </c>
      <c r="E13" s="72" t="s">
        <v>527</v>
      </c>
      <c r="F13" s="81">
        <v>39854</v>
      </c>
      <c r="G13" s="81">
        <v>39581</v>
      </c>
      <c r="H13" s="81">
        <v>41143</v>
      </c>
      <c r="I13" s="81">
        <v>40703</v>
      </c>
      <c r="J13" s="81">
        <v>40241</v>
      </c>
      <c r="K13" s="81">
        <v>39384</v>
      </c>
      <c r="L13" s="81">
        <v>39585</v>
      </c>
      <c r="M13" s="81">
        <v>39808</v>
      </c>
      <c r="N13" s="81">
        <v>38984.124200000006</v>
      </c>
      <c r="O13" s="81">
        <v>40180.218951999996</v>
      </c>
      <c r="P13" s="81">
        <v>41605.038687999993</v>
      </c>
      <c r="Q13" s="81">
        <v>43278.862481000004</v>
      </c>
      <c r="R13" s="81">
        <v>45100.241891000005</v>
      </c>
      <c r="S13" s="81">
        <v>46507.533026999998</v>
      </c>
      <c r="T13" s="81">
        <v>46096.088878999995</v>
      </c>
      <c r="U13" s="81">
        <v>45676.831126000005</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57012.092909000006</v>
      </c>
      <c r="AG13" s="81">
        <v>55697.697335999997</v>
      </c>
      <c r="AH13" s="81">
        <v>56321.611936000008</v>
      </c>
      <c r="AI13" s="81">
        <v>54825.884253999997</v>
      </c>
      <c r="AJ13" s="81">
        <v>53830.315945999995</v>
      </c>
      <c r="AK13" s="74">
        <v>54097.055531000005</v>
      </c>
    </row>
    <row r="14" spans="1:38" ht="16.5" customHeight="1">
      <c r="A14" s="9" t="s">
        <v>1128</v>
      </c>
      <c r="B14" s="77" t="s">
        <v>527</v>
      </c>
      <c r="C14" s="77" t="s">
        <v>527</v>
      </c>
      <c r="D14" s="77" t="s">
        <v>527</v>
      </c>
      <c r="E14" s="77" t="s">
        <v>527</v>
      </c>
      <c r="F14" s="77">
        <v>21790</v>
      </c>
      <c r="G14" s="77">
        <v>21161</v>
      </c>
      <c r="H14" s="77">
        <v>20981</v>
      </c>
      <c r="I14" s="77">
        <v>21090</v>
      </c>
      <c r="J14" s="77">
        <v>20336</v>
      </c>
      <c r="K14" s="77">
        <v>20247</v>
      </c>
      <c r="L14" s="77">
        <v>18832</v>
      </c>
      <c r="M14" s="77">
        <v>18818</v>
      </c>
      <c r="N14" s="77">
        <v>16802.168100000003</v>
      </c>
      <c r="O14" s="77">
        <v>17509.219211999996</v>
      </c>
      <c r="P14" s="77">
        <v>17873.721648999999</v>
      </c>
      <c r="Q14" s="77">
        <v>18683.797939</v>
      </c>
      <c r="R14" s="77">
        <v>18807.334752999999</v>
      </c>
      <c r="S14" s="77">
        <v>19582.868181999998</v>
      </c>
      <c r="T14" s="77">
        <v>19678.689117000002</v>
      </c>
      <c r="U14" s="77">
        <v>19178.851354999999</v>
      </c>
      <c r="V14" s="77">
        <v>18920.853862999997</v>
      </c>
      <c r="W14" s="77">
        <v>19424.922553999997</v>
      </c>
      <c r="X14" s="77">
        <v>20390.185932999997</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1129</v>
      </c>
      <c r="B15" s="77" t="s">
        <v>527</v>
      </c>
      <c r="C15" s="77" t="s">
        <v>527</v>
      </c>
      <c r="D15" s="77" t="s">
        <v>527</v>
      </c>
      <c r="E15" s="77" t="s">
        <v>527</v>
      </c>
      <c r="F15" s="77" t="s">
        <v>527</v>
      </c>
      <c r="G15" s="77" t="s">
        <v>527</v>
      </c>
      <c r="H15" s="77" t="s">
        <v>527</v>
      </c>
      <c r="I15" s="77" t="s">
        <v>527</v>
      </c>
      <c r="J15" s="77" t="s">
        <v>527</v>
      </c>
      <c r="K15" s="77" t="s">
        <v>527</v>
      </c>
      <c r="L15" s="77" t="s">
        <v>527</v>
      </c>
      <c r="M15" s="77" t="s">
        <v>527</v>
      </c>
      <c r="N15" s="77" t="s">
        <v>527</v>
      </c>
      <c r="O15" s="77" t="s">
        <v>527</v>
      </c>
      <c r="P15" s="77" t="s">
        <v>527</v>
      </c>
      <c r="Q15" s="77" t="s">
        <v>527</v>
      </c>
      <c r="R15" s="77" t="s">
        <v>527</v>
      </c>
      <c r="S15" s="77" t="s">
        <v>527</v>
      </c>
      <c r="T15" s="77" t="s">
        <v>527</v>
      </c>
      <c r="U15" s="77" t="s">
        <v>527</v>
      </c>
      <c r="V15" s="77" t="s">
        <v>527</v>
      </c>
      <c r="W15" s="77" t="s">
        <v>527</v>
      </c>
      <c r="X15" s="77" t="s">
        <v>527</v>
      </c>
      <c r="Y15" s="77" t="s">
        <v>527</v>
      </c>
      <c r="Z15" s="77" t="s">
        <v>527</v>
      </c>
      <c r="AA15" s="77" t="s">
        <v>527</v>
      </c>
      <c r="AB15" s="77" t="s">
        <v>527</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1130</v>
      </c>
      <c r="B16" s="77" t="s">
        <v>527</v>
      </c>
      <c r="C16" s="77" t="s">
        <v>527</v>
      </c>
      <c r="D16" s="77" t="s">
        <v>527</v>
      </c>
      <c r="E16" s="77" t="s">
        <v>527</v>
      </c>
      <c r="F16" s="77">
        <v>381</v>
      </c>
      <c r="G16" s="77">
        <v>350</v>
      </c>
      <c r="H16" s="77">
        <v>571</v>
      </c>
      <c r="I16" s="77">
        <v>662</v>
      </c>
      <c r="J16" s="77">
        <v>701</v>
      </c>
      <c r="K16" s="77">
        <v>705</v>
      </c>
      <c r="L16" s="77">
        <v>833</v>
      </c>
      <c r="M16" s="77">
        <v>860</v>
      </c>
      <c r="N16" s="77">
        <v>955.24509999999998</v>
      </c>
      <c r="O16" s="77">
        <v>1023.7081319999999</v>
      </c>
      <c r="P16" s="77">
        <v>1115.35194</v>
      </c>
      <c r="Q16" s="77">
        <v>1190.168551</v>
      </c>
      <c r="R16" s="77">
        <v>1339.431795</v>
      </c>
      <c r="S16" s="77">
        <v>1427.305259</v>
      </c>
      <c r="T16" s="77">
        <v>1431.6725369999999</v>
      </c>
      <c r="U16" s="77">
        <v>1476.0326319999997</v>
      </c>
      <c r="V16" s="77">
        <v>1576.197658</v>
      </c>
      <c r="W16" s="77">
        <v>1699.5838489999999</v>
      </c>
      <c r="X16" s="77">
        <v>1865.7201999999997</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530</v>
      </c>
      <c r="B17" s="77" t="s">
        <v>527</v>
      </c>
      <c r="C17" s="77" t="s">
        <v>527</v>
      </c>
      <c r="D17" s="77" t="s">
        <v>527</v>
      </c>
      <c r="E17" s="77" t="s">
        <v>527</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13843.512074999999</v>
      </c>
      <c r="S17" s="77">
        <v>14178.091572000001</v>
      </c>
      <c r="T17" s="77">
        <v>13663.224326</v>
      </c>
      <c r="U17" s="77">
        <v>13606.195594000001</v>
      </c>
      <c r="V17" s="77">
        <v>14354.281087000001</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1131</v>
      </c>
      <c r="B18" s="77" t="s">
        <v>527</v>
      </c>
      <c r="C18" s="77" t="s">
        <v>527</v>
      </c>
      <c r="D18" s="77" t="s">
        <v>527</v>
      </c>
      <c r="E18" s="77" t="s">
        <v>527</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191.89107100000004</v>
      </c>
      <c r="S18" s="77">
        <v>186.99797199999998</v>
      </c>
      <c r="T18" s="77">
        <v>187.793553</v>
      </c>
      <c r="U18" s="77">
        <v>176.144657</v>
      </c>
      <c r="V18" s="77">
        <v>173.21470899999997</v>
      </c>
      <c r="W18" s="77">
        <v>172.98174700000001</v>
      </c>
      <c r="X18" s="77">
        <v>163.88912900000003</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528</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10358.926487000002</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1132</v>
      </c>
      <c r="B20" s="77" t="s">
        <v>527</v>
      </c>
      <c r="C20" s="77" t="s">
        <v>527</v>
      </c>
      <c r="D20" s="77" t="s">
        <v>527</v>
      </c>
      <c r="E20" s="77" t="s">
        <v>527</v>
      </c>
      <c r="F20" s="77" t="s">
        <v>527</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1133</v>
      </c>
      <c r="B21" s="77" t="s">
        <v>527</v>
      </c>
      <c r="C21" s="77" t="s">
        <v>527</v>
      </c>
      <c r="D21" s="77" t="s">
        <v>527</v>
      </c>
      <c r="E21" s="77" t="s">
        <v>527</v>
      </c>
      <c r="F21" s="77" t="s">
        <v>527</v>
      </c>
      <c r="G21" s="77" t="s">
        <v>527</v>
      </c>
      <c r="H21" s="77">
        <v>286</v>
      </c>
      <c r="I21" s="77">
        <v>282</v>
      </c>
      <c r="J21" s="77">
        <v>271</v>
      </c>
      <c r="K21" s="77">
        <v>260</v>
      </c>
      <c r="L21" s="77">
        <v>260</v>
      </c>
      <c r="M21" s="77">
        <v>260</v>
      </c>
      <c r="N21" s="77">
        <v>255.38840000000002</v>
      </c>
      <c r="O21" s="77">
        <v>254.21924200000004</v>
      </c>
      <c r="P21" s="77">
        <v>280.125878</v>
      </c>
      <c r="Q21" s="77">
        <v>294.71404899999999</v>
      </c>
      <c r="R21" s="77">
        <v>298.132858</v>
      </c>
      <c r="S21" s="77">
        <v>295.33117599999997</v>
      </c>
      <c r="T21" s="77">
        <v>301.363563</v>
      </c>
      <c r="U21" s="77">
        <v>366.84362800000002</v>
      </c>
      <c r="V21" s="77">
        <v>356.984306</v>
      </c>
      <c r="W21" s="77">
        <v>359.19848399999995</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1134</v>
      </c>
      <c r="B22" s="77" t="s">
        <v>527</v>
      </c>
      <c r="C22" s="77" t="s">
        <v>527</v>
      </c>
      <c r="D22" s="77" t="s">
        <v>527</v>
      </c>
      <c r="E22" s="77" t="s">
        <v>527</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1135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1136</v>
      </c>
      <c r="B24" s="74" t="s">
        <v>532</v>
      </c>
      <c r="C24" s="74" t="s">
        <v>532</v>
      </c>
      <c r="D24" s="74" t="s">
        <v>532</v>
      </c>
      <c r="E24" s="74" t="s">
        <v>532</v>
      </c>
      <c r="F24" s="74" t="s">
        <v>532</v>
      </c>
      <c r="G24" s="74" t="s">
        <v>532</v>
      </c>
      <c r="H24" s="72">
        <v>11418</v>
      </c>
      <c r="I24" s="74" t="s">
        <v>532</v>
      </c>
      <c r="J24" s="74" t="s">
        <v>532</v>
      </c>
      <c r="K24" s="74" t="s">
        <v>532</v>
      </c>
      <c r="L24" s="74" t="s">
        <v>532</v>
      </c>
      <c r="M24" s="74">
        <v>10821</v>
      </c>
      <c r="N24" s="74" t="s">
        <v>532</v>
      </c>
      <c r="O24" s="74" t="s">
        <v>532</v>
      </c>
      <c r="P24" s="74" t="s">
        <v>532</v>
      </c>
      <c r="Q24" s="74" t="s">
        <v>532</v>
      </c>
      <c r="R24" s="74" t="s">
        <v>532</v>
      </c>
      <c r="S24" s="74">
        <v>24779</v>
      </c>
      <c r="T24" s="74" t="s">
        <v>532</v>
      </c>
      <c r="U24" s="74" t="s">
        <v>532</v>
      </c>
      <c r="V24" s="74" t="s">
        <v>532</v>
      </c>
      <c r="W24" s="74" t="s">
        <v>532</v>
      </c>
      <c r="X24" s="74" t="s">
        <v>532</v>
      </c>
      <c r="Y24" s="74" t="s">
        <v>532</v>
      </c>
      <c r="Z24" s="74" t="s">
        <v>532</v>
      </c>
      <c r="AA24" s="72">
        <v>27943</v>
      </c>
      <c r="AB24" s="74" t="s">
        <v>532</v>
      </c>
      <c r="AC24" s="74" t="s">
        <v>532</v>
      </c>
      <c r="AD24" s="74" t="s">
        <v>532</v>
      </c>
      <c r="AE24" s="74" t="s">
        <v>532</v>
      </c>
      <c r="AF24" s="74" t="s">
        <v>532</v>
      </c>
      <c r="AG24" s="74" t="s">
        <v>532</v>
      </c>
      <c r="AH24" s="74" t="s">
        <v>532</v>
      </c>
      <c r="AI24" s="74">
        <v>33651</v>
      </c>
      <c r="AJ24" s="74" t="s">
        <v>532</v>
      </c>
      <c r="AK24" s="74" t="s">
        <v>532</v>
      </c>
    </row>
    <row r="25" spans="1:38" s="80" customFormat="1" ht="16.5" customHeight="1" thickBot="1">
      <c r="A25" s="11" t="s">
        <v>1137</v>
      </c>
      <c r="B25" s="87" t="s">
        <v>532</v>
      </c>
      <c r="C25" s="87" t="s">
        <v>532</v>
      </c>
      <c r="D25" s="87" t="s">
        <v>532</v>
      </c>
      <c r="E25" s="87" t="s">
        <v>532</v>
      </c>
      <c r="F25" s="87" t="s">
        <v>532</v>
      </c>
      <c r="G25" s="87" t="s">
        <v>532</v>
      </c>
      <c r="H25" s="88">
        <v>3471</v>
      </c>
      <c r="I25" s="87" t="s">
        <v>532</v>
      </c>
      <c r="J25" s="87" t="s">
        <v>532</v>
      </c>
      <c r="K25" s="87" t="s">
        <v>532</v>
      </c>
      <c r="L25" s="87" t="s">
        <v>532</v>
      </c>
      <c r="M25" s="87">
        <v>4593</v>
      </c>
      <c r="N25" s="87" t="s">
        <v>532</v>
      </c>
      <c r="O25" s="87" t="s">
        <v>532</v>
      </c>
      <c r="P25" s="87" t="s">
        <v>532</v>
      </c>
      <c r="Q25" s="87" t="s">
        <v>532</v>
      </c>
      <c r="R25" s="87" t="s">
        <v>532</v>
      </c>
      <c r="S25" s="88">
        <v>6266</v>
      </c>
      <c r="T25" s="87" t="s">
        <v>532</v>
      </c>
      <c r="U25" s="87" t="s">
        <v>532</v>
      </c>
      <c r="V25" s="87" t="s">
        <v>532</v>
      </c>
      <c r="W25" s="87" t="s">
        <v>532</v>
      </c>
      <c r="X25" s="87" t="s">
        <v>532</v>
      </c>
      <c r="Y25" s="87" t="s">
        <v>532</v>
      </c>
      <c r="Z25" s="87" t="s">
        <v>532</v>
      </c>
      <c r="AA25" s="88">
        <v>8956</v>
      </c>
      <c r="AB25" s="87" t="s">
        <v>532</v>
      </c>
      <c r="AC25" s="87" t="s">
        <v>532</v>
      </c>
      <c r="AD25" s="87" t="s">
        <v>532</v>
      </c>
      <c r="AE25" s="87" t="s">
        <v>532</v>
      </c>
      <c r="AF25" s="87" t="s">
        <v>532</v>
      </c>
      <c r="AG25" s="87" t="s">
        <v>532</v>
      </c>
      <c r="AH25" s="87" t="s">
        <v>532</v>
      </c>
      <c r="AI25" s="87">
        <v>8499</v>
      </c>
      <c r="AJ25" s="87" t="s">
        <v>532</v>
      </c>
      <c r="AK25" s="87" t="s">
        <v>532</v>
      </c>
    </row>
    <row r="26" spans="1:38" s="90" customFormat="1" ht="12.75" customHeight="1">
      <c r="A26" s="89" t="s">
        <v>1138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1139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1140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1141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1142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1143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1144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1145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1146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1147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1148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526</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1149</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525</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1150</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1151</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524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1152</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1153</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523</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522</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1154</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521</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520</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1155</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519</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1156</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1157</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1158</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3" customHeight="1">
      <c r="A58" s="99" t="s">
        <v>1159</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3" customHeight="1">
      <c r="A59" s="96" t="s">
        <v>1160</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518</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1161</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1162</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1163</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513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1164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1165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517</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516</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515</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514</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1166</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1167</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513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512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1168</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1169</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1170</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511</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510</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1171</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1172</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1173</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1174</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4.5"/>
  <cols>
    <col min="1" max="1" width="26.81640625" customWidth="1"/>
    <col min="2" max="2" width="16.7265625" customWidth="1"/>
    <col min="3" max="3" width="12.6328125" customWidth="1"/>
    <col min="4" max="4" width="14.08984375" customWidth="1"/>
    <col min="5" max="5" width="16.7265625" customWidth="1"/>
    <col min="6" max="6" width="16.26953125" customWidth="1"/>
    <col min="7" max="7" width="15.81640625" customWidth="1"/>
  </cols>
  <sheetData>
    <row r="1" spans="1:7">
      <c r="A1" s="1" t="s">
        <v>481</v>
      </c>
    </row>
    <row r="2" spans="1:7">
      <c r="A2" s="1"/>
    </row>
    <row r="3" spans="1:7" ht="43.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08984375" defaultRowHeight="14.5"/>
  <cols>
    <col min="1" max="1" width="41.08984375" customWidth="1"/>
    <col min="2" max="6" width="10.36328125" style="14" customWidth="1"/>
  </cols>
  <sheetData>
    <row r="1" spans="1:6">
      <c r="A1" s="2" t="s">
        <v>3325</v>
      </c>
      <c r="B1" s="123"/>
      <c r="C1" s="123"/>
      <c r="D1" s="123"/>
      <c r="E1" s="123"/>
      <c r="F1" s="123"/>
    </row>
    <row r="2" spans="1:6">
      <c r="B2" s="124">
        <v>2010</v>
      </c>
      <c r="C2" s="124" t="s">
        <v>3326</v>
      </c>
      <c r="D2" s="124" t="s">
        <v>3327</v>
      </c>
      <c r="E2" s="124" t="s">
        <v>3328</v>
      </c>
      <c r="F2" s="124" t="s">
        <v>3329</v>
      </c>
    </row>
    <row r="3" spans="1:6">
      <c r="A3" t="s">
        <v>3330</v>
      </c>
      <c r="B3" s="14">
        <v>130</v>
      </c>
      <c r="C3" s="14">
        <v>130</v>
      </c>
      <c r="D3" s="14">
        <v>130</v>
      </c>
      <c r="E3" s="14">
        <v>130</v>
      </c>
      <c r="F3" s="14">
        <v>130</v>
      </c>
    </row>
    <row r="4" spans="1:6">
      <c r="A4" t="s">
        <v>3331</v>
      </c>
      <c r="B4" s="14">
        <v>110.8</v>
      </c>
      <c r="C4" s="14">
        <v>91.6</v>
      </c>
      <c r="D4" s="14">
        <v>85.6</v>
      </c>
      <c r="E4" s="14">
        <v>81</v>
      </c>
      <c r="F4" s="14">
        <v>71.2</v>
      </c>
    </row>
    <row r="5" spans="1:6">
      <c r="A5" t="s">
        <v>3332</v>
      </c>
      <c r="C5" s="14">
        <v>87.5</v>
      </c>
      <c r="D5" s="14">
        <v>90.2</v>
      </c>
      <c r="E5" s="14">
        <v>92.5</v>
      </c>
      <c r="F5" s="14">
        <v>94</v>
      </c>
    </row>
    <row r="6" spans="1:6">
      <c r="A6" t="s">
        <v>3333</v>
      </c>
      <c r="C6" s="14">
        <v>90.7</v>
      </c>
      <c r="D6" s="14">
        <v>91.6</v>
      </c>
      <c r="E6" s="14">
        <v>92.5</v>
      </c>
      <c r="F6" s="14">
        <v>93.5</v>
      </c>
    </row>
    <row r="7" spans="1:6">
      <c r="A7" t="s">
        <v>3334</v>
      </c>
      <c r="C7" s="14">
        <v>86.7</v>
      </c>
      <c r="D7" s="14">
        <v>87.8</v>
      </c>
      <c r="E7" s="14">
        <v>88</v>
      </c>
    </row>
    <row r="8" spans="1:6">
      <c r="A8" t="s">
        <v>3335</v>
      </c>
      <c r="B8" s="14">
        <v>152</v>
      </c>
      <c r="C8" s="14">
        <v>104.1</v>
      </c>
      <c r="D8" s="14">
        <v>98.2</v>
      </c>
      <c r="E8" s="14">
        <v>92.3</v>
      </c>
      <c r="F8" s="14">
        <v>84.6</v>
      </c>
    </row>
    <row r="9" spans="1:6">
      <c r="A9" t="s">
        <v>3336</v>
      </c>
      <c r="B9" s="14">
        <v>80</v>
      </c>
      <c r="C9" s="14">
        <v>88</v>
      </c>
      <c r="D9" s="14">
        <v>92</v>
      </c>
      <c r="E9" s="14">
        <v>90</v>
      </c>
      <c r="F9" s="14">
        <v>94</v>
      </c>
    </row>
    <row r="10" spans="1:6">
      <c r="A10" t="s">
        <v>3337</v>
      </c>
      <c r="B10" s="14">
        <v>37.6</v>
      </c>
      <c r="C10" s="14">
        <v>25.8</v>
      </c>
      <c r="D10" s="14">
        <v>21.7</v>
      </c>
      <c r="E10" s="14">
        <v>19.899999999999999</v>
      </c>
      <c r="F10" s="14">
        <v>15.9</v>
      </c>
    </row>
    <row r="11" spans="1:6">
      <c r="A11" t="s">
        <v>3338</v>
      </c>
      <c r="B11" s="14">
        <v>152</v>
      </c>
      <c r="C11" s="14">
        <v>195</v>
      </c>
      <c r="D11" s="14">
        <v>225</v>
      </c>
      <c r="E11" s="14">
        <v>250</v>
      </c>
      <c r="F11" s="14">
        <v>303</v>
      </c>
    </row>
    <row r="12" spans="1:6">
      <c r="A12" t="s">
        <v>3339</v>
      </c>
      <c r="B12" s="14">
        <v>22.1</v>
      </c>
      <c r="C12" s="14">
        <v>17.3</v>
      </c>
      <c r="D12" s="14">
        <v>15</v>
      </c>
      <c r="E12" s="14">
        <v>13.5</v>
      </c>
      <c r="F12" s="14">
        <v>11.1</v>
      </c>
    </row>
    <row r="13" spans="1:6">
      <c r="A13" t="s">
        <v>3340</v>
      </c>
      <c r="B13" s="14">
        <v>450</v>
      </c>
      <c r="C13" s="14">
        <v>250</v>
      </c>
      <c r="D13" s="14">
        <v>200</v>
      </c>
      <c r="E13" s="14">
        <v>160</v>
      </c>
      <c r="F13" s="14">
        <v>150</v>
      </c>
    </row>
    <row r="14" spans="1:6">
      <c r="A14" t="s">
        <v>3341</v>
      </c>
      <c r="B14" s="125">
        <v>15979</v>
      </c>
      <c r="C14" s="125">
        <v>5401</v>
      </c>
      <c r="D14" s="125">
        <v>4384</v>
      </c>
      <c r="E14" s="125">
        <v>3184</v>
      </c>
      <c r="F14" s="125">
        <v>2050</v>
      </c>
    </row>
    <row r="15" spans="1:6">
      <c r="A15" t="s">
        <v>3342</v>
      </c>
      <c r="B15" s="125">
        <v>15979</v>
      </c>
      <c r="C15" s="125">
        <v>2968</v>
      </c>
      <c r="D15" s="125">
        <v>2139</v>
      </c>
      <c r="E15" s="14" t="s">
        <v>3343</v>
      </c>
      <c r="F15" s="14" t="s">
        <v>3344</v>
      </c>
    </row>
    <row r="17" spans="1:4">
      <c r="A17" s="2" t="s">
        <v>3345</v>
      </c>
      <c r="B17" s="123"/>
      <c r="C17" s="123"/>
      <c r="D17" s="123"/>
    </row>
    <row r="18" spans="1:4">
      <c r="B18" s="14">
        <v>2010</v>
      </c>
      <c r="C18" s="14">
        <v>2030</v>
      </c>
      <c r="D18" s="14">
        <v>2050</v>
      </c>
    </row>
    <row r="19" spans="1:4">
      <c r="A19" t="s">
        <v>3338</v>
      </c>
      <c r="B19" s="14">
        <f>B11</f>
        <v>152</v>
      </c>
      <c r="C19" s="14">
        <f>C11</f>
        <v>195</v>
      </c>
      <c r="D19" s="14">
        <f>E11</f>
        <v>250</v>
      </c>
    </row>
    <row r="21" spans="1:4">
      <c r="B21" s="14">
        <v>2017</v>
      </c>
    </row>
    <row r="22" spans="1:4">
      <c r="A22" t="s">
        <v>3346</v>
      </c>
      <c r="B22" s="14">
        <f>TREND(B19:C19,B18:C18,B21)</f>
        <v>167.05000000000018</v>
      </c>
    </row>
    <row r="24" spans="1:4">
      <c r="A24" t="s">
        <v>3347</v>
      </c>
      <c r="B24" s="126">
        <f>(D19-B22)/B22</f>
        <v>0.49655791679137817</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4.5"/>
  <sheetData>
    <row r="1" spans="1:12">
      <c r="A1" t="s">
        <v>3375</v>
      </c>
      <c r="B1" t="s">
        <v>112</v>
      </c>
      <c r="C1" t="s">
        <v>113</v>
      </c>
      <c r="D1" t="s">
        <v>114</v>
      </c>
      <c r="E1" t="s">
        <v>115</v>
      </c>
      <c r="F1" t="s">
        <v>116</v>
      </c>
      <c r="G1" t="s">
        <v>853</v>
      </c>
      <c r="H1" t="s">
        <v>854</v>
      </c>
      <c r="K1" t="s">
        <v>3376</v>
      </c>
      <c r="L1">
        <f t="array" ref="L1:L7">TRANSPOSE(B3:H3)</f>
        <v>2.8716216192227239E-3</v>
      </c>
    </row>
    <row r="2" spans="1:12">
      <c r="A2" t="s">
        <v>863</v>
      </c>
      <c r="B2">
        <v>1.3034527706475435E-3</v>
      </c>
      <c r="C2">
        <v>3.2678701664683445E-4</v>
      </c>
      <c r="D2">
        <v>3.1652760292406873E-4</v>
      </c>
      <c r="E2">
        <v>3.9332496832109406E-4</v>
      </c>
      <c r="F2">
        <v>6.7451596682727188E-4</v>
      </c>
      <c r="G2">
        <v>2.7638078960570732E-4</v>
      </c>
      <c r="H2">
        <v>5.8732402773689196E-4</v>
      </c>
      <c r="L2">
        <v>7.6571862036197878E-4</v>
      </c>
    </row>
    <row r="3" spans="1:12">
      <c r="A3" t="s">
        <v>475</v>
      </c>
      <c r="B3">
        <v>2.8716216192227239E-3</v>
      </c>
      <c r="C3">
        <v>7.6571862036197878E-4</v>
      </c>
      <c r="D3">
        <v>8.9341397788199632E-4</v>
      </c>
      <c r="E3">
        <v>8.9361888315505733E-4</v>
      </c>
      <c r="F3">
        <v>1.9815203879922738E-3</v>
      </c>
      <c r="G3">
        <v>8.9361888315505722E-4</v>
      </c>
      <c r="H3">
        <v>2.6808566494651714E-3</v>
      </c>
      <c r="L3">
        <v>8.9341397788199632E-4</v>
      </c>
    </row>
    <row r="4" spans="1:12">
      <c r="A4" t="s">
        <v>472</v>
      </c>
      <c r="B4">
        <v>1.4185802505818058E-3</v>
      </c>
      <c r="C4">
        <v>4.4144747020460906E-4</v>
      </c>
      <c r="D4">
        <v>4.4144747020460906E-4</v>
      </c>
      <c r="E4">
        <v>4.4144747020460906E-4</v>
      </c>
      <c r="F4">
        <v>0</v>
      </c>
      <c r="G4">
        <v>0</v>
      </c>
      <c r="H4">
        <v>1.3243424106138271E-3</v>
      </c>
      <c r="L4">
        <v>8.9361888315505733E-4</v>
      </c>
    </row>
    <row r="5" spans="1:12">
      <c r="A5" t="s">
        <v>866</v>
      </c>
      <c r="B5">
        <v>1.2405209526886144E-3</v>
      </c>
      <c r="C5">
        <v>4.2438874697242065E-4</v>
      </c>
      <c r="D5">
        <v>4.2438874697242065E-4</v>
      </c>
      <c r="E5">
        <v>4.2438874697242065E-4</v>
      </c>
      <c r="F5">
        <v>0</v>
      </c>
      <c r="G5">
        <v>0</v>
      </c>
      <c r="H5">
        <v>1.2731662409172617E-3</v>
      </c>
      <c r="L5">
        <v>1.9815203879922738E-3</v>
      </c>
    </row>
    <row r="6" spans="1:12">
      <c r="A6" t="s">
        <v>867</v>
      </c>
      <c r="B6">
        <v>3.2293482418666772E-5</v>
      </c>
      <c r="C6">
        <v>0</v>
      </c>
      <c r="D6">
        <v>1.0049397002369564E-5</v>
      </c>
      <c r="E6">
        <v>1.0049397002369565E-5</v>
      </c>
      <c r="F6">
        <v>0</v>
      </c>
      <c r="G6">
        <v>0</v>
      </c>
      <c r="H6">
        <v>3.0148191007108693E-5</v>
      </c>
      <c r="L6">
        <v>8.9361888315505722E-4</v>
      </c>
    </row>
    <row r="7" spans="1:12">
      <c r="A7" t="s">
        <v>868</v>
      </c>
      <c r="B7">
        <v>3.5367364645723983E-3</v>
      </c>
      <c r="C7">
        <v>1.110710625237613E-3</v>
      </c>
      <c r="D7">
        <v>1.110710625237613E-3</v>
      </c>
      <c r="E7">
        <v>1.110710625237613E-3</v>
      </c>
      <c r="F7">
        <v>2.4450248368717451E-3</v>
      </c>
      <c r="G7">
        <v>8.6080073455915005E-4</v>
      </c>
      <c r="H7">
        <v>3.3321318757128385E-3</v>
      </c>
      <c r="L7">
        <v>2.6808566494651714E-3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4.5"/>
  <cols>
    <col min="1" max="1" width="21.36328125" customWidth="1"/>
    <col min="2" max="2" width="21.81640625" customWidth="1"/>
    <col min="3" max="3" width="35.08984375" customWidth="1"/>
    <col min="4" max="4" width="20.26953125" customWidth="1"/>
    <col min="5" max="5" width="16.7265625" customWidth="1"/>
    <col min="6" max="8" width="20.6328125" customWidth="1"/>
  </cols>
  <sheetData>
    <row r="1" spans="1:8" ht="29.5" thickBot="1">
      <c r="A1" s="6" t="s">
        <v>1119</v>
      </c>
      <c r="B1" s="14" t="s">
        <v>112</v>
      </c>
      <c r="C1" s="14" t="s">
        <v>113</v>
      </c>
      <c r="D1" s="14" t="s">
        <v>114</v>
      </c>
      <c r="E1" s="14" t="s">
        <v>115</v>
      </c>
      <c r="F1" s="14" t="s">
        <v>116</v>
      </c>
      <c r="G1" s="14" t="s">
        <v>853</v>
      </c>
      <c r="H1" s="14" t="s">
        <v>854</v>
      </c>
    </row>
    <row r="2" spans="1:8" ht="15" thickBot="1">
      <c r="A2" t="s">
        <v>863</v>
      </c>
      <c r="B2" s="119">
        <v>1.2098850095054675E-4</v>
      </c>
      <c r="C2" s="119">
        <v>6.8530242152742244E-5</v>
      </c>
      <c r="D2" s="120">
        <v>1.043975093608511E-4</v>
      </c>
      <c r="E2" s="119">
        <v>7.3948395495852042E-5</v>
      </c>
      <c r="F2" s="119">
        <v>2.3149219108236567E-4</v>
      </c>
      <c r="G2" s="119">
        <v>4.0198415563294249E-5</v>
      </c>
      <c r="H2" s="119">
        <v>2.0735934964818689E-3</v>
      </c>
    </row>
    <row r="3" spans="1:8" ht="15" thickBot="1">
      <c r="A3" t="s">
        <v>475</v>
      </c>
      <c r="B3" s="119">
        <v>2.2211467051641521E-3</v>
      </c>
      <c r="C3" s="119">
        <v>4.7352548463232166E-4</v>
      </c>
      <c r="D3" s="119">
        <v>6.7839079634331792E-3</v>
      </c>
      <c r="E3" s="120">
        <v>6.9119783216062313E-4</v>
      </c>
      <c r="F3" s="119">
        <v>1.0867252882872924E-3</v>
      </c>
      <c r="G3" s="119">
        <v>2.9305916427068614E-3</v>
      </c>
      <c r="H3" s="119">
        <v>2.7605411165548288E-3</v>
      </c>
    </row>
    <row r="4" spans="1:8">
      <c r="A4" t="s">
        <v>472</v>
      </c>
      <c r="B4" s="119">
        <v>3.6524335252792104E-4</v>
      </c>
      <c r="C4" s="119">
        <v>1.136599455098666E-4</v>
      </c>
      <c r="D4" s="119">
        <v>1.136599455098666E-4</v>
      </c>
      <c r="E4" s="119">
        <v>1.136599455098666E-4</v>
      </c>
      <c r="F4">
        <v>0</v>
      </c>
      <c r="G4">
        <v>0</v>
      </c>
      <c r="H4" s="119">
        <v>3.4097983652959976E-4</v>
      </c>
    </row>
    <row r="5" spans="1:8">
      <c r="A5" t="s">
        <v>866</v>
      </c>
      <c r="B5" s="119">
        <v>1.1140743815291445E-2</v>
      </c>
      <c r="C5" s="119">
        <v>3.4668839999999999E-3</v>
      </c>
      <c r="D5" s="119">
        <v>3.4668839999999999E-3</v>
      </c>
      <c r="E5" s="119">
        <v>3.4668839999999999E-3</v>
      </c>
      <c r="F5">
        <v>0</v>
      </c>
      <c r="G5">
        <v>0</v>
      </c>
      <c r="H5" s="119">
        <v>1.0400651999999998E-2</v>
      </c>
    </row>
    <row r="6" spans="1:8">
      <c r="A6" t="s">
        <v>867</v>
      </c>
      <c r="B6" s="119">
        <v>1.5467626362604087E-2</v>
      </c>
      <c r="C6" s="119">
        <v>4.813365E-3</v>
      </c>
      <c r="D6" s="119">
        <v>4.813365E-3</v>
      </c>
      <c r="E6" s="119">
        <v>4.813365E-3</v>
      </c>
      <c r="F6">
        <v>0</v>
      </c>
      <c r="G6">
        <v>0</v>
      </c>
      <c r="H6" s="119">
        <v>1.4440094999999998E-2</v>
      </c>
    </row>
    <row r="7" spans="1:8">
      <c r="A7" t="s">
        <v>868</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I62"/>
  <sheetViews>
    <sheetView topLeftCell="A52" workbookViewId="0">
      <selection activeCell="AC64" sqref="AC64"/>
    </sheetView>
  </sheetViews>
  <sheetFormatPr defaultRowHeight="14.5"/>
  <cols>
    <col min="1" max="1" width="31.54296875" customWidth="1"/>
  </cols>
  <sheetData>
    <row r="1" spans="1:35">
      <c r="A1" t="s">
        <v>3389</v>
      </c>
    </row>
    <row r="2" spans="1:35">
      <c r="A2" t="s">
        <v>3390</v>
      </c>
    </row>
    <row r="3" spans="1:35">
      <c r="B3">
        <v>2024</v>
      </c>
      <c r="C3">
        <v>2025</v>
      </c>
      <c r="D3">
        <v>2026</v>
      </c>
    </row>
    <row r="4" spans="1:35">
      <c r="A4" t="s">
        <v>3391</v>
      </c>
      <c r="B4" s="129">
        <v>40.6</v>
      </c>
      <c r="C4" s="129">
        <v>44.2</v>
      </c>
      <c r="D4" s="129">
        <v>49.1</v>
      </c>
      <c r="E4" s="129"/>
      <c r="F4" s="129"/>
      <c r="G4" s="129"/>
    </row>
    <row r="5" spans="1:35">
      <c r="A5" t="s">
        <v>3392</v>
      </c>
      <c r="B5" s="129">
        <v>33.898038089764704</v>
      </c>
      <c r="C5" s="129">
        <v>36.801913894259187</v>
      </c>
      <c r="D5" s="129">
        <v>40.694992566843702</v>
      </c>
      <c r="E5" s="129"/>
      <c r="F5" s="129"/>
      <c r="G5" s="129"/>
    </row>
    <row r="8" spans="1:35">
      <c r="A8" s="1" t="s">
        <v>856</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112</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113</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114</v>
      </c>
      <c r="B11" s="4">
        <v>4.010435677007162E-4</v>
      </c>
      <c r="C11" s="4">
        <v>4.1543936179917892E-4</v>
      </c>
      <c r="D11" s="4">
        <v>4.232456921304615E-4</v>
      </c>
      <c r="E11" s="4">
        <v>4.284224989356039E-4</v>
      </c>
      <c r="F11" s="4">
        <v>4.3223887309206766E-4</v>
      </c>
      <c r="G11" s="4">
        <v>4.3661930301858122E-4</v>
      </c>
      <c r="H11" s="4">
        <v>4.4073837767711228E-4</v>
      </c>
      <c r="I11" s="4">
        <v>4.4130433819121803E-4</v>
      </c>
      <c r="J11" s="4">
        <v>4.4139330713525239E-4</v>
      </c>
      <c r="K11" s="4">
        <v>4.4143859386227608E-4</v>
      </c>
      <c r="L11" s="4">
        <v>4.4252278985937798E-4</v>
      </c>
      <c r="M11" s="4">
        <v>4.4258101673758966E-4</v>
      </c>
      <c r="N11" s="4">
        <v>4.4262644410952699E-4</v>
      </c>
      <c r="O11" s="4">
        <v>4.4263525674443374E-4</v>
      </c>
      <c r="P11" s="4">
        <v>4.428907913418545E-4</v>
      </c>
      <c r="Q11" s="4">
        <v>4.4235185104972023E-4</v>
      </c>
      <c r="R11" s="4">
        <v>4.4180682000362565E-4</v>
      </c>
      <c r="S11" s="4">
        <v>4.415169210975881E-4</v>
      </c>
      <c r="T11" s="4">
        <v>4.4141525513386555E-4</v>
      </c>
      <c r="U11" s="4">
        <v>4.4094858868260617E-4</v>
      </c>
      <c r="V11" s="4">
        <v>4.406528424788466E-4</v>
      </c>
      <c r="W11" s="4">
        <v>4.4046477188487546E-4</v>
      </c>
      <c r="X11" s="4">
        <v>4.4016736396697124E-4</v>
      </c>
      <c r="Y11" s="4">
        <v>4.3991921468742256E-4</v>
      </c>
      <c r="Z11" s="4">
        <v>4.3980677282836695E-4</v>
      </c>
      <c r="AA11" s="4">
        <v>4.3981133028276362E-4</v>
      </c>
      <c r="AB11" s="4">
        <v>4.3960459654073496E-4</v>
      </c>
      <c r="AC11" s="4">
        <v>4.3945697770705547E-4</v>
      </c>
      <c r="AD11" s="4">
        <v>4.3919624527100954E-4</v>
      </c>
      <c r="AE11" s="4">
        <v>4.3913823303573507E-4</v>
      </c>
      <c r="AF11" s="4">
        <v>4.3909651675542918E-4</v>
      </c>
      <c r="AG11" s="4"/>
      <c r="AH11" s="4"/>
      <c r="AI11" s="4"/>
    </row>
    <row r="12" spans="1:35">
      <c r="A12" t="s">
        <v>115</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116</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853</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854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3393</v>
      </c>
    </row>
    <row r="18" spans="1:32">
      <c r="A18" t="s">
        <v>3394</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3411</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3412</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3413</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3414</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3415</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3416</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3417</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3402</v>
      </c>
    </row>
    <row r="28" spans="1:32">
      <c r="A28" t="s">
        <v>3394</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3395</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3396</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3397</v>
      </c>
      <c r="B31" s="58">
        <f t="shared" ref="B31:AF35"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3398</v>
      </c>
      <c r="B32" s="58">
        <f t="shared" si="2"/>
        <v>1.0772616493948946E-3</v>
      </c>
      <c r="C32" s="58">
        <f t="shared" si="2"/>
        <v>1.3051717742309085E-3</v>
      </c>
      <c r="D32" s="58">
        <f t="shared" si="2"/>
        <v>1.3980469495794201E-3</v>
      </c>
      <c r="E32" s="58">
        <f t="shared" si="2"/>
        <v>1.6353261932680332E-3</v>
      </c>
      <c r="F32" s="58">
        <f t="shared" si="2"/>
        <v>1.7827908204723813E-3</v>
      </c>
      <c r="G32" s="58">
        <f t="shared" si="2"/>
        <v>1.9156168153536706E-3</v>
      </c>
      <c r="H32" s="58">
        <f t="shared" si="2"/>
        <v>2.0373143738178384E-3</v>
      </c>
      <c r="I32" s="58">
        <f t="shared" si="2"/>
        <v>2.1586931375903013E-3</v>
      </c>
      <c r="J32" s="58">
        <f t="shared" si="2"/>
        <v>2.2754940609504832E-3</v>
      </c>
      <c r="K32" s="58">
        <f t="shared" si="2"/>
        <v>2.4006405356737049E-3</v>
      </c>
      <c r="L32" s="58">
        <f t="shared" si="2"/>
        <v>2.5332269146684247E-3</v>
      </c>
      <c r="M32" s="58">
        <f t="shared" si="2"/>
        <v>2.6565078351960497E-3</v>
      </c>
      <c r="N32" s="58">
        <f t="shared" si="2"/>
        <v>2.7829985507578643E-3</v>
      </c>
      <c r="O32" s="58">
        <f t="shared" si="2"/>
        <v>2.8990782041864232E-3</v>
      </c>
      <c r="P32" s="58">
        <f t="shared" si="2"/>
        <v>3.0234383404302329E-3</v>
      </c>
      <c r="Q32" s="58">
        <f t="shared" si="2"/>
        <v>3.1334762452972348E-3</v>
      </c>
      <c r="R32" s="58">
        <f t="shared" si="2"/>
        <v>3.2412897630688751E-3</v>
      </c>
      <c r="S32" s="58">
        <f t="shared" si="2"/>
        <v>3.3428960131090977E-3</v>
      </c>
      <c r="T32" s="58">
        <f t="shared" si="2"/>
        <v>3.4553223461369041E-3</v>
      </c>
      <c r="U32" s="58">
        <f t="shared" si="2"/>
        <v>3.5503903661283955E-3</v>
      </c>
      <c r="V32" s="58">
        <f t="shared" si="2"/>
        <v>3.6499370221388899E-3</v>
      </c>
      <c r="W32" s="58">
        <f t="shared" si="2"/>
        <v>3.7479249734424119E-3</v>
      </c>
      <c r="X32" s="58">
        <f t="shared" si="2"/>
        <v>3.8443989995337984E-3</v>
      </c>
      <c r="Y32" s="58">
        <f t="shared" si="2"/>
        <v>3.9342048836043418E-3</v>
      </c>
      <c r="Z32" s="58">
        <f t="shared" si="2"/>
        <v>4.0124826699419885E-3</v>
      </c>
      <c r="AA32" s="58">
        <f t="shared" si="2"/>
        <v>4.0973942957456613E-3</v>
      </c>
      <c r="AB32" s="58">
        <f t="shared" si="2"/>
        <v>4.1823572751119959E-3</v>
      </c>
      <c r="AC32" s="58">
        <f t="shared" si="2"/>
        <v>4.2573515233203449E-3</v>
      </c>
      <c r="AD32" s="58">
        <f t="shared" si="2"/>
        <v>4.3353348895978855E-3</v>
      </c>
      <c r="AE32" s="58">
        <f t="shared" si="2"/>
        <v>4.4139090551581217E-3</v>
      </c>
      <c r="AF32" s="58">
        <f t="shared" si="2"/>
        <v>4.4877482030120557E-3</v>
      </c>
    </row>
    <row r="33" spans="1:32">
      <c r="A33" t="s">
        <v>3399</v>
      </c>
      <c r="B33" s="58">
        <f t="shared" si="2"/>
        <v>4.1995277583808527E-3</v>
      </c>
      <c r="C33" s="58">
        <f t="shared" si="2"/>
        <v>4.5137429567935075E-3</v>
      </c>
      <c r="D33" s="58">
        <f t="shared" si="2"/>
        <v>5.0239440514220132E-3</v>
      </c>
      <c r="E33" s="58">
        <f t="shared" si="2"/>
        <v>5.0562360266431785E-3</v>
      </c>
      <c r="F33" s="58">
        <f t="shared" si="2"/>
        <v>5.2911915607605168E-3</v>
      </c>
      <c r="G33" s="58">
        <f t="shared" si="2"/>
        <v>5.5551471435499825E-3</v>
      </c>
      <c r="H33" s="58">
        <f t="shared" si="2"/>
        <v>5.9453902538962114E-3</v>
      </c>
      <c r="I33" s="58">
        <f t="shared" si="2"/>
        <v>6.3910885152455889E-3</v>
      </c>
      <c r="J33" s="58">
        <f t="shared" si="2"/>
        <v>6.9939010448089008E-3</v>
      </c>
      <c r="K33" s="58">
        <f t="shared" si="2"/>
        <v>7.9014657714060327E-3</v>
      </c>
      <c r="L33" s="58">
        <f t="shared" si="2"/>
        <v>8.9878737800208625E-3</v>
      </c>
      <c r="M33" s="58">
        <f t="shared" si="2"/>
        <v>1.036412039058901E-2</v>
      </c>
      <c r="N33" s="58">
        <f t="shared" si="2"/>
        <v>1.1893565823446113E-2</v>
      </c>
      <c r="O33" s="58">
        <f t="shared" si="2"/>
        <v>1.3561240905372715E-2</v>
      </c>
      <c r="P33" s="58">
        <f t="shared" si="2"/>
        <v>1.5357788410932908E-2</v>
      </c>
      <c r="Q33" s="58">
        <f t="shared" si="2"/>
        <v>1.7207892014923055E-2</v>
      </c>
      <c r="R33" s="58">
        <f t="shared" si="2"/>
        <v>1.8966963392944226E-2</v>
      </c>
      <c r="S33" s="58">
        <f t="shared" si="2"/>
        <v>2.0574027076982186E-2</v>
      </c>
      <c r="T33" s="58">
        <f t="shared" si="2"/>
        <v>2.2026083117937537E-2</v>
      </c>
      <c r="U33" s="58">
        <f t="shared" si="2"/>
        <v>2.315486807403172E-2</v>
      </c>
      <c r="V33" s="58">
        <f t="shared" si="2"/>
        <v>2.4064726048740114E-2</v>
      </c>
      <c r="W33" s="58">
        <f t="shared" si="2"/>
        <v>2.4746025198479918E-2</v>
      </c>
      <c r="X33" s="58">
        <f t="shared" si="2"/>
        <v>2.5171178463135119E-2</v>
      </c>
      <c r="Y33" s="58">
        <f t="shared" si="2"/>
        <v>2.5447459154078332E-2</v>
      </c>
      <c r="Z33" s="58">
        <f t="shared" si="2"/>
        <v>2.5581634001059575E-2</v>
      </c>
      <c r="AA33" s="58">
        <f t="shared" si="2"/>
        <v>2.5561607091746194E-2</v>
      </c>
      <c r="AB33" s="58">
        <f t="shared" si="2"/>
        <v>2.5443519506555393E-2</v>
      </c>
      <c r="AC33" s="58">
        <f t="shared" si="2"/>
        <v>2.5224110299208253E-2</v>
      </c>
      <c r="AD33" s="58">
        <f t="shared" si="2"/>
        <v>2.4941751355858553E-2</v>
      </c>
      <c r="AE33" s="58">
        <f t="shared" si="2"/>
        <v>2.4620105782699183E-2</v>
      </c>
      <c r="AF33" s="58">
        <f t="shared" si="2"/>
        <v>2.4254268542743439E-2</v>
      </c>
    </row>
    <row r="34" spans="1:32">
      <c r="A34" t="s">
        <v>3400</v>
      </c>
      <c r="B34" s="58">
        <f t="shared" si="2"/>
        <v>8.4210496715388908E-5</v>
      </c>
      <c r="C34" s="58">
        <f t="shared" si="2"/>
        <v>7.7736604575071689E-5</v>
      </c>
      <c r="D34" s="58">
        <f t="shared" si="2"/>
        <v>8.9289567759855045E-5</v>
      </c>
      <c r="E34" s="58">
        <f t="shared" si="2"/>
        <v>9.1639802088087823E-5</v>
      </c>
      <c r="F34" s="58">
        <f t="shared" si="2"/>
        <v>9.1646101052402729E-5</v>
      </c>
      <c r="G34" s="58">
        <f t="shared" si="2"/>
        <v>9.076617076579997E-5</v>
      </c>
      <c r="H34" s="58">
        <f t="shared" si="2"/>
        <v>8.8811231134452358E-5</v>
      </c>
      <c r="I34" s="58">
        <f t="shared" si="2"/>
        <v>8.6882386342643708E-5</v>
      </c>
      <c r="J34" s="58">
        <f t="shared" si="2"/>
        <v>8.5149458587185161E-5</v>
      </c>
      <c r="K34" s="58">
        <f t="shared" si="2"/>
        <v>8.5950394308317621E-5</v>
      </c>
      <c r="L34" s="58">
        <f t="shared" si="2"/>
        <v>8.6569105795474368E-5</v>
      </c>
      <c r="M34" s="58">
        <f t="shared" si="2"/>
        <v>8.7548885037155754E-5</v>
      </c>
      <c r="N34" s="58">
        <f t="shared" si="2"/>
        <v>8.8534987417300271E-5</v>
      </c>
      <c r="O34" s="58">
        <f t="shared" si="2"/>
        <v>8.9353489314377465E-5</v>
      </c>
      <c r="P34" s="58">
        <f t="shared" si="2"/>
        <v>9.0208690811400638E-5</v>
      </c>
      <c r="Q34" s="58">
        <f t="shared" si="2"/>
        <v>9.1105476735514322E-5</v>
      </c>
      <c r="R34" s="58">
        <f t="shared" si="2"/>
        <v>9.1758285894684511E-5</v>
      </c>
      <c r="S34" s="58">
        <f t="shared" si="2"/>
        <v>9.225061543999502E-5</v>
      </c>
      <c r="T34" s="58">
        <f t="shared" si="2"/>
        <v>9.2971496784321743E-5</v>
      </c>
      <c r="U34" s="58">
        <f t="shared" si="2"/>
        <v>9.3502512375263338E-5</v>
      </c>
      <c r="V34" s="58">
        <f t="shared" si="2"/>
        <v>9.389093505822426E-5</v>
      </c>
      <c r="W34" s="58">
        <f t="shared" si="2"/>
        <v>9.4413199678452516E-5</v>
      </c>
      <c r="X34" s="58">
        <f t="shared" si="2"/>
        <v>9.5020476219045082E-5</v>
      </c>
      <c r="Y34" s="58">
        <f t="shared" si="2"/>
        <v>9.5392774192737693E-5</v>
      </c>
      <c r="Z34" s="58">
        <f t="shared" si="2"/>
        <v>9.5763855018551672E-5</v>
      </c>
      <c r="AA34" s="58">
        <f t="shared" si="2"/>
        <v>9.6315741172344299E-5</v>
      </c>
      <c r="AB34" s="58">
        <f t="shared" si="2"/>
        <v>9.6566268206718143E-5</v>
      </c>
      <c r="AC34" s="58">
        <f t="shared" si="2"/>
        <v>9.6806371980650527E-5</v>
      </c>
      <c r="AD34" s="58">
        <f t="shared" si="2"/>
        <v>9.6921886263854164E-5</v>
      </c>
      <c r="AE34" s="58">
        <f t="shared" si="2"/>
        <v>9.7100034023675169E-5</v>
      </c>
      <c r="AF34" s="58">
        <f t="shared" si="2"/>
        <v>9.7099926930295771E-5</v>
      </c>
    </row>
    <row r="35" spans="1:32">
      <c r="A35" t="s">
        <v>3401</v>
      </c>
      <c r="B35" s="58">
        <f t="shared" si="2"/>
        <v>6.0257958293659324E-7</v>
      </c>
      <c r="C35" s="58">
        <f t="shared" si="2"/>
        <v>7.1712734847852108E-7</v>
      </c>
      <c r="D35" s="58">
        <f t="shared" si="2"/>
        <v>9.6010287913822634E-7</v>
      </c>
      <c r="E35" s="58">
        <f t="shared" si="2"/>
        <v>1.0609528461717837E-6</v>
      </c>
      <c r="F35" s="58">
        <f t="shared" si="2"/>
        <v>1.3055000149914918E-6</v>
      </c>
      <c r="G35" s="58">
        <f t="shared" si="2"/>
        <v>1.5449560981412762E-6</v>
      </c>
      <c r="H35" s="58">
        <f t="shared" si="2"/>
        <v>1.9085508123449649E-6</v>
      </c>
      <c r="I35" s="58">
        <f t="shared" si="2"/>
        <v>2.395885835283353E-6</v>
      </c>
      <c r="J35" s="58">
        <f t="shared" si="2"/>
        <v>3.005275008959476E-6</v>
      </c>
      <c r="K35" s="58">
        <f t="shared" si="2"/>
        <v>3.8559511194758989E-6</v>
      </c>
      <c r="L35" s="58">
        <f t="shared" si="2"/>
        <v>5.0632429923173318E-6</v>
      </c>
      <c r="M35" s="58">
        <f t="shared" si="2"/>
        <v>6.2534917883682685E-6</v>
      </c>
      <c r="N35" s="58">
        <f t="shared" si="2"/>
        <v>7.8047371827923099E-6</v>
      </c>
      <c r="O35" s="58">
        <f t="shared" si="2"/>
        <v>9.4566786519965285E-6</v>
      </c>
      <c r="P35" s="58">
        <f t="shared" si="2"/>
        <v>1.1456986132463985E-5</v>
      </c>
      <c r="Q35" s="58">
        <f t="shared" si="2"/>
        <v>1.3563792979068667E-5</v>
      </c>
      <c r="R35" s="58">
        <f t="shared" si="2"/>
        <v>1.5890432322907605E-5</v>
      </c>
      <c r="S35" s="58">
        <f t="shared" si="2"/>
        <v>1.8188587838040254E-5</v>
      </c>
      <c r="T35" s="58">
        <f t="shared" si="2"/>
        <v>2.0463192040315091E-5</v>
      </c>
      <c r="U35" s="58">
        <f t="shared" si="2"/>
        <v>2.2699352060912986E-5</v>
      </c>
      <c r="V35" s="58">
        <f t="shared" si="2"/>
        <v>2.4788142256965811E-5</v>
      </c>
      <c r="W35" s="58">
        <f t="shared" si="2"/>
        <v>2.6742655081335072E-5</v>
      </c>
      <c r="X35" s="58">
        <f t="shared" si="2"/>
        <v>2.8436784853874807E-5</v>
      </c>
      <c r="Y35" s="58">
        <f t="shared" si="2"/>
        <v>3.0111935949996718E-5</v>
      </c>
      <c r="Z35" s="58">
        <f t="shared" si="2"/>
        <v>3.1540362750740171E-5</v>
      </c>
      <c r="AA35" s="58">
        <f t="shared" si="2"/>
        <v>3.2938166202806423E-5</v>
      </c>
      <c r="AB35" s="58">
        <f t="shared" si="2"/>
        <v>3.4068940418725328E-5</v>
      </c>
      <c r="AC35" s="58">
        <f t="shared" si="2"/>
        <v>3.5181945372597528E-5</v>
      </c>
      <c r="AD35" s="58">
        <f t="shared" si="2"/>
        <v>3.6053606371399254E-5</v>
      </c>
      <c r="AE35" s="58">
        <f t="shared" si="2"/>
        <v>3.6895803599439716E-5</v>
      </c>
      <c r="AF35" s="58">
        <f t="shared" si="2"/>
        <v>3.7700197363455692E-5</v>
      </c>
    </row>
    <row r="38" spans="1:32">
      <c r="A38" t="s">
        <v>3394</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3403</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3404</v>
      </c>
      <c r="B45">
        <v>3412.14</v>
      </c>
    </row>
    <row r="47" spans="1:32">
      <c r="A47" t="s">
        <v>3405</v>
      </c>
      <c r="B47">
        <v>33.700000000000003</v>
      </c>
    </row>
    <row r="49" spans="1:35">
      <c r="A49" t="s">
        <v>3406</v>
      </c>
    </row>
    <row r="50" spans="1:35">
      <c r="A50" s="1" t="s">
        <v>3407</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112</v>
      </c>
      <c r="B51">
        <f t="shared" ref="B51:AF51" si="3">B9*$B$45/$B$39*$B$47</f>
        <v>89.622758331900158</v>
      </c>
      <c r="C51">
        <f t="shared" si="3"/>
        <v>89.006927288903967</v>
      </c>
      <c r="D51">
        <f t="shared" si="3"/>
        <v>88.612670767037329</v>
      </c>
      <c r="E51">
        <f t="shared" si="3"/>
        <v>88.114604438241543</v>
      </c>
      <c r="F51">
        <f t="shared" si="3"/>
        <v>87.605933074974217</v>
      </c>
      <c r="G51">
        <f t="shared" si="3"/>
        <v>87.369164072422251</v>
      </c>
      <c r="H51">
        <f t="shared" si="3"/>
        <v>87.144819549728993</v>
      </c>
      <c r="I51">
        <f t="shared" si="3"/>
        <v>86.7740384801658</v>
      </c>
      <c r="J51">
        <f t="shared" si="3"/>
        <v>86.498155300268536</v>
      </c>
      <c r="K51">
        <f t="shared" si="3"/>
        <v>86.253150720672423</v>
      </c>
      <c r="L51">
        <f t="shared" si="3"/>
        <v>86.078498055441585</v>
      </c>
      <c r="M51">
        <f t="shared" si="3"/>
        <v>85.980755975080669</v>
      </c>
      <c r="N51">
        <f t="shared" si="3"/>
        <v>85.846981260736328</v>
      </c>
      <c r="O51">
        <f t="shared" si="3"/>
        <v>85.790005400157199</v>
      </c>
      <c r="P51">
        <f t="shared" si="3"/>
        <v>85.759235782139129</v>
      </c>
      <c r="Q51">
        <f t="shared" si="3"/>
        <v>85.735232769753509</v>
      </c>
      <c r="R51">
        <f t="shared" si="3"/>
        <v>85.668119702474741</v>
      </c>
      <c r="S51">
        <f t="shared" si="3"/>
        <v>85.636670956090114</v>
      </c>
      <c r="T51">
        <f t="shared" si="3"/>
        <v>85.618503074005659</v>
      </c>
      <c r="U51">
        <f t="shared" si="3"/>
        <v>85.597688372468582</v>
      </c>
      <c r="V51">
        <f t="shared" si="3"/>
        <v>85.570458662525255</v>
      </c>
      <c r="W51">
        <f t="shared" si="3"/>
        <v>85.563022286980299</v>
      </c>
      <c r="X51">
        <f t="shared" si="3"/>
        <v>85.555143125365234</v>
      </c>
      <c r="Y51">
        <f t="shared" si="3"/>
        <v>85.544093952796516</v>
      </c>
      <c r="Z51">
        <f t="shared" si="3"/>
        <v>85.544065131823814</v>
      </c>
      <c r="AA51">
        <f t="shared" si="3"/>
        <v>85.550202215327218</v>
      </c>
      <c r="AB51">
        <f t="shared" si="3"/>
        <v>85.555375942132926</v>
      </c>
      <c r="AC51">
        <f t="shared" si="3"/>
        <v>85.547043749394561</v>
      </c>
      <c r="AD51">
        <f t="shared" si="3"/>
        <v>85.540055502922897</v>
      </c>
      <c r="AE51">
        <f t="shared" si="3"/>
        <v>85.529836722671163</v>
      </c>
      <c r="AF51">
        <f t="shared" si="3"/>
        <v>85.531572791456028</v>
      </c>
      <c r="AG51" s="4"/>
      <c r="AH51" s="4"/>
      <c r="AI51" s="4"/>
    </row>
    <row r="52" spans="1:35">
      <c r="A52" t="s">
        <v>113</v>
      </c>
      <c r="B52">
        <f t="shared" ref="B52:AF57" si="4">B10/$B$39*$B$42</f>
        <v>27.435003789504723</v>
      </c>
      <c r="C52">
        <f t="shared" si="4"/>
        <v>28.478964615029835</v>
      </c>
      <c r="D52">
        <f t="shared" si="4"/>
        <v>29.085727000357398</v>
      </c>
      <c r="E52">
        <f t="shared" si="4"/>
        <v>29.477804132389693</v>
      </c>
      <c r="F52">
        <f t="shared" si="4"/>
        <v>29.733389312921869</v>
      </c>
      <c r="G52">
        <f t="shared" si="4"/>
        <v>30.020746934960513</v>
      </c>
      <c r="H52">
        <f t="shared" si="4"/>
        <v>30.201755954297465</v>
      </c>
      <c r="I52">
        <f t="shared" si="4"/>
        <v>30.206995846969715</v>
      </c>
      <c r="J52">
        <f t="shared" si="4"/>
        <v>30.188250938409791</v>
      </c>
      <c r="K52">
        <f t="shared" si="4"/>
        <v>30.172798724032305</v>
      </c>
      <c r="L52">
        <f t="shared" si="4"/>
        <v>30.221613536225775</v>
      </c>
      <c r="M52">
        <f t="shared" si="4"/>
        <v>30.208491410789865</v>
      </c>
      <c r="N52">
        <f t="shared" si="4"/>
        <v>30.191501076073479</v>
      </c>
      <c r="O52">
        <f t="shared" si="4"/>
        <v>30.174174236538441</v>
      </c>
      <c r="P52">
        <f t="shared" si="4"/>
        <v>30.176118546252621</v>
      </c>
      <c r="Q52">
        <f t="shared" si="4"/>
        <v>30.127554046859441</v>
      </c>
      <c r="R52">
        <f t="shared" si="4"/>
        <v>30.074232882922772</v>
      </c>
      <c r="S52">
        <f t="shared" si="4"/>
        <v>30.040461915872523</v>
      </c>
      <c r="T52">
        <f t="shared" si="4"/>
        <v>30.020490960417355</v>
      </c>
      <c r="U52">
        <f t="shared" si="4"/>
        <v>29.975672108239571</v>
      </c>
      <c r="V52">
        <f t="shared" si="4"/>
        <v>29.941268492383692</v>
      </c>
      <c r="W52">
        <f t="shared" si="4"/>
        <v>29.911184901899237</v>
      </c>
      <c r="X52">
        <f t="shared" si="4"/>
        <v>29.875939807473397</v>
      </c>
      <c r="Y52">
        <f t="shared" si="4"/>
        <v>29.842111779055994</v>
      </c>
      <c r="Z52">
        <f t="shared" si="4"/>
        <v>29.816914430176062</v>
      </c>
      <c r="AA52">
        <f t="shared" si="4"/>
        <v>29.799039183010986</v>
      </c>
      <c r="AB52">
        <f t="shared" si="4"/>
        <v>29.76855805037939</v>
      </c>
      <c r="AC52">
        <f t="shared" si="4"/>
        <v>29.738573334914719</v>
      </c>
      <c r="AD52">
        <f t="shared" si="4"/>
        <v>29.700932956100836</v>
      </c>
      <c r="AE52">
        <f t="shared" si="4"/>
        <v>29.675002564890217</v>
      </c>
      <c r="AF52">
        <f t="shared" si="4"/>
        <v>29.650867581575177</v>
      </c>
      <c r="AG52" s="4"/>
      <c r="AH52" s="4"/>
      <c r="AI52" s="4"/>
    </row>
    <row r="53" spans="1:35">
      <c r="A53" t="s">
        <v>114</v>
      </c>
      <c r="B53">
        <f t="shared" si="4"/>
        <v>28.931811294797296</v>
      </c>
      <c r="C53">
        <f t="shared" si="4"/>
        <v>29.97034284557957</v>
      </c>
      <c r="D53">
        <f t="shared" si="4"/>
        <v>30.533501799466755</v>
      </c>
      <c r="E53">
        <f t="shared" si="4"/>
        <v>30.90696346213522</v>
      </c>
      <c r="F53" s="37">
        <f>-((F29*EV_FE_2024+F30*NG_FE_2024+F32*Diesel_FE_2024+F33*PHEV_FE_2024+F34*LPG_FE_2024+F35*Hydg_FE_2024)-B5)/F31</f>
        <v>28.68251605946098</v>
      </c>
      <c r="G53" s="37">
        <f>-((G29*EV_FE_2024+G30*NG_FE_2024+G32*Diesel_FE_2024+G33*PHEV_FE_2024+G34*LPG_FE_2024+G35*Hydg_FE_2024)-C5)/G31</f>
        <v>30.061604554859713</v>
      </c>
      <c r="H53" s="37">
        <f>-((H29*EV_FE_2024+H30*NG_FE_2024+H32*Diesel_FE_2024+H33*PHEV_FE_2024+H34*LPG_FE_2024+H35*Hydg_FE_2024)-D5)/H31</f>
        <v>32.78813809195762</v>
      </c>
      <c r="I53">
        <f t="shared" si="4"/>
        <v>31.836276316122863</v>
      </c>
      <c r="J53">
        <f t="shared" si="4"/>
        <v>31.842694652950104</v>
      </c>
      <c r="K53">
        <f t="shared" si="4"/>
        <v>31.845961697096751</v>
      </c>
      <c r="L53">
        <f t="shared" si="4"/>
        <v>31.924177024609833</v>
      </c>
      <c r="M53">
        <f t="shared" si="4"/>
        <v>31.928377588310095</v>
      </c>
      <c r="N53">
        <f t="shared" si="4"/>
        <v>31.931654778766095</v>
      </c>
      <c r="O53">
        <f t="shared" si="4"/>
        <v>31.932290533857728</v>
      </c>
      <c r="P53">
        <f t="shared" si="4"/>
        <v>31.950725136348066</v>
      </c>
      <c r="Q53">
        <f t="shared" si="4"/>
        <v>31.911845273692272</v>
      </c>
      <c r="R53">
        <f t="shared" si="4"/>
        <v>31.872526016022036</v>
      </c>
      <c r="S53">
        <f t="shared" si="4"/>
        <v>31.851612327037738</v>
      </c>
      <c r="T53">
        <f t="shared" si="4"/>
        <v>31.844278010483585</v>
      </c>
      <c r="U53">
        <f t="shared" si="4"/>
        <v>31.810612077919561</v>
      </c>
      <c r="V53">
        <f t="shared" si="4"/>
        <v>31.789276557174567</v>
      </c>
      <c r="W53">
        <f t="shared" si="4"/>
        <v>31.775708896767821</v>
      </c>
      <c r="X53">
        <f t="shared" si="4"/>
        <v>31.754253497775348</v>
      </c>
      <c r="Y53">
        <f t="shared" si="4"/>
        <v>31.736351681845459</v>
      </c>
      <c r="Z53">
        <f t="shared" si="4"/>
        <v>31.728239978006194</v>
      </c>
      <c r="AA53">
        <f t="shared" si="4"/>
        <v>31.728568758770198</v>
      </c>
      <c r="AB53">
        <f t="shared" si="4"/>
        <v>31.713654714276398</v>
      </c>
      <c r="AC53">
        <f t="shared" si="4"/>
        <v>31.703005297146838</v>
      </c>
      <c r="AD53">
        <f t="shared" si="4"/>
        <v>31.684195715730624</v>
      </c>
      <c r="AE53">
        <f t="shared" si="4"/>
        <v>31.680010636654625</v>
      </c>
      <c r="AF53">
        <f t="shared" si="4"/>
        <v>31.677001169237776</v>
      </c>
      <c r="AG53" s="4"/>
      <c r="AH53" s="4"/>
      <c r="AI53" s="4"/>
    </row>
    <row r="54" spans="1:35">
      <c r="A54" t="s">
        <v>115</v>
      </c>
      <c r="B54">
        <f t="shared" si="4"/>
        <v>30.41826872574363</v>
      </c>
      <c r="C54">
        <f t="shared" si="4"/>
        <v>31.048448871665705</v>
      </c>
      <c r="D54">
        <f t="shared" si="4"/>
        <v>31.324095914234988</v>
      </c>
      <c r="E54">
        <f t="shared" si="4"/>
        <v>31.565900073610877</v>
      </c>
      <c r="F54">
        <f t="shared" si="4"/>
        <v>31.719053938274374</v>
      </c>
      <c r="G54">
        <f t="shared" si="4"/>
        <v>32.074479864056769</v>
      </c>
      <c r="H54">
        <f t="shared" si="4"/>
        <v>32.100009267333938</v>
      </c>
      <c r="I54">
        <f t="shared" si="4"/>
        <v>32.02121826346086</v>
      </c>
      <c r="J54">
        <f t="shared" si="4"/>
        <v>31.985685498542964</v>
      </c>
      <c r="K54">
        <f t="shared" si="4"/>
        <v>31.937761030304781</v>
      </c>
      <c r="L54">
        <f t="shared" si="4"/>
        <v>31.889974123093452</v>
      </c>
      <c r="M54">
        <f t="shared" si="4"/>
        <v>31.839354272799198</v>
      </c>
      <c r="N54">
        <f t="shared" si="4"/>
        <v>31.795672585692035</v>
      </c>
      <c r="O54">
        <f t="shared" si="4"/>
        <v>31.745779434777692</v>
      </c>
      <c r="P54">
        <f t="shared" si="4"/>
        <v>31.713232145411244</v>
      </c>
      <c r="Q54">
        <f t="shared" si="4"/>
        <v>31.667723938484901</v>
      </c>
      <c r="R54">
        <f t="shared" si="4"/>
        <v>31.636725054803307</v>
      </c>
      <c r="S54">
        <f t="shared" si="4"/>
        <v>31.602797490668575</v>
      </c>
      <c r="T54">
        <f t="shared" si="4"/>
        <v>31.570037741573653</v>
      </c>
      <c r="U54">
        <f t="shared" si="4"/>
        <v>31.546264460189718</v>
      </c>
      <c r="V54">
        <f t="shared" si="4"/>
        <v>31.508592072843829</v>
      </c>
      <c r="W54">
        <f t="shared" si="4"/>
        <v>31.483249345117411</v>
      </c>
      <c r="X54">
        <f t="shared" si="4"/>
        <v>31.454922340144215</v>
      </c>
      <c r="Y54">
        <f t="shared" si="4"/>
        <v>31.43077535064182</v>
      </c>
      <c r="Z54">
        <f t="shared" si="4"/>
        <v>31.407411779001762</v>
      </c>
      <c r="AA54">
        <f t="shared" si="4"/>
        <v>31.388600494742629</v>
      </c>
      <c r="AB54">
        <f t="shared" si="4"/>
        <v>31.359983613235816</v>
      </c>
      <c r="AC54">
        <f t="shared" si="4"/>
        <v>31.336793067434151</v>
      </c>
      <c r="AD54">
        <f t="shared" si="4"/>
        <v>31.312554084989852</v>
      </c>
      <c r="AE54">
        <f t="shared" si="4"/>
        <v>31.287723740671371</v>
      </c>
      <c r="AF54">
        <f t="shared" si="4"/>
        <v>31.2622143800183</v>
      </c>
      <c r="AG54" s="4"/>
      <c r="AH54" s="4"/>
      <c r="AI54" s="4"/>
    </row>
    <row r="55" spans="1:35">
      <c r="A55" t="s">
        <v>116</v>
      </c>
      <c r="B55">
        <f t="shared" si="4"/>
        <v>47.424489029200636</v>
      </c>
      <c r="C55">
        <f t="shared" si="4"/>
        <v>48.961020216069009</v>
      </c>
      <c r="D55">
        <f t="shared" si="4"/>
        <v>49.492626165831794</v>
      </c>
      <c r="E55">
        <f t="shared" si="4"/>
        <v>49.774046543179615</v>
      </c>
      <c r="F55">
        <f t="shared" si="4"/>
        <v>50.682933098137518</v>
      </c>
      <c r="G55">
        <f t="shared" si="4"/>
        <v>52.717624119186496</v>
      </c>
      <c r="H55">
        <f t="shared" si="4"/>
        <v>55.196400249212871</v>
      </c>
      <c r="I55">
        <f t="shared" si="4"/>
        <v>55.353694339967532</v>
      </c>
      <c r="J55">
        <f t="shared" si="4"/>
        <v>55.271621263689461</v>
      </c>
      <c r="K55">
        <f t="shared" si="4"/>
        <v>55.186329489283004</v>
      </c>
      <c r="L55">
        <f t="shared" si="4"/>
        <v>55.14086107000351</v>
      </c>
      <c r="M55">
        <f t="shared" si="4"/>
        <v>55.04199899493053</v>
      </c>
      <c r="N55">
        <f t="shared" si="4"/>
        <v>54.986618325145734</v>
      </c>
      <c r="O55">
        <f t="shared" si="4"/>
        <v>54.924875128922324</v>
      </c>
      <c r="P55">
        <f t="shared" si="4"/>
        <v>54.869992880918623</v>
      </c>
      <c r="Q55">
        <f t="shared" si="4"/>
        <v>54.785214385321829</v>
      </c>
      <c r="R55">
        <f t="shared" si="4"/>
        <v>54.730674878131374</v>
      </c>
      <c r="S55">
        <f t="shared" si="4"/>
        <v>54.668368469858265</v>
      </c>
      <c r="T55">
        <f t="shared" si="4"/>
        <v>54.593282001769751</v>
      </c>
      <c r="U55">
        <f t="shared" si="4"/>
        <v>54.497171739106768</v>
      </c>
      <c r="V55">
        <f t="shared" si="4"/>
        <v>54.401962620422005</v>
      </c>
      <c r="W55">
        <f t="shared" si="4"/>
        <v>54.296003783367041</v>
      </c>
      <c r="X55">
        <f t="shared" si="4"/>
        <v>54.169247752840562</v>
      </c>
      <c r="Y55">
        <f t="shared" si="4"/>
        <v>54.038354551400289</v>
      </c>
      <c r="Z55">
        <f t="shared" si="4"/>
        <v>53.890083259716775</v>
      </c>
      <c r="AA55">
        <f t="shared" si="4"/>
        <v>53.721454412492207</v>
      </c>
      <c r="AB55">
        <f t="shared" si="4"/>
        <v>53.520014929580618</v>
      </c>
      <c r="AC55">
        <f t="shared" si="4"/>
        <v>53.30313673689426</v>
      </c>
      <c r="AD55">
        <f t="shared" si="4"/>
        <v>53.044757220026256</v>
      </c>
      <c r="AE55">
        <f t="shared" si="4"/>
        <v>52.777190825227407</v>
      </c>
      <c r="AF55">
        <f t="shared" si="4"/>
        <v>52.471440576795054</v>
      </c>
      <c r="AG55" s="4"/>
      <c r="AH55" s="4"/>
      <c r="AI55" s="4"/>
    </row>
    <row r="56" spans="1:35">
      <c r="A56" t="s">
        <v>853</v>
      </c>
      <c r="B56">
        <f t="shared" si="4"/>
        <v>26.236585997151597</v>
      </c>
      <c r="C56">
        <f t="shared" si="4"/>
        <v>27.067268144978996</v>
      </c>
      <c r="D56">
        <f t="shared" si="4"/>
        <v>27.624600135849665</v>
      </c>
      <c r="E56">
        <f t="shared" si="4"/>
        <v>27.945701319355816</v>
      </c>
      <c r="F56">
        <f t="shared" si="4"/>
        <v>28.148216544636224</v>
      </c>
      <c r="G56">
        <f t="shared" si="4"/>
        <v>28.418980148393533</v>
      </c>
      <c r="H56">
        <f t="shared" si="4"/>
        <v>28.55411959253825</v>
      </c>
      <c r="I56">
        <f t="shared" si="4"/>
        <v>28.554028754924364</v>
      </c>
      <c r="J56">
        <f t="shared" si="4"/>
        <v>28.545504143637547</v>
      </c>
      <c r="K56">
        <f t="shared" si="4"/>
        <v>28.533602475612263</v>
      </c>
      <c r="L56">
        <f t="shared" si="4"/>
        <v>28.563423668618782</v>
      </c>
      <c r="M56">
        <f t="shared" si="4"/>
        <v>28.565889427460082</v>
      </c>
      <c r="N56">
        <f t="shared" si="4"/>
        <v>28.54510104315974</v>
      </c>
      <c r="O56">
        <f t="shared" si="4"/>
        <v>28.528301087208369</v>
      </c>
      <c r="P56">
        <f t="shared" si="4"/>
        <v>28.520157871464338</v>
      </c>
      <c r="Q56">
        <f t="shared" si="4"/>
        <v>28.487055450359563</v>
      </c>
      <c r="R56">
        <f t="shared" si="4"/>
        <v>28.443963060972258</v>
      </c>
      <c r="S56">
        <f t="shared" si="4"/>
        <v>28.407975208409354</v>
      </c>
      <c r="T56">
        <f t="shared" si="4"/>
        <v>28.387355796462185</v>
      </c>
      <c r="U56">
        <f t="shared" si="4"/>
        <v>28.34967289782271</v>
      </c>
      <c r="V56">
        <f t="shared" si="4"/>
        <v>28.315963916953425</v>
      </c>
      <c r="W56">
        <f t="shared" si="4"/>
        <v>28.287465544408487</v>
      </c>
      <c r="X56">
        <f t="shared" si="4"/>
        <v>28.256860147121817</v>
      </c>
      <c r="Y56">
        <f t="shared" si="4"/>
        <v>28.223654167799623</v>
      </c>
      <c r="Z56">
        <f t="shared" si="4"/>
        <v>28.196536908506996</v>
      </c>
      <c r="AA56">
        <f t="shared" si="4"/>
        <v>28.172062301537217</v>
      </c>
      <c r="AB56">
        <f t="shared" si="4"/>
        <v>28.143404921921832</v>
      </c>
      <c r="AC56">
        <f t="shared" si="4"/>
        <v>28.112045540383214</v>
      </c>
      <c r="AD56">
        <f t="shared" si="4"/>
        <v>28.077936029799101</v>
      </c>
      <c r="AE56">
        <f t="shared" si="4"/>
        <v>28.045794210481322</v>
      </c>
      <c r="AF56">
        <f t="shared" si="4"/>
        <v>28.017636778893273</v>
      </c>
      <c r="AG56" s="4"/>
      <c r="AH56" s="4"/>
      <c r="AI56" s="4"/>
    </row>
    <row r="57" spans="1:35">
      <c r="A57" t="s">
        <v>854</v>
      </c>
      <c r="B57">
        <f t="shared" si="4"/>
        <v>42.415065685527267</v>
      </c>
      <c r="C57">
        <f t="shared" si="4"/>
        <v>42.272626641610366</v>
      </c>
      <c r="D57">
        <f t="shared" si="4"/>
        <v>42.193808985356775</v>
      </c>
      <c r="E57">
        <f t="shared" si="4"/>
        <v>42.167116434131238</v>
      </c>
      <c r="F57">
        <f t="shared" si="4"/>
        <v>42.209787125281842</v>
      </c>
      <c r="G57">
        <f t="shared" si="4"/>
        <v>42.237182222698955</v>
      </c>
      <c r="H57">
        <f t="shared" si="4"/>
        <v>42.330627641417557</v>
      </c>
      <c r="I57">
        <f t="shared" si="4"/>
        <v>42.242485252955007</v>
      </c>
      <c r="J57">
        <f t="shared" si="4"/>
        <v>42.19275118134653</v>
      </c>
      <c r="K57">
        <f t="shared" si="4"/>
        <v>42.125024654464006</v>
      </c>
      <c r="L57">
        <f t="shared" si="4"/>
        <v>42.075400549798061</v>
      </c>
      <c r="M57">
        <f t="shared" si="4"/>
        <v>42.009942609888512</v>
      </c>
      <c r="N57">
        <f t="shared" si="4"/>
        <v>41.943305354858495</v>
      </c>
      <c r="O57">
        <f t="shared" si="4"/>
        <v>41.880498607595499</v>
      </c>
      <c r="P57">
        <f t="shared" si="4"/>
        <v>41.831863823693098</v>
      </c>
      <c r="Q57">
        <f t="shared" si="4"/>
        <v>41.774670725248377</v>
      </c>
      <c r="R57">
        <f t="shared" si="4"/>
        <v>41.719603629881341</v>
      </c>
      <c r="S57">
        <f t="shared" si="4"/>
        <v>41.678160771847551</v>
      </c>
      <c r="T57">
        <f t="shared" si="4"/>
        <v>41.646309305493766</v>
      </c>
      <c r="U57">
        <f t="shared" si="4"/>
        <v>41.616786837097671</v>
      </c>
      <c r="V57">
        <f t="shared" si="4"/>
        <v>41.594938758237681</v>
      </c>
      <c r="W57">
        <f t="shared" si="4"/>
        <v>41.581306965685251</v>
      </c>
      <c r="X57">
        <f t="shared" si="4"/>
        <v>41.56964439198547</v>
      </c>
      <c r="Y57">
        <f t="shared" si="4"/>
        <v>41.562111166255065</v>
      </c>
      <c r="Z57">
        <f t="shared" si="4"/>
        <v>41.561046746226381</v>
      </c>
      <c r="AA57">
        <f t="shared" si="4"/>
        <v>41.56545975844287</v>
      </c>
      <c r="AB57">
        <f t="shared" si="4"/>
        <v>41.567265154880374</v>
      </c>
      <c r="AC57">
        <f t="shared" si="4"/>
        <v>41.567871484832423</v>
      </c>
      <c r="AD57">
        <f t="shared" si="4"/>
        <v>41.569473358861252</v>
      </c>
      <c r="AE57">
        <f t="shared" si="4"/>
        <v>41.572121941247467</v>
      </c>
      <c r="AF57">
        <f t="shared" si="4"/>
        <v>41.579028738497485</v>
      </c>
      <c r="AG57" s="4"/>
      <c r="AH57" s="4"/>
      <c r="AI57" s="4"/>
    </row>
    <row r="59" spans="1:35">
      <c r="A59" t="s">
        <v>3408</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5">SUMPRODUCT(G51:G57,G19:G25)/SUM(G19:G25)</f>
        <v>36.786698842707899</v>
      </c>
      <c r="H59">
        <f t="shared" si="5"/>
        <v>40.657041607074738</v>
      </c>
      <c r="I59">
        <f t="shared" si="5"/>
        <v>41.166234870689244</v>
      </c>
      <c r="J59">
        <f t="shared" si="5"/>
        <v>42.319761316399827</v>
      </c>
      <c r="K59">
        <f t="shared" si="5"/>
        <v>43.364560995168333</v>
      </c>
      <c r="L59">
        <f t="shared" si="5"/>
        <v>44.527706062626912</v>
      </c>
      <c r="M59">
        <f t="shared" si="5"/>
        <v>45.429160513946613</v>
      </c>
      <c r="N59">
        <f t="shared" si="5"/>
        <v>46.189841545316469</v>
      </c>
      <c r="O59">
        <f t="shared" si="5"/>
        <v>46.928463281650885</v>
      </c>
      <c r="P59">
        <f t="shared" si="5"/>
        <v>47.583512964435954</v>
      </c>
      <c r="Q59">
        <f t="shared" si="5"/>
        <v>48.158917897201412</v>
      </c>
      <c r="R59">
        <f t="shared" si="5"/>
        <v>48.720634459436091</v>
      </c>
      <c r="S59">
        <f t="shared" si="5"/>
        <v>49.272773160232092</v>
      </c>
      <c r="T59">
        <f t="shared" si="5"/>
        <v>49.865369132217261</v>
      </c>
      <c r="U59">
        <f t="shared" si="5"/>
        <v>50.346289183875932</v>
      </c>
      <c r="V59">
        <f t="shared" si="5"/>
        <v>50.84952959063213</v>
      </c>
      <c r="W59">
        <f t="shared" si="5"/>
        <v>51.376449362466502</v>
      </c>
      <c r="X59">
        <f t="shared" si="5"/>
        <v>51.847541836531391</v>
      </c>
      <c r="Y59">
        <f t="shared" si="5"/>
        <v>52.355116350250363</v>
      </c>
      <c r="Z59">
        <f t="shared" si="5"/>
        <v>52.882166948757764</v>
      </c>
      <c r="AA59">
        <f t="shared" si="5"/>
        <v>53.361537108722089</v>
      </c>
      <c r="AB59">
        <f t="shared" si="5"/>
        <v>53.845378709798958</v>
      </c>
      <c r="AC59">
        <f t="shared" si="5"/>
        <v>54.358859205224455</v>
      </c>
      <c r="AD59">
        <f t="shared" si="5"/>
        <v>54.786294974756707</v>
      </c>
      <c r="AE59">
        <f t="shared" si="5"/>
        <v>55.227011983382702</v>
      </c>
      <c r="AF59">
        <f t="shared" si="5"/>
        <v>55.67336929022531</v>
      </c>
    </row>
    <row r="61" spans="1:35" ht="29">
      <c r="A61" s="127" t="s">
        <v>3409</v>
      </c>
      <c r="B61">
        <f>$F$61*'AEO 7'!C41/'AEO 7'!$G$41</f>
        <v>3.7068404566156505E-4</v>
      </c>
      <c r="C61">
        <f>$F$61*'AEO 7'!D41/'AEO 7'!$G$41</f>
        <v>3.8286968063361244E-4</v>
      </c>
      <c r="D61">
        <f>$F$61*'AEO 7'!E41/'AEO 7'!$G$41</f>
        <v>3.8999540362380768E-4</v>
      </c>
      <c r="E61">
        <f>$F$61*'AEO 7'!F41/'AEO 7'!$G$41</f>
        <v>3.9439145706872869E-4</v>
      </c>
      <c r="F61">
        <f>F53*$B$39/$B$42</f>
        <v>3.9758791642567675E-4</v>
      </c>
      <c r="G61">
        <f>G53*$B$39/$B$42</f>
        <v>4.1670440259151796E-4</v>
      </c>
      <c r="H61">
        <f t="shared" ref="H61" si="6">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3410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88" workbookViewId="0">
      <selection activeCell="E77" sqref="E77"/>
    </sheetView>
  </sheetViews>
  <sheetFormatPr defaultRowHeight="14.5"/>
  <cols>
    <col min="1" max="1" width="50.36328125" customWidth="1"/>
    <col min="2" max="2" width="20.08984375" bestFit="1" customWidth="1"/>
    <col min="3" max="3" width="11.7265625" bestFit="1" customWidth="1"/>
    <col min="4" max="4" width="21.26953125" customWidth="1"/>
    <col min="5" max="5" width="17.81640625" customWidth="1"/>
    <col min="6" max="33" width="11.726562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469</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470</v>
      </c>
      <c r="B4" s="115">
        <f>INDEX('AEO 48'!$178:$178,MATCH(B$2,'AEO 48'!$1:$1,0))/INDEX('AEO 48'!$70:$70,MATCH(B$2,'AEO 48'!$1:$1,0))</f>
        <v>0.54353761937504563</v>
      </c>
      <c r="C4" s="115">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SUM(B3:B4)</f>
        <v>1</v>
      </c>
      <c r="C5">
        <f t="shared" ref="C5:AF5" si="0">SUM(C3:C4)</f>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598</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7'!$22:$22,MATCH(B2,'AEO 7'!$1:$1,0))*10^9)/(INDEX('AEO 7'!$58:$58,,MATCH(B2,'AEO 7'!$1:$1,0))*10^15)</f>
        <v>8.7638862145128277E-4</v>
      </c>
      <c r="C13" cm="1">
        <f t="array" ref="C13">(INDEX('AEO 7'!$22:$22,MATCH(C2,'AEO 7'!$1:$1,0))*10^9)/(INDEX('AEO 7'!$58:$58,,MATCH(C2,'AEO 7'!$1:$1,0))*10^15)</f>
        <v>8.6858289366033401E-4</v>
      </c>
      <c r="D13" cm="1">
        <f t="array" ref="D13">(INDEX('AEO 7'!$22:$22,MATCH(D2,'AEO 7'!$1:$1,0))*10^9)/(INDEX('AEO 7'!$58:$58,,MATCH(D2,'AEO 7'!$1:$1,0))*10^15)</f>
        <v>8.6877437432266249E-4</v>
      </c>
      <c r="E13" cm="1">
        <f t="array" ref="E13">(INDEX('AEO 7'!$22:$22,MATCH(E2,'AEO 7'!$1:$1,0))*10^9)/(INDEX('AEO 7'!$58:$58,,MATCH(E2,'AEO 7'!$1:$1,0))*10^15)</f>
        <v>8.7093458730761733E-4</v>
      </c>
      <c r="F13" cm="1">
        <f t="array" ref="F13">(INDEX('AEO 7'!$22:$22,MATCH(F2,'AEO 7'!$1:$1,0))*10^9)/(INDEX('AEO 7'!$58:$58,,MATCH(F2,'AEO 7'!$1:$1,0))*10^15)</f>
        <v>8.736463756778552E-4</v>
      </c>
      <c r="G13" cm="1">
        <f t="array" ref="G13">(INDEX('AEO 7'!$22:$22,MATCH(G2,'AEO 7'!$1:$1,0))*10^9)/(INDEX('AEO 7'!$58:$58,,MATCH(G2,'AEO 7'!$1:$1,0))*10^15)</f>
        <v>8.7735221110251792E-4</v>
      </c>
      <c r="H13" cm="1">
        <f t="array" ref="H13">(INDEX('AEO 7'!$22:$22,MATCH(H2,'AEO 7'!$1:$1,0))*10^9)/(INDEX('AEO 7'!$58:$58,,MATCH(H2,'AEO 7'!$1:$1,0))*10^15)</f>
        <v>8.8073902997118413E-4</v>
      </c>
      <c r="I13" cm="1">
        <f t="array" ref="I13">(INDEX('AEO 7'!$22:$22,MATCH(I2,'AEO 7'!$1:$1,0))*10^9)/(INDEX('AEO 7'!$58:$58,,MATCH(I2,'AEO 7'!$1:$1,0))*10^15)</f>
        <v>8.8339079190982771E-4</v>
      </c>
      <c r="J13" cm="1">
        <f t="array" ref="J13">(INDEX('AEO 7'!$22:$22,MATCH(J2,'AEO 7'!$1:$1,0))*10^9)/(INDEX('AEO 7'!$58:$58,,MATCH(J2,'AEO 7'!$1:$1,0))*10^15)</f>
        <v>8.8949252263659186E-4</v>
      </c>
      <c r="K13" cm="1">
        <f t="array" ref="K13">(INDEX('AEO 7'!$22:$22,MATCH(K2,'AEO 7'!$1:$1,0))*10^9)/(INDEX('AEO 7'!$58:$58,,MATCH(K2,'AEO 7'!$1:$1,0))*10^15)</f>
        <v>8.9464835150599158E-4</v>
      </c>
      <c r="L13" cm="1">
        <f t="array" ref="L13">(INDEX('AEO 7'!$22:$22,MATCH(L2,'AEO 7'!$1:$1,0))*10^9)/(INDEX('AEO 7'!$58:$58,,MATCH(L2,'AEO 7'!$1:$1,0))*10^15)</f>
        <v>8.973424598838829E-4</v>
      </c>
      <c r="M13" cm="1">
        <f t="array" ref="M13">(INDEX('AEO 7'!$22:$22,MATCH(M2,'AEO 7'!$1:$1,0))*10^9)/(INDEX('AEO 7'!$58:$58,,MATCH(M2,'AEO 7'!$1:$1,0))*10^15)</f>
        <v>9.0212622002573651E-4</v>
      </c>
      <c r="N13" cm="1">
        <f t="array" ref="N13">(INDEX('AEO 7'!$22:$22,MATCH(N2,'AEO 7'!$1:$1,0))*10^9)/(INDEX('AEO 7'!$58:$58,,MATCH(N2,'AEO 7'!$1:$1,0))*10^15)</f>
        <v>9.0526711058628933E-4</v>
      </c>
      <c r="O13" cm="1">
        <f t="array" ref="O13">(INDEX('AEO 7'!$22:$22,MATCH(O2,'AEO 7'!$1:$1,0))*10^9)/(INDEX('AEO 7'!$58:$58,,MATCH(O2,'AEO 7'!$1:$1,0))*10^15)</f>
        <v>9.0834532435354919E-4</v>
      </c>
      <c r="P13" cm="1">
        <f t="array" ref="P13">(INDEX('AEO 7'!$22:$22,MATCH(P2,'AEO 7'!$1:$1,0))*10^9)/(INDEX('AEO 7'!$58:$58,,MATCH(P2,'AEO 7'!$1:$1,0))*10^15)</f>
        <v>9.1088507423963392E-4</v>
      </c>
      <c r="Q13" cm="1">
        <f t="array" ref="Q13">(INDEX('AEO 7'!$22:$22,MATCH(Q2,'AEO 7'!$1:$1,0))*10^9)/(INDEX('AEO 7'!$58:$58,,MATCH(Q2,'AEO 7'!$1:$1,0))*10^15)</f>
        <v>9.1469488608285192E-4</v>
      </c>
      <c r="R13" cm="1">
        <f t="array" ref="R13">(INDEX('AEO 7'!$22:$22,MATCH(R2,'AEO 7'!$1:$1,0))*10^9)/(INDEX('AEO 7'!$58:$58,,MATCH(R2,'AEO 7'!$1:$1,0))*10^15)</f>
        <v>9.1742988466540179E-4</v>
      </c>
      <c r="S13" cm="1">
        <f t="array" ref="S13">(INDEX('AEO 7'!$22:$22,MATCH(S2,'AEO 7'!$1:$1,0))*10^9)/(INDEX('AEO 7'!$58:$58,,MATCH(S2,'AEO 7'!$1:$1,0))*10^15)</f>
        <v>9.1979706310358516E-4</v>
      </c>
      <c r="T13" cm="1">
        <f t="array" ref="T13">(INDEX('AEO 7'!$22:$22,MATCH(T2,'AEO 7'!$1:$1,0))*10^9)/(INDEX('AEO 7'!$58:$58,,MATCH(T2,'AEO 7'!$1:$1,0))*10^15)</f>
        <v>9.2232841836233169E-4</v>
      </c>
      <c r="U13" cm="1">
        <f t="array" ref="U13">(INDEX('AEO 7'!$22:$22,MATCH(U2,'AEO 7'!$1:$1,0))*10^9)/(INDEX('AEO 7'!$58:$58,,MATCH(U2,'AEO 7'!$1:$1,0))*10^15)</f>
        <v>9.2542898153305628E-4</v>
      </c>
      <c r="V13" cm="1">
        <f t="array" ref="V13">(INDEX('AEO 7'!$22:$22,MATCH(V2,'AEO 7'!$1:$1,0))*10^9)/(INDEX('AEO 7'!$58:$58,,MATCH(V2,'AEO 7'!$1:$1,0))*10^15)</f>
        <v>9.280444612359502E-4</v>
      </c>
      <c r="W13" cm="1">
        <f t="array" ref="W13">(INDEX('AEO 7'!$22:$22,MATCH(W2,'AEO 7'!$1:$1,0))*10^9)/(INDEX('AEO 7'!$58:$58,,MATCH(W2,'AEO 7'!$1:$1,0))*10^15)</f>
        <v>9.311671890877151E-4</v>
      </c>
      <c r="X13" cm="1">
        <f t="array" ref="X13">(INDEX('AEO 7'!$22:$22,MATCH(X2,'AEO 7'!$1:$1,0))*10^9)/(INDEX('AEO 7'!$58:$58,,MATCH(X2,'AEO 7'!$1:$1,0))*10^15)</f>
        <v>9.3441961609233137E-4</v>
      </c>
      <c r="Y13" cm="1">
        <f t="array" ref="Y13">(INDEX('AEO 7'!$22:$22,MATCH(Y2,'AEO 7'!$1:$1,0))*10^9)/(INDEX('AEO 7'!$58:$58,,MATCH(Y2,'AEO 7'!$1:$1,0))*10^15)</f>
        <v>9.376490052737177E-4</v>
      </c>
      <c r="Z13" cm="1">
        <f t="array" ref="Z13">(INDEX('AEO 7'!$22:$22,MATCH(Z2,'AEO 7'!$1:$1,0))*10^9)/(INDEX('AEO 7'!$58:$58,,MATCH(Z2,'AEO 7'!$1:$1,0))*10^15)</f>
        <v>9.408107292685578E-4</v>
      </c>
      <c r="AA13" cm="1">
        <f t="array" ref="AA13">(INDEX('AEO 7'!$22:$22,MATCH(AA2,'AEO 7'!$1:$1,0))*10^9)/(INDEX('AEO 7'!$58:$58,,MATCH(AA2,'AEO 7'!$1:$1,0))*10^15)</f>
        <v>9.4402193862419092E-4</v>
      </c>
      <c r="AB13" cm="1">
        <f t="array" ref="AB13">(INDEX('AEO 7'!$22:$22,MATCH(AB2,'AEO 7'!$1:$1,0))*10^9)/(INDEX('AEO 7'!$58:$58,,MATCH(AB2,'AEO 7'!$1:$1,0))*10^15)</f>
        <v>9.4751187609984149E-4</v>
      </c>
      <c r="AC13" cm="1">
        <f t="array" ref="AC13">(INDEX('AEO 7'!$22:$22,MATCH(AC2,'AEO 7'!$1:$1,0))*10^9)/(INDEX('AEO 7'!$58:$58,,MATCH(AC2,'AEO 7'!$1:$1,0))*10^15)</f>
        <v>9.5068608282059051E-4</v>
      </c>
      <c r="AD13" cm="1">
        <f t="array" ref="AD13">(INDEX('AEO 7'!$22:$22,MATCH(AD2,'AEO 7'!$1:$1,0))*10^9)/(INDEX('AEO 7'!$58:$58,,MATCH(AD2,'AEO 7'!$1:$1,0))*10^15)</f>
        <v>9.5426655440848456E-4</v>
      </c>
      <c r="AE13" cm="1">
        <f t="array" ref="AE13">(INDEX('AEO 7'!$22:$22,MATCH(AE2,'AEO 7'!$1:$1,0))*10^9)/(INDEX('AEO 7'!$58:$58,,MATCH(AE2,'AEO 7'!$1:$1,0))*10^15)</f>
        <v>9.5698177977524121E-4</v>
      </c>
      <c r="AF13" cm="1">
        <f t="array" ref="AF13">(INDEX('AEO 7'!$22:$22,MATCH(AF2,'AEO 7'!$1:$1,0))*10^9)/(INDEX('AEO 7'!$58:$58,,MATCH(AF2,'AEO 7'!$1:$1,0))*10^15)</f>
        <v>9.5946977568148097E-4</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7">
        <v>0.2</v>
      </c>
      <c r="D33" s="8" t="s">
        <v>844</v>
      </c>
    </row>
    <row r="34" spans="1:33">
      <c r="A34" t="s">
        <v>845</v>
      </c>
      <c r="B34" s="17">
        <v>0.6</v>
      </c>
      <c r="D34" s="8" t="s">
        <v>846</v>
      </c>
    </row>
    <row r="35" spans="1:33">
      <c r="A35" t="s">
        <v>847</v>
      </c>
      <c r="B35">
        <f>B34/B33</f>
        <v>2.9999999999999996</v>
      </c>
    </row>
    <row r="37" spans="1:33">
      <c r="A37" s="2" t="s">
        <v>848</v>
      </c>
      <c r="B37" s="2"/>
      <c r="D37" s="2" t="s">
        <v>610</v>
      </c>
    </row>
    <row r="38" spans="1:33">
      <c r="A38" t="s">
        <v>849</v>
      </c>
      <c r="B38" s="18">
        <v>0.22500000000000001</v>
      </c>
      <c r="D38" s="19" t="s">
        <v>850</v>
      </c>
    </row>
    <row r="39" spans="1:33">
      <c r="A39" t="s">
        <v>851</v>
      </c>
      <c r="B39">
        <f>1-B38</f>
        <v>0.77500000000000002</v>
      </c>
      <c r="D39" s="19" t="s">
        <v>852</v>
      </c>
    </row>
    <row r="41" spans="1:33">
      <c r="A41" s="2" t="s">
        <v>980</v>
      </c>
    </row>
    <row r="42" spans="1:33" s="1" customFormat="1">
      <c r="A42" s="38"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983</v>
      </c>
    </row>
    <row r="44" spans="1:33">
      <c r="A44" t="s">
        <v>916</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938</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577</v>
      </c>
      <c r="B46" s="43">
        <f>SUM(B44:B45)</f>
        <v>10942.051269</v>
      </c>
      <c r="C46" s="43">
        <f t="shared" ref="C46:AF46" si="17">SUM(C44:C45)</f>
        <v>12061.860840000001</v>
      </c>
      <c r="D46" s="43">
        <f t="shared" si="17"/>
        <v>12768.612304999999</v>
      </c>
      <c r="E46" s="43">
        <f t="shared" si="17"/>
        <v>12994.024902000001</v>
      </c>
      <c r="F46" s="43">
        <f t="shared" si="17"/>
        <v>13343.116699</v>
      </c>
      <c r="G46" s="43">
        <f t="shared" si="17"/>
        <v>13584.045409999999</v>
      </c>
      <c r="H46" s="43">
        <f t="shared" si="17"/>
        <v>13388.437011</v>
      </c>
      <c r="I46" s="43">
        <f t="shared" si="17"/>
        <v>13085.345215000001</v>
      </c>
      <c r="J46" s="43">
        <f t="shared" si="17"/>
        <v>13100.290527000001</v>
      </c>
      <c r="K46" s="43">
        <f t="shared" si="17"/>
        <v>13059.417969</v>
      </c>
      <c r="L46" s="43">
        <f t="shared" si="17"/>
        <v>12867.778321</v>
      </c>
      <c r="M46" s="43">
        <f t="shared" si="17"/>
        <v>12812.703125</v>
      </c>
      <c r="N46" s="43">
        <f t="shared" si="17"/>
        <v>12778.740234000001</v>
      </c>
      <c r="O46" s="43">
        <f t="shared" si="17"/>
        <v>12725.466308999999</v>
      </c>
      <c r="P46" s="43">
        <f t="shared" si="17"/>
        <v>12671.220702999999</v>
      </c>
      <c r="Q46" s="43">
        <f t="shared" si="17"/>
        <v>12655.050781</v>
      </c>
      <c r="R46" s="43">
        <f t="shared" si="17"/>
        <v>12537.340821</v>
      </c>
      <c r="S46" s="43">
        <f t="shared" si="17"/>
        <v>12394.868164</v>
      </c>
      <c r="T46" s="43">
        <f t="shared" si="17"/>
        <v>12335.949219</v>
      </c>
      <c r="U46" s="43">
        <f t="shared" si="17"/>
        <v>12269.731444999999</v>
      </c>
      <c r="V46" s="43">
        <f t="shared" si="17"/>
        <v>12175.175293</v>
      </c>
      <c r="W46" s="43">
        <f t="shared" si="17"/>
        <v>12097.820312</v>
      </c>
      <c r="X46" s="43">
        <f t="shared" si="17"/>
        <v>12039.730957</v>
      </c>
      <c r="Y46" s="43">
        <f t="shared" si="17"/>
        <v>11946.957031</v>
      </c>
      <c r="Z46" s="43">
        <f t="shared" si="17"/>
        <v>11867.537597999999</v>
      </c>
      <c r="AA46" s="43">
        <f t="shared" si="17"/>
        <v>11890.537597999999</v>
      </c>
      <c r="AB46" s="43">
        <f t="shared" si="17"/>
        <v>11777.694336</v>
      </c>
      <c r="AC46" s="43">
        <f t="shared" si="17"/>
        <v>11648.639159999999</v>
      </c>
      <c r="AD46" s="43">
        <f t="shared" si="17"/>
        <v>11641.577149000001</v>
      </c>
      <c r="AE46" s="43">
        <f t="shared" si="17"/>
        <v>11493.403807999999</v>
      </c>
      <c r="AF46" s="43">
        <f t="shared" si="17"/>
        <v>11326.558105</v>
      </c>
      <c r="AG46" s="43"/>
    </row>
    <row r="47" spans="1:33">
      <c r="A47" s="38"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5"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891</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988</v>
      </c>
      <c r="B51" s="47">
        <f>SUM(B44/B46*B49,B45/B46*B50)</f>
        <v>35.242751509262455</v>
      </c>
      <c r="C51" s="47">
        <f t="shared" ref="C51:AF51" si="19">SUM(C44/C46*C49,C45/C46*C50)</f>
        <v>36.475683568404435</v>
      </c>
      <c r="D51" s="47">
        <f t="shared" si="19"/>
        <v>37.139188391581598</v>
      </c>
      <c r="E51" s="47">
        <f t="shared" si="19"/>
        <v>37.573551040908924</v>
      </c>
      <c r="F51" s="47">
        <f t="shared" si="19"/>
        <v>37.886712394921958</v>
      </c>
      <c r="G51" s="47">
        <f t="shared" si="19"/>
        <v>38.230509600699961</v>
      </c>
      <c r="H51" s="47">
        <f t="shared" si="19"/>
        <v>38.525182435548174</v>
      </c>
      <c r="I51" s="47">
        <f t="shared" si="19"/>
        <v>38.523768560031357</v>
      </c>
      <c r="J51" s="47">
        <f t="shared" si="19"/>
        <v>38.492874275098863</v>
      </c>
      <c r="K51" s="47">
        <f t="shared" si="19"/>
        <v>38.464891840361503</v>
      </c>
      <c r="L51" s="47">
        <f t="shared" si="19"/>
        <v>38.519429037515962</v>
      </c>
      <c r="M51" s="47">
        <f t="shared" si="19"/>
        <v>38.48951016930063</v>
      </c>
      <c r="N51" s="47">
        <f t="shared" si="19"/>
        <v>38.456319269641085</v>
      </c>
      <c r="O51" s="47">
        <f t="shared" si="19"/>
        <v>38.420314114419391</v>
      </c>
      <c r="P51" s="47">
        <f t="shared" si="19"/>
        <v>38.404138067396595</v>
      </c>
      <c r="Q51" s="47">
        <f t="shared" si="19"/>
        <v>38.323166670709242</v>
      </c>
      <c r="R51" s="47">
        <f t="shared" si="19"/>
        <v>38.239923046148803</v>
      </c>
      <c r="S51" s="47">
        <f t="shared" si="19"/>
        <v>38.17830989951451</v>
      </c>
      <c r="T51" s="47">
        <f t="shared" si="19"/>
        <v>38.132549843684103</v>
      </c>
      <c r="U51" s="47">
        <f t="shared" si="19"/>
        <v>38.055832793451806</v>
      </c>
      <c r="V51" s="47">
        <f>SUM(V44/V46*V49,V45/V46*V50)</f>
        <v>37.99280849581406</v>
      </c>
      <c r="W51" s="47">
        <f t="shared" si="19"/>
        <v>37.937048363847381</v>
      </c>
      <c r="X51" s="47">
        <f t="shared" si="19"/>
        <v>37.875130409251085</v>
      </c>
      <c r="Y51" s="47">
        <f t="shared" si="19"/>
        <v>37.81559038687552</v>
      </c>
      <c r="Z51" s="47">
        <f t="shared" si="19"/>
        <v>37.766269448912446</v>
      </c>
      <c r="AA51" s="47">
        <f t="shared" si="19"/>
        <v>37.724640263314726</v>
      </c>
      <c r="AB51" s="47">
        <f t="shared" si="19"/>
        <v>37.665616214432262</v>
      </c>
      <c r="AC51" s="47">
        <f t="shared" si="19"/>
        <v>37.610228489359017</v>
      </c>
      <c r="AD51" s="47">
        <f t="shared" si="19"/>
        <v>37.544529992321401</v>
      </c>
      <c r="AE51" s="47">
        <f t="shared" si="19"/>
        <v>37.492850541875626</v>
      </c>
      <c r="AF51" s="47">
        <f t="shared" si="19"/>
        <v>37.441127639445035</v>
      </c>
      <c r="AG51" s="47"/>
    </row>
    <row r="52" spans="1:37">
      <c r="A52" s="38"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5" t="s">
        <v>985</v>
      </c>
    </row>
    <row r="54" spans="1:37">
      <c r="A54" s="23" t="s">
        <v>73</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67</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986</v>
      </c>
      <c r="B56" s="50">
        <f>B55/B54</f>
        <v>0.81575912303363374</v>
      </c>
      <c r="C56" s="50">
        <f t="shared" ref="C56:AF56" si="21">C55/C54</f>
        <v>0.81574504744570009</v>
      </c>
      <c r="D56" s="50">
        <f t="shared" si="21"/>
        <v>0.81576285666712567</v>
      </c>
      <c r="E56" s="50">
        <f t="shared" si="21"/>
        <v>0.81575766475137834</v>
      </c>
      <c r="F56" s="50">
        <f t="shared" si="21"/>
        <v>0.81574950896612619</v>
      </c>
      <c r="G56" s="50">
        <f t="shared" si="21"/>
        <v>0.81574411506434485</v>
      </c>
      <c r="H56" s="50">
        <f t="shared" si="21"/>
        <v>0.81573901499209034</v>
      </c>
      <c r="I56" s="50">
        <f t="shared" si="21"/>
        <v>0.81573908285570773</v>
      </c>
      <c r="J56" s="50">
        <f t="shared" si="21"/>
        <v>0.81573954013257655</v>
      </c>
      <c r="K56" s="50">
        <f t="shared" si="21"/>
        <v>0.8157406958926392</v>
      </c>
      <c r="L56" s="50">
        <f t="shared" si="21"/>
        <v>0.81574769112472789</v>
      </c>
      <c r="M56" s="50">
        <f t="shared" si="21"/>
        <v>0.81574833052929063</v>
      </c>
      <c r="N56" s="50">
        <f t="shared" si="21"/>
        <v>0.81574939966278714</v>
      </c>
      <c r="O56" s="50">
        <f t="shared" si="21"/>
        <v>0.81574994644503129</v>
      </c>
      <c r="P56" s="50">
        <f t="shared" si="21"/>
        <v>0.81575216571081555</v>
      </c>
      <c r="Q56" s="50">
        <f t="shared" si="21"/>
        <v>0.81574979774857093</v>
      </c>
      <c r="R56" s="50">
        <f t="shared" si="21"/>
        <v>0.81574737698997968</v>
      </c>
      <c r="S56" s="50">
        <f t="shared" si="21"/>
        <v>0.81574631399261588</v>
      </c>
      <c r="T56" s="50">
        <f t="shared" si="21"/>
        <v>0.81574566308515606</v>
      </c>
      <c r="U56" s="50">
        <f t="shared" si="21"/>
        <v>0.81574355393398146</v>
      </c>
      <c r="V56" s="50">
        <f t="shared" si="21"/>
        <v>0.8157423865751614</v>
      </c>
      <c r="W56" s="50">
        <f t="shared" si="21"/>
        <v>0.8157413306869179</v>
      </c>
      <c r="X56" s="50">
        <f t="shared" si="21"/>
        <v>0.81573960213227703</v>
      </c>
      <c r="Y56" s="50">
        <f t="shared" si="21"/>
        <v>0.81573842203815072</v>
      </c>
      <c r="Z56" s="50">
        <f t="shared" si="21"/>
        <v>0.81573747443839417</v>
      </c>
      <c r="AA56" s="50">
        <f t="shared" si="21"/>
        <v>0.81573736291640986</v>
      </c>
      <c r="AB56" s="50">
        <f t="shared" si="21"/>
        <v>0.81573580150111014</v>
      </c>
      <c r="AC56" s="50">
        <f t="shared" si="21"/>
        <v>0.81573455210602797</v>
      </c>
      <c r="AD56" s="50">
        <f t="shared" si="21"/>
        <v>0.81573257549701128</v>
      </c>
      <c r="AE56" s="50">
        <f t="shared" si="21"/>
        <v>0.81573155701625677</v>
      </c>
      <c r="AF56" s="50">
        <f t="shared" si="21"/>
        <v>0.81573056278765588</v>
      </c>
      <c r="AG56" s="50"/>
    </row>
    <row r="57" spans="1:37">
      <c r="B57" s="48"/>
    </row>
    <row r="58" spans="1:37">
      <c r="A58" s="51" t="s">
        <v>987</v>
      </c>
      <c r="B58" s="52">
        <f>B51*B56</f>
        <v>28.749596064488212</v>
      </c>
      <c r="C58" s="52">
        <f t="shared" ref="C58:AF58" si="22">C51*C56</f>
        <v>29.754858223122419</v>
      </c>
      <c r="D58" s="52">
        <f>D51*D56</f>
        <v>30.296770416615157</v>
      </c>
      <c r="E58" s="52">
        <f t="shared" si="22"/>
        <v>30.650912253548587</v>
      </c>
      <c r="F58" s="52">
        <f>F51*F56</f>
        <v>30.906067032498434</v>
      </c>
      <c r="G58" s="52">
        <f t="shared" si="22"/>
        <v>31.186313222681928</v>
      </c>
      <c r="H58" s="52">
        <f t="shared" si="22"/>
        <v>31.426494372364647</v>
      </c>
      <c r="I58" s="52">
        <f t="shared" si="22"/>
        <v>31.425343633305527</v>
      </c>
      <c r="J58" s="52">
        <f t="shared" si="22"/>
        <v>31.400159559550232</v>
      </c>
      <c r="K58" s="52">
        <f t="shared" si="22"/>
        <v>31.377377637291591</v>
      </c>
      <c r="L58" s="52">
        <f t="shared" si="22"/>
        <v>31.422135300796445</v>
      </c>
      <c r="M58" s="52">
        <f t="shared" si="22"/>
        <v>31.397753663497141</v>
      </c>
      <c r="N58" s="52">
        <f t="shared" si="22"/>
        <v>31.370719357450188</v>
      </c>
      <c r="O58" s="52">
        <f t="shared" si="22"/>
        <v>31.341369181238896</v>
      </c>
      <c r="P58" s="52">
        <f t="shared" si="22"/>
        <v>31.328258800735945</v>
      </c>
      <c r="Q58" s="52">
        <f t="shared" si="22"/>
        <v>31.262115460715837</v>
      </c>
      <c r="R58" s="52">
        <f t="shared" si="22"/>
        <v>31.19411692119456</v>
      </c>
      <c r="S58" s="52">
        <f t="shared" si="22"/>
        <v>31.143815574996758</v>
      </c>
      <c r="T58" s="52">
        <f t="shared" si="22"/>
        <v>31.106462157363854</v>
      </c>
      <c r="U58" s="52">
        <f t="shared" si="22"/>
        <v>31.043800290847734</v>
      </c>
      <c r="V58" s="52">
        <f t="shared" si="22"/>
        <v>30.992344275068429</v>
      </c>
      <c r="W58" s="52">
        <f t="shared" si="22"/>
        <v>30.946818314658824</v>
      </c>
      <c r="X58" s="52">
        <f t="shared" si="22"/>
        <v>30.896243810750587</v>
      </c>
      <c r="Y58" s="52">
        <f t="shared" si="22"/>
        <v>30.847630030630899</v>
      </c>
      <c r="Z58" s="52">
        <f t="shared" si="22"/>
        <v>30.807361259215725</v>
      </c>
      <c r="AA58" s="52">
        <f t="shared" si="22"/>
        <v>30.773398565366573</v>
      </c>
      <c r="AB58" s="52">
        <f t="shared" si="22"/>
        <v>30.725191631713113</v>
      </c>
      <c r="AC58" s="52">
        <f t="shared" si="22"/>
        <v>30.67996289137265</v>
      </c>
      <c r="AD58" s="52">
        <f t="shared" si="22"/>
        <v>30.626296146461122</v>
      </c>
      <c r="AE58" s="52">
        <f t="shared" si="22"/>
        <v>30.58410134950201</v>
      </c>
      <c r="AF58" s="52">
        <f t="shared" si="22"/>
        <v>30.541872120728957</v>
      </c>
      <c r="AG58" s="52"/>
    </row>
    <row r="61" spans="1:37">
      <c r="A61" s="2" t="s">
        <v>1098</v>
      </c>
    </row>
    <row r="62" spans="1:37">
      <c r="D62" s="38"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836</v>
      </c>
      <c r="D63" t="s">
        <v>989</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1077</v>
      </c>
      <c r="B64" s="15" t="s">
        <v>1075</v>
      </c>
      <c r="C64" s="15" t="s">
        <v>1070</v>
      </c>
      <c r="D64" t="s">
        <v>1092</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1078</v>
      </c>
      <c r="C65" s="15" t="s">
        <v>1071</v>
      </c>
      <c r="D65" t="s">
        <v>1093</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1096</v>
      </c>
      <c r="E66" s="49">
        <f>E64*$B$71</f>
        <v>15724651999999.998</v>
      </c>
      <c r="F66" s="49">
        <f t="shared" ref="F66:AI66" si="23">F64*$B$71</f>
        <v>18570040000000</v>
      </c>
      <c r="G66" s="49">
        <f t="shared" si="23"/>
        <v>20939007000000</v>
      </c>
      <c r="H66" s="49">
        <f t="shared" si="23"/>
        <v>22730788000000</v>
      </c>
      <c r="I66" s="49">
        <f t="shared" si="23"/>
        <v>24090370000000</v>
      </c>
      <c r="J66" s="49">
        <f t="shared" si="23"/>
        <v>25112246000000</v>
      </c>
      <c r="K66" s="49">
        <f t="shared" si="23"/>
        <v>25840006000000</v>
      </c>
      <c r="L66" s="49">
        <f t="shared" si="23"/>
        <v>26380896000000</v>
      </c>
      <c r="M66" s="49">
        <f t="shared" si="23"/>
        <v>26537698000000</v>
      </c>
      <c r="N66" s="49">
        <f t="shared" si="23"/>
        <v>26659430000000</v>
      </c>
      <c r="O66" s="49">
        <f t="shared" si="23"/>
        <v>26941779000000</v>
      </c>
      <c r="P66" s="49">
        <f t="shared" si="23"/>
        <v>27061387000000.004</v>
      </c>
      <c r="Q66" s="49">
        <f t="shared" si="23"/>
        <v>27370438999999.996</v>
      </c>
      <c r="R66" s="49">
        <f t="shared" si="23"/>
        <v>27664516000000</v>
      </c>
      <c r="S66" s="49">
        <f t="shared" si="23"/>
        <v>28033673999999.996</v>
      </c>
      <c r="T66" s="49">
        <f t="shared" si="23"/>
        <v>28336389000000</v>
      </c>
      <c r="U66" s="49">
        <f t="shared" si="23"/>
        <v>28674376000000.004</v>
      </c>
      <c r="V66" s="49">
        <f t="shared" si="23"/>
        <v>28995555000000</v>
      </c>
      <c r="W66" s="49">
        <f t="shared" si="23"/>
        <v>29311184000000</v>
      </c>
      <c r="X66" s="49">
        <f t="shared" si="23"/>
        <v>29633765000000</v>
      </c>
      <c r="Y66" s="49">
        <f t="shared" si="23"/>
        <v>30069786000000</v>
      </c>
      <c r="Z66" s="49">
        <f t="shared" si="23"/>
        <v>30462376000000</v>
      </c>
      <c r="AA66" s="49">
        <f t="shared" si="23"/>
        <v>30840115000000</v>
      </c>
      <c r="AB66" s="49">
        <f t="shared" si="23"/>
        <v>31230839000000.004</v>
      </c>
      <c r="AC66" s="49">
        <f t="shared" si="23"/>
        <v>31603850000000</v>
      </c>
      <c r="AD66" s="49">
        <f t="shared" si="23"/>
        <v>32029404000000</v>
      </c>
      <c r="AE66" s="49">
        <f t="shared" si="23"/>
        <v>32413029000000</v>
      </c>
      <c r="AF66" s="49">
        <f t="shared" si="23"/>
        <v>32759529999999.996</v>
      </c>
      <c r="AG66" s="49">
        <f t="shared" si="23"/>
        <v>33144264999999.996</v>
      </c>
      <c r="AH66" s="49">
        <f t="shared" si="23"/>
        <v>33584294000000</v>
      </c>
      <c r="AI66" s="49">
        <f t="shared" si="23"/>
        <v>34028448999999.996</v>
      </c>
      <c r="AJ66" s="49"/>
      <c r="AK66" s="58"/>
    </row>
    <row r="67" spans="1:37">
      <c r="D67" t="s">
        <v>1097</v>
      </c>
      <c r="E67" s="49">
        <f>E65*$B$72</f>
        <v>4267208095406.3608</v>
      </c>
      <c r="F67" s="49">
        <f t="shared" ref="F67:AI67" si="24">F65*$B$72</f>
        <v>5190878991283.8633</v>
      </c>
      <c r="G67" s="49">
        <f t="shared" si="24"/>
        <v>5911011949823.3223</v>
      </c>
      <c r="H67" s="49">
        <f t="shared" si="24"/>
        <v>6456397302473.498</v>
      </c>
      <c r="I67" s="49">
        <f t="shared" si="24"/>
        <v>6866662248527.6797</v>
      </c>
      <c r="J67" s="49">
        <f t="shared" si="24"/>
        <v>7174082754534.7471</v>
      </c>
      <c r="K67" s="49">
        <f t="shared" si="24"/>
        <v>7398546638869.2578</v>
      </c>
      <c r="L67" s="49">
        <f t="shared" si="24"/>
        <v>7566450562308.5986</v>
      </c>
      <c r="M67" s="49">
        <f t="shared" si="24"/>
        <v>7612789499646.6436</v>
      </c>
      <c r="N67" s="49">
        <f t="shared" si="24"/>
        <v>7652344502944.6406</v>
      </c>
      <c r="O67" s="49">
        <f t="shared" si="24"/>
        <v>7720541400235.5713</v>
      </c>
      <c r="P67" s="49">
        <f t="shared" si="24"/>
        <v>7766429734982.332</v>
      </c>
      <c r="Q67" s="49">
        <f t="shared" si="24"/>
        <v>7842953133333.334</v>
      </c>
      <c r="R67" s="49">
        <f t="shared" si="24"/>
        <v>7918583728621.9082</v>
      </c>
      <c r="S67" s="49">
        <f t="shared" si="24"/>
        <v>8007230141578.3281</v>
      </c>
      <c r="T67" s="49">
        <f t="shared" si="24"/>
        <v>8088861717785.6309</v>
      </c>
      <c r="U67" s="49">
        <f t="shared" si="24"/>
        <v>8177402948645.4658</v>
      </c>
      <c r="V67" s="49">
        <f t="shared" si="24"/>
        <v>8263382155241.4609</v>
      </c>
      <c r="W67" s="49">
        <f t="shared" si="24"/>
        <v>8349305036513.5459</v>
      </c>
      <c r="X67" s="49">
        <f t="shared" si="24"/>
        <v>8438927962544.1699</v>
      </c>
      <c r="Y67" s="49">
        <f t="shared" si="24"/>
        <v>8548973330742.0498</v>
      </c>
      <c r="Z67" s="49">
        <f t="shared" si="24"/>
        <v>8652673853474.6768</v>
      </c>
      <c r="AA67" s="49">
        <f t="shared" si="24"/>
        <v>8756547708833.9238</v>
      </c>
      <c r="AB67" s="49">
        <f t="shared" si="24"/>
        <v>8863103707656.0664</v>
      </c>
      <c r="AC67" s="49">
        <f t="shared" si="24"/>
        <v>8966777156890.459</v>
      </c>
      <c r="AD67" s="49">
        <f t="shared" si="24"/>
        <v>9078507928150.7656</v>
      </c>
      <c r="AE67" s="49">
        <f t="shared" si="24"/>
        <v>9181586382803.2988</v>
      </c>
      <c r="AF67" s="49">
        <f t="shared" si="24"/>
        <v>9274572024028.2695</v>
      </c>
      <c r="AG67" s="49">
        <f t="shared" si="24"/>
        <v>9369748440282.6855</v>
      </c>
      <c r="AH67" s="49">
        <f t="shared" si="24"/>
        <v>9468649485276.7969</v>
      </c>
      <c r="AI67" s="49">
        <f t="shared" si="24"/>
        <v>9562146099882.2148</v>
      </c>
      <c r="AJ67" s="49"/>
      <c r="AK67" s="58"/>
    </row>
    <row r="68" spans="1:37">
      <c r="D68" s="41" t="s">
        <v>1090</v>
      </c>
      <c r="E68" s="57">
        <f>E63*(E66/SUM(E66:E67))/E64</f>
        <v>1.2490429545241593E-3</v>
      </c>
      <c r="F68" s="57">
        <f t="shared" ref="F68:AI68" si="25">F63*(F66/SUM(F66:F67))/F64</f>
        <v>1.2479838852561889E-3</v>
      </c>
      <c r="G68" s="57">
        <f t="shared" si="25"/>
        <v>1.2471665685815224E-3</v>
      </c>
      <c r="H68" s="57">
        <f t="shared" si="25"/>
        <v>1.2466464519590526E-3</v>
      </c>
      <c r="I68" s="57">
        <f t="shared" si="25"/>
        <v>1.2461776274382624E-3</v>
      </c>
      <c r="J68" s="57">
        <f t="shared" si="25"/>
        <v>1.2458210503215087E-3</v>
      </c>
      <c r="K68" s="57">
        <f t="shared" si="25"/>
        <v>1.2454261907779705E-3</v>
      </c>
      <c r="L68" s="57">
        <f t="shared" si="25"/>
        <v>1.2450097660041024E-3</v>
      </c>
      <c r="M68" s="57">
        <f t="shared" si="25"/>
        <v>1.2449523012062393E-3</v>
      </c>
      <c r="N68" s="57">
        <f t="shared" si="25"/>
        <v>1.2448581170389291E-3</v>
      </c>
      <c r="O68" s="57">
        <f t="shared" si="25"/>
        <v>1.244492708563932E-3</v>
      </c>
      <c r="P68" s="57">
        <f t="shared" si="25"/>
        <v>1.2445150475500222E-3</v>
      </c>
      <c r="Q68" s="57">
        <f t="shared" si="25"/>
        <v>1.244362963786191E-3</v>
      </c>
      <c r="R68" s="57">
        <f t="shared" si="25"/>
        <v>1.2442462668418766E-3</v>
      </c>
      <c r="S68" s="57">
        <f t="shared" si="25"/>
        <v>1.2440271982043711E-3</v>
      </c>
      <c r="T68" s="57">
        <f t="shared" si="25"/>
        <v>1.2439416368347936E-3</v>
      </c>
      <c r="U68" s="57">
        <f t="shared" si="25"/>
        <v>1.2436776543099449E-3</v>
      </c>
      <c r="V68" s="57">
        <f t="shared" si="25"/>
        <v>1.2434044966707469E-3</v>
      </c>
      <c r="W68" s="57">
        <f t="shared" si="25"/>
        <v>1.2431106233009778E-3</v>
      </c>
      <c r="X68" s="57">
        <f t="shared" si="25"/>
        <v>1.242818522097998E-3</v>
      </c>
      <c r="Y68" s="57">
        <f t="shared" si="25"/>
        <v>1.2424141228640053E-3</v>
      </c>
      <c r="Z68" s="57">
        <f t="shared" si="25"/>
        <v>1.2420321636298346E-3</v>
      </c>
      <c r="AA68" s="57">
        <f t="shared" si="25"/>
        <v>1.241620319407161E-3</v>
      </c>
      <c r="AB68" s="57">
        <f t="shared" si="25"/>
        <v>1.2411620718582406E-3</v>
      </c>
      <c r="AC68" s="57">
        <f t="shared" si="25"/>
        <v>1.240669038843074E-3</v>
      </c>
      <c r="AD68" s="57">
        <f t="shared" si="25"/>
        <v>1.2401023941352315E-3</v>
      </c>
      <c r="AE68" s="57">
        <f t="shared" si="25"/>
        <v>1.2395514545691941E-3</v>
      </c>
      <c r="AF68" s="57">
        <f t="shared" si="25"/>
        <v>1.2389760811407262E-3</v>
      </c>
      <c r="AG68" s="57">
        <f t="shared" si="25"/>
        <v>1.2383487405617649E-3</v>
      </c>
      <c r="AH68" s="57">
        <f t="shared" si="25"/>
        <v>1.2375986561341948E-3</v>
      </c>
      <c r="AI68" s="57">
        <f t="shared" si="25"/>
        <v>1.236792153822779E-3</v>
      </c>
      <c r="AJ68" s="57"/>
      <c r="AK68" s="58"/>
    </row>
    <row r="69" spans="1:37">
      <c r="D69" s="41" t="s">
        <v>1091</v>
      </c>
      <c r="E69" s="57">
        <f>E63*(E67/SUM(E66:E67))/E65</f>
        <v>3.8868922094850749E-4</v>
      </c>
      <c r="F69" s="57">
        <f t="shared" ref="F69:AI69" si="26">F63*(F67/SUM(F66:F67))/F65</f>
        <v>3.8835964956971156E-4</v>
      </c>
      <c r="G69" s="57">
        <f t="shared" si="26"/>
        <v>3.8810530909215343E-4</v>
      </c>
      <c r="H69" s="57">
        <f t="shared" si="26"/>
        <v>3.8794345419032003E-4</v>
      </c>
      <c r="I69" s="57">
        <f t="shared" si="26"/>
        <v>3.8779756085887974E-4</v>
      </c>
      <c r="J69" s="57">
        <f t="shared" si="26"/>
        <v>3.8768659775611613E-4</v>
      </c>
      <c r="K69" s="57">
        <f t="shared" si="26"/>
        <v>3.8756372155893972E-4</v>
      </c>
      <c r="L69" s="57">
        <f t="shared" si="26"/>
        <v>3.8743413448561116E-4</v>
      </c>
      <c r="M69" s="57">
        <f t="shared" si="26"/>
        <v>3.8741625203614658E-4</v>
      </c>
      <c r="N69" s="57">
        <f t="shared" si="26"/>
        <v>3.8738694289951122E-4</v>
      </c>
      <c r="O69" s="57">
        <f t="shared" si="26"/>
        <v>3.8727323156960051E-4</v>
      </c>
      <c r="P69" s="57">
        <f t="shared" si="26"/>
        <v>3.872801832305252E-4</v>
      </c>
      <c r="Q69" s="57">
        <f t="shared" si="26"/>
        <v>3.8723285633958973E-4</v>
      </c>
      <c r="R69" s="57">
        <f t="shared" si="26"/>
        <v>3.8719654146009873E-4</v>
      </c>
      <c r="S69" s="57">
        <f t="shared" si="26"/>
        <v>3.8712836957078314E-4</v>
      </c>
      <c r="T69" s="57">
        <f t="shared" si="26"/>
        <v>3.8710174375942578E-4</v>
      </c>
      <c r="U69" s="57">
        <f t="shared" si="26"/>
        <v>3.8701959513390749E-4</v>
      </c>
      <c r="V69" s="57">
        <f t="shared" si="26"/>
        <v>3.8693459130790495E-4</v>
      </c>
      <c r="W69" s="57">
        <f t="shared" si="26"/>
        <v>3.8684314096127021E-4</v>
      </c>
      <c r="X69" s="57">
        <f t="shared" si="26"/>
        <v>3.8675224209457141E-4</v>
      </c>
      <c r="Y69" s="57">
        <f t="shared" si="26"/>
        <v>3.8662639724460569E-4</v>
      </c>
      <c r="Z69" s="57">
        <f t="shared" si="26"/>
        <v>3.8650753548999096E-4</v>
      </c>
      <c r="AA69" s="57">
        <f t="shared" si="26"/>
        <v>3.8637937383671609E-4</v>
      </c>
      <c r="AB69" s="57">
        <f t="shared" si="26"/>
        <v>3.8623677194928995E-4</v>
      </c>
      <c r="AC69" s="57">
        <f t="shared" si="26"/>
        <v>3.8608334518532407E-4</v>
      </c>
      <c r="AD69" s="57">
        <f t="shared" si="26"/>
        <v>3.8590701122559256E-4</v>
      </c>
      <c r="AE69" s="57">
        <f t="shared" si="26"/>
        <v>3.8573556454320505E-4</v>
      </c>
      <c r="AF69" s="57">
        <f t="shared" si="26"/>
        <v>3.8555651429608934E-4</v>
      </c>
      <c r="AG69" s="57">
        <f t="shared" si="26"/>
        <v>3.8536129241038667E-4</v>
      </c>
      <c r="AH69" s="57">
        <f t="shared" si="26"/>
        <v>3.8512787391125356E-4</v>
      </c>
      <c r="AI69" s="57">
        <f t="shared" si="26"/>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1108</v>
      </c>
      <c r="B71" s="56">
        <v>1</v>
      </c>
      <c r="C71" s="56"/>
      <c r="D71" s="60" t="s">
        <v>1099</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1107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1105</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834</v>
      </c>
      <c r="D76" t="s">
        <v>3062</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1065</v>
      </c>
      <c r="B77" s="15" t="s">
        <v>1057</v>
      </c>
      <c r="C77" s="15" t="s">
        <v>1049</v>
      </c>
      <c r="D77" t="s">
        <v>1092</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1041</v>
      </c>
      <c r="D78" t="s">
        <v>1106</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1096</v>
      </c>
      <c r="E79" s="49">
        <f t="shared" ref="E79:AI79" si="27">E77*$B$71</f>
        <v>345431000000</v>
      </c>
      <c r="F79" s="49">
        <f t="shared" si="27"/>
        <v>429563000000</v>
      </c>
      <c r="G79" s="49">
        <f t="shared" si="27"/>
        <v>500859000000.00006</v>
      </c>
      <c r="H79" s="49">
        <f t="shared" si="27"/>
        <v>566272000000</v>
      </c>
      <c r="I79" s="49">
        <f t="shared" si="27"/>
        <v>627633000000</v>
      </c>
      <c r="J79" s="49">
        <f t="shared" si="27"/>
        <v>684497000000</v>
      </c>
      <c r="K79" s="49">
        <f t="shared" si="27"/>
        <v>741096000000</v>
      </c>
      <c r="L79" s="49">
        <f t="shared" si="27"/>
        <v>800102000000</v>
      </c>
      <c r="M79" s="49">
        <f t="shared" si="27"/>
        <v>849352000000</v>
      </c>
      <c r="N79" s="49">
        <f t="shared" si="27"/>
        <v>903103000000</v>
      </c>
      <c r="O79" s="49">
        <f t="shared" si="27"/>
        <v>967284000000</v>
      </c>
      <c r="P79" s="49">
        <f t="shared" si="27"/>
        <v>1030273000000</v>
      </c>
      <c r="Q79" s="49">
        <f t="shared" si="27"/>
        <v>1103495000000</v>
      </c>
      <c r="R79" s="49">
        <f t="shared" si="27"/>
        <v>1184134000000</v>
      </c>
      <c r="S79" s="49">
        <f t="shared" si="27"/>
        <v>1274770000000</v>
      </c>
      <c r="T79" s="49">
        <f t="shared" si="27"/>
        <v>1369760000000</v>
      </c>
      <c r="U79" s="49">
        <f t="shared" si="27"/>
        <v>1479735000000</v>
      </c>
      <c r="V79" s="49">
        <f t="shared" si="27"/>
        <v>1604050000000</v>
      </c>
      <c r="W79" s="49">
        <f t="shared" si="27"/>
        <v>1741650000000</v>
      </c>
      <c r="X79" s="49">
        <f t="shared" si="27"/>
        <v>1892751000000</v>
      </c>
      <c r="Y79" s="49">
        <f t="shared" si="27"/>
        <v>2066053999999.9998</v>
      </c>
      <c r="Z79" s="49">
        <f t="shared" si="27"/>
        <v>2258665000000</v>
      </c>
      <c r="AA79" s="49">
        <f t="shared" si="27"/>
        <v>2478114000000</v>
      </c>
      <c r="AB79" s="49">
        <f t="shared" si="27"/>
        <v>2731331000000</v>
      </c>
      <c r="AC79" s="49">
        <f t="shared" si="27"/>
        <v>3027979000000</v>
      </c>
      <c r="AD79" s="49">
        <f t="shared" si="27"/>
        <v>3379191000000</v>
      </c>
      <c r="AE79" s="49">
        <f t="shared" si="27"/>
        <v>3804028000000</v>
      </c>
      <c r="AF79" s="49">
        <f t="shared" si="27"/>
        <v>4342843000000</v>
      </c>
      <c r="AG79" s="49">
        <f t="shared" si="27"/>
        <v>5050129000000</v>
      </c>
      <c r="AH79" s="49">
        <f t="shared" si="27"/>
        <v>6101129000000</v>
      </c>
      <c r="AI79" s="49">
        <f t="shared" si="27"/>
        <v>7110398000000</v>
      </c>
      <c r="AK79" s="58"/>
    </row>
    <row r="80" spans="1:37">
      <c r="D80" t="s">
        <v>1097</v>
      </c>
      <c r="E80" s="49">
        <f t="shared" ref="E80:AI80" si="28">E78*$B$72</f>
        <v>38243645820023.563</v>
      </c>
      <c r="F80" s="49">
        <f t="shared" si="28"/>
        <v>48032811293521.789</v>
      </c>
      <c r="G80" s="49">
        <f t="shared" si="28"/>
        <v>55100882319905.773</v>
      </c>
      <c r="H80" s="49">
        <f t="shared" si="28"/>
        <v>60258849895406.359</v>
      </c>
      <c r="I80" s="49">
        <f t="shared" si="28"/>
        <v>64045802450412.25</v>
      </c>
      <c r="J80" s="49">
        <f t="shared" si="28"/>
        <v>66762929852061.25</v>
      </c>
      <c r="K80" s="49">
        <f t="shared" si="28"/>
        <v>68754630648292.109</v>
      </c>
      <c r="L80" s="49">
        <f t="shared" si="28"/>
        <v>70255084375029.453</v>
      </c>
      <c r="M80" s="49">
        <f t="shared" si="28"/>
        <v>70983781583510.016</v>
      </c>
      <c r="N80" s="49">
        <f t="shared" si="28"/>
        <v>71494537753592.469</v>
      </c>
      <c r="O80" s="49">
        <f t="shared" si="28"/>
        <v>72017575333804.484</v>
      </c>
      <c r="P80" s="49">
        <f t="shared" si="28"/>
        <v>72141707323203.766</v>
      </c>
      <c r="Q80" s="49">
        <f t="shared" si="28"/>
        <v>72304065224970.563</v>
      </c>
      <c r="R80" s="49">
        <f t="shared" si="28"/>
        <v>72353796129328.625</v>
      </c>
      <c r="S80" s="49">
        <f t="shared" si="28"/>
        <v>72365648408951.703</v>
      </c>
      <c r="T80" s="49">
        <f t="shared" si="28"/>
        <v>72186604830153.125</v>
      </c>
      <c r="U80" s="49">
        <f t="shared" si="28"/>
        <v>72056958560424.031</v>
      </c>
      <c r="V80" s="49">
        <f t="shared" si="28"/>
        <v>71915503888810.375</v>
      </c>
      <c r="W80" s="49">
        <f t="shared" si="28"/>
        <v>71721011611778.563</v>
      </c>
      <c r="X80" s="49">
        <f t="shared" si="28"/>
        <v>71443812909540.641</v>
      </c>
      <c r="Y80" s="49">
        <f t="shared" si="28"/>
        <v>71190265553121.328</v>
      </c>
      <c r="Z80" s="49">
        <f t="shared" si="28"/>
        <v>70861939327444.063</v>
      </c>
      <c r="AA80" s="49">
        <f t="shared" si="28"/>
        <v>70495759683392.234</v>
      </c>
      <c r="AB80" s="49">
        <f t="shared" si="28"/>
        <v>70105814175736.164</v>
      </c>
      <c r="AC80" s="49">
        <f t="shared" si="28"/>
        <v>69690340226383.984</v>
      </c>
      <c r="AD80" s="49">
        <f t="shared" si="28"/>
        <v>69238721912131.922</v>
      </c>
      <c r="AE80" s="49">
        <f t="shared" si="28"/>
        <v>68714889864782.102</v>
      </c>
      <c r="AF80" s="49">
        <f t="shared" si="28"/>
        <v>68147678293521.797</v>
      </c>
      <c r="AG80" s="49">
        <f t="shared" si="28"/>
        <v>67446620014840.992</v>
      </c>
      <c r="AH80" s="49">
        <f t="shared" si="28"/>
        <v>66614707428268.555</v>
      </c>
      <c r="AI80" s="49">
        <f t="shared" si="28"/>
        <v>65833640116136.633</v>
      </c>
      <c r="AK80" s="58"/>
    </row>
    <row r="81" spans="1:37">
      <c r="D81" s="41" t="s">
        <v>1090</v>
      </c>
      <c r="E81" s="57">
        <f t="shared" ref="E81:AI81" si="29">E76*(E79/SUM(E79:E80))/E77</f>
        <v>2.8070770001886215E-3</v>
      </c>
      <c r="F81" s="57">
        <f t="shared" si="29"/>
        <v>2.7821429710269741E-3</v>
      </c>
      <c r="G81" s="57">
        <f t="shared" si="29"/>
        <v>2.782600298609896E-3</v>
      </c>
      <c r="H81" s="57">
        <f t="shared" si="29"/>
        <v>2.7891901686893711E-3</v>
      </c>
      <c r="I81" s="57">
        <f t="shared" si="29"/>
        <v>2.7974516235297151E-3</v>
      </c>
      <c r="J81" s="57">
        <f t="shared" si="29"/>
        <v>2.8088439224751576E-3</v>
      </c>
      <c r="K81" s="57">
        <f t="shared" si="29"/>
        <v>2.8191338438910297E-3</v>
      </c>
      <c r="L81" s="57">
        <f t="shared" si="29"/>
        <v>2.8269798764554541E-3</v>
      </c>
      <c r="M81" s="57">
        <f t="shared" si="29"/>
        <v>2.8458928046392333E-3</v>
      </c>
      <c r="N81" s="57">
        <f t="shared" si="29"/>
        <v>2.8616704887544221E-3</v>
      </c>
      <c r="O81" s="57">
        <f t="shared" si="29"/>
        <v>2.86944815557108E-3</v>
      </c>
      <c r="P81" s="57">
        <f t="shared" si="29"/>
        <v>2.8838284964809724E-3</v>
      </c>
      <c r="Q81" s="57">
        <f t="shared" si="29"/>
        <v>2.89281979062103E-3</v>
      </c>
      <c r="R81" s="57">
        <f t="shared" si="29"/>
        <v>2.9014754647670418E-3</v>
      </c>
      <c r="S81" s="57">
        <f t="shared" si="29"/>
        <v>2.9082475443127872E-3</v>
      </c>
      <c r="T81" s="57">
        <f t="shared" si="29"/>
        <v>2.918960996723756E-3</v>
      </c>
      <c r="U81" s="57">
        <f t="shared" si="29"/>
        <v>2.9260143145163086E-3</v>
      </c>
      <c r="V81" s="57">
        <f t="shared" si="29"/>
        <v>2.9316707542318791E-3</v>
      </c>
      <c r="W81" s="57">
        <f t="shared" si="29"/>
        <v>2.9376213203443071E-3</v>
      </c>
      <c r="X81" s="57">
        <f t="shared" si="29"/>
        <v>2.9451321208124061E-3</v>
      </c>
      <c r="Y81" s="57">
        <f t="shared" si="29"/>
        <v>2.9507621092437165E-3</v>
      </c>
      <c r="Z81" s="57">
        <f t="shared" si="29"/>
        <v>2.957653919701399E-3</v>
      </c>
      <c r="AA81" s="57">
        <f t="shared" si="29"/>
        <v>2.9645023907951562E-3</v>
      </c>
      <c r="AB81" s="57">
        <f t="shared" si="29"/>
        <v>2.9707156627011926E-3</v>
      </c>
      <c r="AC81" s="57">
        <f t="shared" si="29"/>
        <v>2.9760037127134422E-3</v>
      </c>
      <c r="AD81" s="57">
        <f t="shared" si="29"/>
        <v>2.9805534932117305E-3</v>
      </c>
      <c r="AE81" s="57">
        <f t="shared" si="29"/>
        <v>2.9847592100532019E-3</v>
      </c>
      <c r="AF81" s="57">
        <f t="shared" si="29"/>
        <v>2.9861610199145437E-3</v>
      </c>
      <c r="AG81" s="57">
        <f t="shared" si="29"/>
        <v>2.986106341895182E-3</v>
      </c>
      <c r="AH81" s="57">
        <f t="shared" si="29"/>
        <v>2.9780656681797357E-3</v>
      </c>
      <c r="AI81" s="57">
        <f t="shared" si="29"/>
        <v>2.9699956788116766E-3</v>
      </c>
      <c r="AK81" s="58"/>
    </row>
    <row r="82" spans="1:37">
      <c r="D82" s="41" t="s">
        <v>1109</v>
      </c>
      <c r="E82" s="57">
        <f t="shared" ref="E82:AI82" si="30">E76*(E80/SUM(E79:E80))/E78</f>
        <v>8.7353326672536381E-4</v>
      </c>
      <c r="F82" s="57">
        <f t="shared" si="30"/>
        <v>8.6577405529484892E-4</v>
      </c>
      <c r="G82" s="57">
        <f t="shared" si="30"/>
        <v>8.6591637089839164E-4</v>
      </c>
      <c r="H82" s="57">
        <f t="shared" si="30"/>
        <v>8.6796707016222822E-4</v>
      </c>
      <c r="I82" s="57">
        <f t="shared" si="30"/>
        <v>8.7053794927744496E-4</v>
      </c>
      <c r="J82" s="57">
        <f t="shared" si="30"/>
        <v>8.7408311462654502E-4</v>
      </c>
      <c r="K82" s="57">
        <f t="shared" si="30"/>
        <v>8.7728523151473501E-4</v>
      </c>
      <c r="L82" s="57">
        <f t="shared" si="30"/>
        <v>8.7972683552359362E-4</v>
      </c>
      <c r="M82" s="57">
        <f t="shared" si="30"/>
        <v>8.8561234273932317E-4</v>
      </c>
      <c r="N82" s="57">
        <f t="shared" si="30"/>
        <v>8.9052219449813703E-4</v>
      </c>
      <c r="O82" s="57">
        <f t="shared" si="30"/>
        <v>8.9294252379491107E-4</v>
      </c>
      <c r="P82" s="57">
        <f t="shared" si="30"/>
        <v>8.9741753683188793E-4</v>
      </c>
      <c r="Q82" s="57">
        <f t="shared" si="30"/>
        <v>9.002155343722924E-4</v>
      </c>
      <c r="R82" s="57">
        <f t="shared" si="30"/>
        <v>9.0290909044929608E-4</v>
      </c>
      <c r="S82" s="57">
        <f t="shared" si="30"/>
        <v>9.0501649141041054E-4</v>
      </c>
      <c r="T82" s="57">
        <f t="shared" si="30"/>
        <v>9.0835040675431853E-4</v>
      </c>
      <c r="U82" s="57">
        <f t="shared" si="30"/>
        <v>9.1054532614276667E-4</v>
      </c>
      <c r="V82" s="57">
        <f t="shared" si="30"/>
        <v>9.1230555155248833E-4</v>
      </c>
      <c r="W82" s="57">
        <f t="shared" si="30"/>
        <v>9.1415730604825203E-4</v>
      </c>
      <c r="X82" s="57">
        <f t="shared" si="30"/>
        <v>9.1649458930346032E-4</v>
      </c>
      <c r="Y82" s="57">
        <f t="shared" si="30"/>
        <v>9.1824658334769139E-4</v>
      </c>
      <c r="Z82" s="57">
        <f t="shared" si="30"/>
        <v>9.2039124332757326E-4</v>
      </c>
      <c r="AA82" s="57">
        <f t="shared" si="30"/>
        <v>9.2252241654661984E-4</v>
      </c>
      <c r="AB82" s="57">
        <f t="shared" si="30"/>
        <v>9.2445592236237346E-4</v>
      </c>
      <c r="AC82" s="57">
        <f t="shared" si="30"/>
        <v>9.2610150871483081E-4</v>
      </c>
      <c r="AD82" s="57">
        <f t="shared" si="30"/>
        <v>9.2751735324680701E-4</v>
      </c>
      <c r="AE82" s="57">
        <f t="shared" si="30"/>
        <v>9.2882612873504812E-4</v>
      </c>
      <c r="AF82" s="57">
        <f t="shared" si="30"/>
        <v>9.2926235743394879E-4</v>
      </c>
      <c r="AG82" s="57">
        <f t="shared" si="30"/>
        <v>9.2924534220106846E-4</v>
      </c>
      <c r="AH82" s="57">
        <f t="shared" si="30"/>
        <v>9.2674316788349384E-4</v>
      </c>
      <c r="AI82" s="57">
        <f t="shared" si="30"/>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1094</v>
      </c>
      <c r="B84" s="56">
        <v>0.95</v>
      </c>
      <c r="C84" s="56"/>
      <c r="D84" s="60" t="s">
        <v>1099</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1095</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3348</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3351</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3349</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3350</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3366</v>
      </c>
      <c r="B93" s="128">
        <f>INDEX('AEO 44'!$K:$K,MATCH('Calculations Etc'!B88,'AEO 44'!$A:$A,0))*1000</f>
        <v>728740.66200000001</v>
      </c>
      <c r="C93" s="128">
        <f>INDEX('AEO 44'!$K:$K,MATCH('Calculations Etc'!C88,'AEO 44'!$A:$A,0))*1000</f>
        <v>822791.26</v>
      </c>
      <c r="D93" s="128">
        <f>INDEX('AEO 44'!$K:$K,MATCH('Calculations Etc'!D88,'AEO 44'!$A:$A,0))*1000</f>
        <v>878964.53899999999</v>
      </c>
      <c r="E93" s="128">
        <f>INDEX('AEO 44'!$K:$K,MATCH('Calculations Etc'!E88,'AEO 44'!$A:$A,0))*1000</f>
        <v>906911.74300000002</v>
      </c>
      <c r="F93" s="128">
        <f>INDEX('AEO 44'!$K:$K,MATCH('Calculations Etc'!F88,'AEO 44'!$A:$A,0))*1000</f>
        <v>940583.37400000007</v>
      </c>
      <c r="G93" s="128">
        <f>INDEX('AEO 44'!$K:$K,MATCH('Calculations Etc'!G88,'AEO 44'!$A:$A,0))*1000</f>
        <v>964770.38600000006</v>
      </c>
      <c r="H93" s="128">
        <f>INDEX('AEO 44'!$K:$K,MATCH('Calculations Etc'!H88,'AEO 44'!$A:$A,0))*1000</f>
        <v>966386.902</v>
      </c>
      <c r="I93" s="128">
        <f>INDEX('AEO 44'!$K:$K,MATCH('Calculations Etc'!I88,'AEO 44'!$A:$A,0))*1000</f>
        <v>953719.3600000001</v>
      </c>
      <c r="J93" s="128">
        <f>INDEX('AEO 44'!$K:$K,MATCH('Calculations Etc'!J88,'AEO 44'!$A:$A,0))*1000</f>
        <v>966187.56099999999</v>
      </c>
      <c r="K93" s="128">
        <f>INDEX('AEO 44'!$K:$K,MATCH('Calculations Etc'!K88,'AEO 44'!$A:$A,0))*1000</f>
        <v>981239.56299999997</v>
      </c>
      <c r="L93" s="128">
        <f>INDEX('AEO 44'!$K:$K,MATCH('Calculations Etc'!L88,'AEO 44'!$A:$A,0))*1000</f>
        <v>970984.68</v>
      </c>
      <c r="M93" s="128">
        <f>INDEX('AEO 44'!$K:$K,MATCH('Calculations Etc'!M88,'AEO 44'!$A:$A,0))*1000</f>
        <v>972471.25200000009</v>
      </c>
      <c r="N93" s="128">
        <f>INDEX('AEO 44'!$K:$K,MATCH('Calculations Etc'!N88,'AEO 44'!$A:$A,0))*1000</f>
        <v>975894.04300000006</v>
      </c>
      <c r="O93" s="128">
        <f>INDEX('AEO 44'!$K:$K,MATCH('Calculations Etc'!O88,'AEO 44'!$A:$A,0))*1000</f>
        <v>977975.098</v>
      </c>
      <c r="P93" s="128">
        <f>INDEX('AEO 44'!$K:$K,MATCH('Calculations Etc'!P88,'AEO 44'!$A:$A,0))*1000</f>
        <v>980602.4169999999</v>
      </c>
      <c r="Q93" s="128">
        <f>INDEX('AEO 44'!$K:$K,MATCH('Calculations Etc'!Q88,'AEO 44'!$A:$A,0))*1000</f>
        <v>985550.90299999993</v>
      </c>
      <c r="R93" s="128">
        <f>INDEX('AEO 44'!$K:$K,MATCH('Calculations Etc'!R88,'AEO 44'!$A:$A,0))*1000</f>
        <v>982682.25099999993</v>
      </c>
      <c r="S93" s="128">
        <f>INDEX('AEO 44'!$K:$K,MATCH('Calculations Etc'!S88,'AEO 44'!$A:$A,0))*1000</f>
        <v>977937.68299999996</v>
      </c>
      <c r="T93" s="128">
        <f>INDEX('AEO 44'!$K:$K,MATCH('Calculations Etc'!T88,'AEO 44'!$A:$A,0))*1000</f>
        <v>979911.86499999999</v>
      </c>
      <c r="U93" s="128">
        <f>INDEX('AEO 44'!$K:$K,MATCH('Calculations Etc'!U88,'AEO 44'!$A:$A,0))*1000</f>
        <v>981146.85100000002</v>
      </c>
      <c r="V93" s="128">
        <f>INDEX('AEO 44'!$K:$K,MATCH('Calculations Etc'!V88,'AEO 44'!$A:$A,0))*1000</f>
        <v>979869.75099999993</v>
      </c>
      <c r="W93" s="128">
        <f>INDEX('AEO 44'!$K:$K,MATCH('Calculations Etc'!W88,'AEO 44'!$A:$A,0))*1000</f>
        <v>979058.28899999999</v>
      </c>
      <c r="X93" s="128">
        <f>INDEX('AEO 44'!$K:$K,MATCH('Calculations Etc'!X88,'AEO 44'!$A:$A,0))*1000</f>
        <v>979396.85100000002</v>
      </c>
      <c r="Y93" s="128">
        <f>INDEX('AEO 44'!$K:$K,MATCH('Calculations Etc'!Y88,'AEO 44'!$A:$A,0))*1000</f>
        <v>977103.33299999998</v>
      </c>
      <c r="Z93" s="128">
        <f>INDEX('AEO 44'!$K:$K,MATCH('Calculations Etc'!Z88,'AEO 44'!$A:$A,0))*1000</f>
        <v>976138.245</v>
      </c>
      <c r="AA93" s="128">
        <f>INDEX('AEO 44'!$K:$K,MATCH('Calculations Etc'!AA88,'AEO 44'!$A:$A,0))*1000</f>
        <v>984091.85800000001</v>
      </c>
      <c r="AB93" s="128">
        <f>INDEX('AEO 44'!$K:$K,MATCH('Calculations Etc'!AB88,'AEO 44'!$A:$A,0))*1000</f>
        <v>980589.96600000001</v>
      </c>
      <c r="AC93" s="128">
        <f>INDEX('AEO 44'!$K:$K,MATCH('Calculations Etc'!AC88,'AEO 44'!$A:$A,0))*1000</f>
        <v>975819.64100000006</v>
      </c>
      <c r="AD93" s="128">
        <f>INDEX('AEO 44'!$K:$K,MATCH('Calculations Etc'!AD88,'AEO 44'!$A:$A,0))*1000</f>
        <v>981372.80299999996</v>
      </c>
      <c r="AE93" s="128">
        <f>INDEX('AEO 44'!$K:$K,MATCH('Calculations Etc'!AE88,'AEO 44'!$A:$A,0))*1000</f>
        <v>975680.35899999994</v>
      </c>
      <c r="AF93" s="128">
        <f>INDEX('AEO 44'!$K:$K,MATCH('Calculations Etc'!AF88,'AEO 44'!$A:$A,0))*1000</f>
        <v>968614.80700000003</v>
      </c>
    </row>
    <row r="94" spans="1:37">
      <c r="A94" t="s">
        <v>3367</v>
      </c>
      <c r="B94" s="128">
        <f>'AEO 49'!G214*1000</f>
        <v>207952.133</v>
      </c>
      <c r="C94" s="128">
        <f>'AEO 49'!H214*1000</f>
        <v>231691.72699999998</v>
      </c>
      <c r="D94" s="128">
        <f>'AEO 49'!I214*1000</f>
        <v>250509.07900000003</v>
      </c>
      <c r="E94" s="128">
        <f>'AEO 49'!J214*1000</f>
        <v>260794.06699999998</v>
      </c>
      <c r="F94" s="128">
        <f>'AEO 49'!K214*1000</f>
        <v>273597.62599999999</v>
      </c>
      <c r="G94" s="128">
        <f>'AEO 49'!L214*1000</f>
        <v>284732.54399999999</v>
      </c>
      <c r="H94" s="128">
        <f>'AEO 49'!M214*1000</f>
        <v>287597.38199999998</v>
      </c>
      <c r="I94" s="128">
        <f>'AEO 49'!N214*1000</f>
        <v>286203.15599999996</v>
      </c>
      <c r="J94" s="128">
        <f>'AEO 49'!O214*1000</f>
        <v>291375.61</v>
      </c>
      <c r="K94" s="128">
        <f>'AEO 49'!P214*1000</f>
        <v>295825.56199999998</v>
      </c>
      <c r="L94" s="128">
        <f>'AEO 49'!Q214*1000</f>
        <v>296498.93200000003</v>
      </c>
      <c r="M94" s="128">
        <f>'AEO 49'!R214*1000</f>
        <v>300003.60100000002</v>
      </c>
      <c r="N94" s="128">
        <f>'AEO 49'!S214*1000</f>
        <v>304527.61800000002</v>
      </c>
      <c r="O94" s="128">
        <f>'AEO 49'!T214*1000</f>
        <v>308585.05200000003</v>
      </c>
      <c r="P94" s="128">
        <f>'AEO 49'!U214*1000</f>
        <v>312809.14299999998</v>
      </c>
      <c r="Q94" s="128">
        <f>'AEO 49'!V214*1000</f>
        <v>317875.42700000003</v>
      </c>
      <c r="R94" s="128">
        <f>'AEO 49'!W214*1000</f>
        <v>320350.43300000002</v>
      </c>
      <c r="S94" s="128">
        <f>'AEO 49'!X214*1000</f>
        <v>321876.89199999999</v>
      </c>
      <c r="T94" s="128">
        <f>'AEO 49'!Y214*1000</f>
        <v>325856.62800000003</v>
      </c>
      <c r="U94" s="128">
        <f>'AEO 49'!Z214*1000</f>
        <v>329683.74599999998</v>
      </c>
      <c r="V94" s="128">
        <f>'AEO 49'!AA214*1000</f>
        <v>332515.41099999996</v>
      </c>
      <c r="W94" s="128">
        <f>'AEO 49'!AB214*1000</f>
        <v>335575.989</v>
      </c>
      <c r="X94" s="128">
        <f>'AEO 49'!AC214*1000</f>
        <v>338964.81299999997</v>
      </c>
      <c r="Y94" s="128">
        <f>'AEO 49'!AD214*1000</f>
        <v>341475.40300000005</v>
      </c>
      <c r="Z94" s="128">
        <f>'AEO 49'!AE214*1000</f>
        <v>344321.99100000004</v>
      </c>
      <c r="AA94" s="128">
        <f>'AEO 49'!AF214*1000</f>
        <v>350706.05499999999</v>
      </c>
      <c r="AB94" s="128">
        <f>'AEO 49'!AG214*1000</f>
        <v>352844.147</v>
      </c>
      <c r="AC94" s="128">
        <f>'AEO 49'!AH214*1000</f>
        <v>354161.77399999998</v>
      </c>
      <c r="AD94" s="128">
        <f>'AEO 49'!AI214*1000</f>
        <v>359658.35600000003</v>
      </c>
      <c r="AE94" s="128">
        <f>'AEO 49'!AJ214*1000</f>
        <v>360829.86499999999</v>
      </c>
      <c r="AF94" s="128">
        <f>'AEO 49'!AK214*1000</f>
        <v>361139.52600000001</v>
      </c>
    </row>
    <row r="95" spans="1:37">
      <c r="A95" t="s">
        <v>3368</v>
      </c>
      <c r="B95" s="128">
        <f>'AEO 49'!G225*1000</f>
        <v>143058.48700000002</v>
      </c>
      <c r="C95" s="128">
        <f>'AEO 49'!H225*1000</f>
        <v>159204.02499999999</v>
      </c>
      <c r="D95" s="128">
        <f>'AEO 49'!I225*1000</f>
        <v>190947.40300000002</v>
      </c>
      <c r="E95" s="128">
        <f>'AEO 49'!J225*1000</f>
        <v>209990.997</v>
      </c>
      <c r="F95" s="128">
        <f>'AEO 49'!K225*1000</f>
        <v>222502.71599999999</v>
      </c>
      <c r="G95" s="128">
        <f>'AEO 49'!L225*1000</f>
        <v>230983.04699999999</v>
      </c>
      <c r="H95" s="128">
        <f>'AEO 49'!M225*1000</f>
        <v>230972</v>
      </c>
      <c r="I95" s="128">
        <f>'AEO 49'!N225*1000</f>
        <v>221502.02899999998</v>
      </c>
      <c r="J95" s="128">
        <f>'AEO 49'!O225*1000</f>
        <v>217183.45600000001</v>
      </c>
      <c r="K95" s="128">
        <f>'AEO 49'!P225*1000</f>
        <v>216904.55600000001</v>
      </c>
      <c r="L95" s="128">
        <f>'AEO 49'!Q225*1000</f>
        <v>217474.228</v>
      </c>
      <c r="M95" s="128">
        <f>'AEO 49'!R225*1000</f>
        <v>220817.91699999999</v>
      </c>
      <c r="N95" s="128">
        <f>'AEO 49'!S225*1000</f>
        <v>227648.95600000001</v>
      </c>
      <c r="O95" s="128">
        <f>'AEO 49'!T225*1000</f>
        <v>234082.16899999999</v>
      </c>
      <c r="P95" s="128">
        <f>'AEO 49'!U225*1000</f>
        <v>240281.891</v>
      </c>
      <c r="Q95" s="128">
        <f>'AEO 49'!V225*1000</f>
        <v>248073.22700000001</v>
      </c>
      <c r="R95" s="128">
        <f>'AEO 49'!W225*1000</f>
        <v>255911.56</v>
      </c>
      <c r="S95" s="128">
        <f>'AEO 49'!X225*1000</f>
        <v>260197.14399999997</v>
      </c>
      <c r="T95" s="128">
        <f>'AEO 49'!Y225*1000</f>
        <v>264953.522</v>
      </c>
      <c r="U95" s="128">
        <f>'AEO 49'!Z225*1000</f>
        <v>274417.35800000001</v>
      </c>
      <c r="V95" s="128">
        <f>'AEO 49'!AA225*1000</f>
        <v>285796.326</v>
      </c>
      <c r="W95" s="128">
        <f>'AEO 49'!AB225*1000</f>
        <v>294375.48800000001</v>
      </c>
      <c r="X95" s="128">
        <f>'AEO 49'!AC225*1000</f>
        <v>300343.81100000005</v>
      </c>
      <c r="Y95" s="128">
        <f>'AEO 49'!AD225*1000</f>
        <v>306252.16699999996</v>
      </c>
      <c r="Z95" s="128">
        <f>'AEO 49'!AE225*1000</f>
        <v>310834.90000000002</v>
      </c>
      <c r="AA95" s="128">
        <f>'AEO 49'!AF225*1000</f>
        <v>317113.342</v>
      </c>
      <c r="AB95" s="128">
        <f>'AEO 49'!AG225*1000</f>
        <v>322614.86800000002</v>
      </c>
      <c r="AC95" s="128">
        <f>'AEO 49'!AH225*1000</f>
        <v>323079.25400000002</v>
      </c>
      <c r="AD95" s="128">
        <f>'AEO 49'!AI225*1000</f>
        <v>327152.527</v>
      </c>
      <c r="AE95" s="128">
        <f>'AEO 49'!AJ225*1000</f>
        <v>335234.49699999997</v>
      </c>
      <c r="AF95" s="128">
        <f>'AEO 49'!AK225*1000</f>
        <v>340899.2</v>
      </c>
    </row>
    <row r="97" spans="1:32">
      <c r="A97" t="s">
        <v>3373</v>
      </c>
      <c r="B97">
        <f>SUMPRODUCT(B89:B91,B93:B95)/SUM(B93:B95)</f>
        <v>1.099725523401105</v>
      </c>
      <c r="C97">
        <f t="shared" ref="C97:AF97" si="31">SUMPRODUCT(C89:C91,C93:C95)/SUM(C93:C95)</f>
        <v>1.1007974944995329</v>
      </c>
      <c r="D97">
        <f t="shared" si="31"/>
        <v>1.0959166642478042</v>
      </c>
      <c r="E97">
        <f t="shared" si="31"/>
        <v>1.09564514377566</v>
      </c>
      <c r="F97">
        <f t="shared" si="31"/>
        <v>1.0975454556924087</v>
      </c>
      <c r="G97">
        <f t="shared" si="31"/>
        <v>1.1036017738765245</v>
      </c>
      <c r="H97">
        <f t="shared" si="31"/>
        <v>1.1089612045512154</v>
      </c>
      <c r="I97">
        <f t="shared" si="31"/>
        <v>1.1120946985971703</v>
      </c>
      <c r="J97">
        <f t="shared" si="31"/>
        <v>1.1034244810516147</v>
      </c>
      <c r="K97">
        <f t="shared" si="31"/>
        <v>1.1009311756904683</v>
      </c>
      <c r="L97">
        <f t="shared" si="31"/>
        <v>1.097370255180218</v>
      </c>
      <c r="M97">
        <f t="shared" si="31"/>
        <v>1.091955777186671</v>
      </c>
      <c r="N97">
        <f t="shared" si="31"/>
        <v>1.0844475617624894</v>
      </c>
      <c r="O97">
        <f t="shared" si="31"/>
        <v>1.075267577733054</v>
      </c>
      <c r="P97">
        <f t="shared" si="31"/>
        <v>1.067173374860741</v>
      </c>
      <c r="Q97">
        <f t="shared" si="31"/>
        <v>1.0580390334942023</v>
      </c>
      <c r="R97">
        <f t="shared" si="31"/>
        <v>1.051756084700026</v>
      </c>
      <c r="S97">
        <f t="shared" si="31"/>
        <v>1.0443222205365787</v>
      </c>
      <c r="T97">
        <f t="shared" si="31"/>
        <v>1.0399019268768557</v>
      </c>
      <c r="U97">
        <f t="shared" si="31"/>
        <v>1.036553253817049</v>
      </c>
      <c r="V97">
        <f t="shared" si="31"/>
        <v>1.0337733312437554</v>
      </c>
      <c r="W97">
        <f t="shared" si="31"/>
        <v>1.0314074588248772</v>
      </c>
      <c r="X97">
        <f t="shared" si="31"/>
        <v>1.0290419552044721</v>
      </c>
      <c r="Y97">
        <f t="shared" si="31"/>
        <v>1.027256042699606</v>
      </c>
      <c r="Z97">
        <f t="shared" si="31"/>
        <v>1.0257606689620176</v>
      </c>
      <c r="AA97">
        <f t="shared" si="31"/>
        <v>1.0242826518295765</v>
      </c>
      <c r="AB97">
        <f t="shared" si="31"/>
        <v>1.0231525357914721</v>
      </c>
      <c r="AC97">
        <f t="shared" si="31"/>
        <v>1.0209470548740009</v>
      </c>
      <c r="AD97">
        <f t="shared" si="31"/>
        <v>1.0187211948879007</v>
      </c>
      <c r="AE97">
        <f t="shared" si="31"/>
        <v>1.0166637836466064</v>
      </c>
      <c r="AF97">
        <f t="shared" si="31"/>
        <v>1.0146358003293912</v>
      </c>
    </row>
    <row r="99" spans="1:32">
      <c r="B99">
        <v>2019</v>
      </c>
      <c r="C99">
        <v>2020</v>
      </c>
      <c r="D99" t="s">
        <v>3374</v>
      </c>
    </row>
    <row r="100" spans="1:32">
      <c r="A100" t="s">
        <v>3369</v>
      </c>
      <c r="B100">
        <f>'AEO 7 (2020)'!C46</f>
        <v>13.941457</v>
      </c>
      <c r="C100">
        <f>'AEO 7'!C46</f>
        <v>14.042013000000001</v>
      </c>
      <c r="D100">
        <f>C100/B100</f>
        <v>1.0072127324999103</v>
      </c>
    </row>
    <row r="101" spans="1:32">
      <c r="A101" t="s">
        <v>3370</v>
      </c>
      <c r="B101">
        <f>'AEO 49 (2020)'!F108</f>
        <v>12.956725</v>
      </c>
      <c r="C101">
        <f>'AEO 49'!G108</f>
        <v>13.189800999999999</v>
      </c>
      <c r="D101">
        <f>C101/B101</f>
        <v>1.0179888050413972</v>
      </c>
    </row>
    <row r="102" spans="1:32">
      <c r="A102" t="s">
        <v>3371</v>
      </c>
      <c r="B102">
        <f>'AEO 49 (2020)'!F119</f>
        <v>8.0157849999999993</v>
      </c>
      <c r="C102">
        <f>'AEO 49'!G119</f>
        <v>8.0269100000000009</v>
      </c>
      <c r="D102">
        <f>C102/B102</f>
        <v>1.0013878865263979</v>
      </c>
    </row>
    <row r="104" spans="1:32">
      <c r="A104" t="s">
        <v>3372</v>
      </c>
      <c r="B104">
        <f>SUMPRODUCT(D100:D102,B93:B95)/SUM(B93:B95)</f>
        <v>1.0085163786653297</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5"/>
  <sheetViews>
    <sheetView workbookViewId="0">
      <selection activeCell="AE13" sqref="AE13"/>
    </sheetView>
  </sheetViews>
  <sheetFormatPr defaultRowHeight="14.5"/>
  <cols>
    <col min="1" max="1" width="31.0898437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113</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114</v>
      </c>
      <c r="B4" s="4">
        <f>'Fuel Economy Stds'!B61</f>
        <v>3.7068404566156505E-4</v>
      </c>
      <c r="C4" s="4">
        <f>'Fuel Economy Stds'!C61</f>
        <v>3.8286968063361244E-4</v>
      </c>
      <c r="D4" s="4">
        <f>'Fuel Economy Stds'!D61</f>
        <v>3.8999540362380768E-4</v>
      </c>
      <c r="E4" s="4">
        <f>'Fuel Economy Stds'!E61</f>
        <v>3.9439145706872869E-4</v>
      </c>
      <c r="F4" s="4">
        <f>'Fuel Economy Stds'!F61</f>
        <v>3.9758791642567675E-4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115</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116</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853</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854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8"/>
  <sheetViews>
    <sheetView workbookViewId="0">
      <selection activeCell="E5" sqref="E5"/>
    </sheetView>
  </sheetViews>
  <sheetFormatPr defaultRowHeight="14.5"/>
  <cols>
    <col min="1" max="1" width="31.0898437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INDEX('SYFAFE-freight'!$B$2:$H$2,MATCH('BNVFE-LDVs-frgt'!A2,'SYFAFE-freight'!$B$1:$H$1,0))*'Calculations Etc'!$B$104*'Calculations Etc'!B$97</f>
        <v>1.3418728199415992E-4</v>
      </c>
      <c r="C2" s="4">
        <f>$B2+$B2*(C$1-$B$1)/($AF$1-$B$1)*'NAP F28'!$B$24</f>
        <v>1.3640834056772384E-4</v>
      </c>
      <c r="D2" s="4">
        <f>$B2+$B2*(D$1-$B$1)/($AF$1-$B$1)*'NAP F28'!$B$24</f>
        <v>1.3862939914128773E-4</v>
      </c>
      <c r="E2" s="4">
        <f>$B2+$B2*(E$1-$B$1)/($AF$1-$B$1)*'NAP F28'!$B$24</f>
        <v>1.4085045771485165E-4</v>
      </c>
      <c r="F2" s="4">
        <f>$B2+$B2*(F$1-$B$1)/($AF$1-$B$1)*'NAP F28'!$B$24</f>
        <v>1.4307151628841557E-4</v>
      </c>
      <c r="G2" s="4">
        <f>$B2+$B2*(G$1-$B$1)/($AF$1-$B$1)*'NAP F28'!$B$24</f>
        <v>1.4529257486197946E-4</v>
      </c>
      <c r="H2" s="4">
        <f>$B2+$B2*(H$1-$B$1)/($AF$1-$B$1)*'NAP F28'!$B$24</f>
        <v>1.4751363343554338E-4</v>
      </c>
      <c r="I2" s="4">
        <f>$B2+$B2*(I$1-$B$1)/($AF$1-$B$1)*'NAP F28'!$B$24</f>
        <v>1.497346920091073E-4</v>
      </c>
      <c r="J2" s="4">
        <f>$B2+$B2*(J$1-$B$1)/($AF$1-$B$1)*'NAP F28'!$B$24</f>
        <v>1.5195575058267119E-4</v>
      </c>
      <c r="K2" s="4">
        <f>$B2+$B2*(K$1-$B$1)/($AF$1-$B$1)*'NAP F28'!$B$24</f>
        <v>1.5417680915623511E-4</v>
      </c>
      <c r="L2" s="4">
        <f>$B2+$B2*(L$1-$B$1)/($AF$1-$B$1)*'NAP F28'!$B$24</f>
        <v>1.56397867729799E-4</v>
      </c>
      <c r="M2" s="4">
        <f>$B2+$B2*(M$1-$B$1)/($AF$1-$B$1)*'NAP F28'!$B$24</f>
        <v>1.5861892630336292E-4</v>
      </c>
      <c r="N2" s="4">
        <f>$B2+$B2*(N$1-$B$1)/($AF$1-$B$1)*'NAP F28'!$B$24</f>
        <v>1.6083998487692684E-4</v>
      </c>
      <c r="O2" s="4">
        <f>$B2+$B2*(O$1-$B$1)/($AF$1-$B$1)*'NAP F28'!$B$24</f>
        <v>1.6306104345049073E-4</v>
      </c>
      <c r="P2" s="4">
        <f>$B2+$B2*(P$1-$B$1)/($AF$1-$B$1)*'NAP F28'!$B$24</f>
        <v>1.6528210202405464E-4</v>
      </c>
      <c r="Q2" s="4">
        <f>$B2+$B2*(Q$1-$B$1)/($AF$1-$B$1)*'NAP F28'!$B$24</f>
        <v>1.6750316059761856E-4</v>
      </c>
      <c r="R2" s="4">
        <f>$B2+$B2*(R$1-$B$1)/($AF$1-$B$1)*'NAP F28'!$B$24</f>
        <v>1.6972421917118245E-4</v>
      </c>
      <c r="S2" s="4">
        <f>$B2+$B2*(S$1-$B$1)/($AF$1-$B$1)*'NAP F28'!$B$24</f>
        <v>1.7194527774474637E-4</v>
      </c>
      <c r="T2" s="4">
        <f>$B2+$B2*(T$1-$B$1)/($AF$1-$B$1)*'NAP F28'!$B$24</f>
        <v>1.7416633631831029E-4</v>
      </c>
      <c r="U2" s="4">
        <f>$B2+$B2*(U$1-$B$1)/($AF$1-$B$1)*'NAP F28'!$B$24</f>
        <v>1.7638739489187418E-4</v>
      </c>
      <c r="V2" s="4">
        <f>$B2+$B2*(V$1-$B$1)/($AF$1-$B$1)*'NAP F28'!$B$24</f>
        <v>1.786084534654381E-4</v>
      </c>
      <c r="W2" s="4">
        <f>$B2+$B2*(W$1-$B$1)/($AF$1-$B$1)*'NAP F28'!$B$24</f>
        <v>1.8082951203900199E-4</v>
      </c>
      <c r="X2" s="4">
        <f>$B2+$B2*(X$1-$B$1)/($AF$1-$B$1)*'NAP F28'!$B$24</f>
        <v>1.8305057061256591E-4</v>
      </c>
      <c r="Y2" s="4">
        <f>$B2+$B2*(Y$1-$B$1)/($AF$1-$B$1)*'NAP F28'!$B$24</f>
        <v>1.8527162918612983E-4</v>
      </c>
      <c r="Z2" s="4">
        <f>$B2+$B2*(Z$1-$B$1)/($AF$1-$B$1)*'NAP F28'!$B$24</f>
        <v>1.8749268775969375E-4</v>
      </c>
      <c r="AA2" s="4">
        <f>$B2+$B2*(AA$1-$B$1)/($AF$1-$B$1)*'NAP F28'!$B$24</f>
        <v>1.8971374633325764E-4</v>
      </c>
      <c r="AB2" s="4">
        <f>$B2+$B2*(AB$1-$B$1)/($AF$1-$B$1)*'NAP F28'!$B$24</f>
        <v>1.9193480490682156E-4</v>
      </c>
      <c r="AC2" s="4">
        <f>$B2+$B2*(AC$1-$B$1)/($AF$1-$B$1)*'NAP F28'!$B$24</f>
        <v>1.9415586348038545E-4</v>
      </c>
      <c r="AD2" s="4">
        <f>$B2+$B2*(AD$1-$B$1)/($AF$1-$B$1)*'NAP F28'!$B$24</f>
        <v>1.9637692205394937E-4</v>
      </c>
      <c r="AE2" s="4">
        <f>$B2+$B2*(AE$1-$B$1)/($AF$1-$B$1)*'NAP F28'!$B$24</f>
        <v>1.9859798062751328E-4</v>
      </c>
      <c r="AF2" s="4">
        <f>$B2+$B2*(AF$1-$B$1)/($AF$1-$B$1)*'NAP F28'!$B$24</f>
        <v>2.008190392010772E-4</v>
      </c>
      <c r="AG2" s="4"/>
      <c r="AH2" s="4"/>
      <c r="AI2" s="4"/>
    </row>
    <row r="3" spans="1:35">
      <c r="A3" t="s">
        <v>113</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114</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115</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116</v>
      </c>
      <c r="B6" s="4">
        <f>B4*(1-'Calculations Etc'!$B$20)+B2*'Calculations Etc'!$B$20</f>
        <v>1.2590686672921136E-4</v>
      </c>
      <c r="C6" s="4">
        <f>C4*(1-'Calculations Etc'!$B$20)+C2*'Calculations Etc'!$B$20</f>
        <v>1.2717923783025971E-4</v>
      </c>
      <c r="D6" s="4">
        <f>D4*(1-'Calculations Etc'!$B$20)+D2*'Calculations Etc'!$B$20</f>
        <v>1.2816957133986013E-4</v>
      </c>
      <c r="E6" s="4">
        <f>E4*(1-'Calculations Etc'!$B$20)+E2*'Calculations Etc'!$B$20</f>
        <v>1.2937828919525049E-4</v>
      </c>
      <c r="F6" s="4">
        <f>F4*(1-'Calculations Etc'!$B$20)+F2*'Calculations Etc'!$B$20</f>
        <v>1.30689906230365E-4</v>
      </c>
      <c r="G6" s="4">
        <f>G4*(1-'Calculations Etc'!$B$20)+G2*'Calculations Etc'!$B$20</f>
        <v>1.3219843055815438E-4</v>
      </c>
      <c r="H6" s="4">
        <f>H4*(1-'Calculations Etc'!$B$20)+H2*'Calculations Etc'!$B$20</f>
        <v>1.3367393707414276E-4</v>
      </c>
      <c r="I6" s="4">
        <f>I4*(1-'Calculations Etc'!$B$20)+I2*'Calculations Etc'!$B$20</f>
        <v>1.3504398100729726E-4</v>
      </c>
      <c r="J6" s="4">
        <f>J4*(1-'Calculations Etc'!$B$20)+J2*'Calculations Etc'!$B$20</f>
        <v>1.3585477725325522E-4</v>
      </c>
      <c r="K6" s="4">
        <f>K4*(1-'Calculations Etc'!$B$20)+K2*'Calculations Etc'!$B$20</f>
        <v>1.3695822923096045E-4</v>
      </c>
      <c r="L6" s="4">
        <f>L4*(1-'Calculations Etc'!$B$20)+L2*'Calculations Etc'!$B$20</f>
        <v>1.3801109870346603E-4</v>
      </c>
      <c r="M6" s="4">
        <f>M4*(1-'Calculations Etc'!$B$20)+M2*'Calculations Etc'!$B$20</f>
        <v>1.389761485331768E-4</v>
      </c>
      <c r="N6" s="4">
        <f>N4*(1-'Calculations Etc'!$B$20)+N2*'Calculations Etc'!$B$20</f>
        <v>1.3984199924178047E-4</v>
      </c>
      <c r="O6" s="4">
        <f>O4*(1-'Calculations Etc'!$B$20)+O2*'Calculations Etc'!$B$20</f>
        <v>1.4062864327723159E-4</v>
      </c>
      <c r="P6" s="4">
        <f>P4*(1-'Calculations Etc'!$B$20)+P2*'Calculations Etc'!$B$20</f>
        <v>1.414667305046156E-4</v>
      </c>
      <c r="Q6" s="4">
        <f>Q4*(1-'Calculations Etc'!$B$20)+Q2*'Calculations Etc'!$B$20</f>
        <v>1.4225553704238342E-4</v>
      </c>
      <c r="R6" s="4">
        <f>R4*(1-'Calculations Etc'!$B$20)+R2*'Calculations Etc'!$B$20</f>
        <v>1.4317943962083475E-4</v>
      </c>
      <c r="S6" s="4">
        <f>S4*(1-'Calculations Etc'!$B$20)+S2*'Calculations Etc'!$B$20</f>
        <v>1.4404881301552608E-4</v>
      </c>
      <c r="T6" s="4">
        <f>T4*(1-'Calculations Etc'!$B$20)+T2*'Calculations Etc'!$B$20</f>
        <v>1.4506096627410562E-4</v>
      </c>
      <c r="U6" s="4">
        <f>U4*(1-'Calculations Etc'!$B$20)+U2*'Calculations Etc'!$B$20</f>
        <v>1.4612389181201517E-4</v>
      </c>
      <c r="V6" s="4">
        <f>V4*(1-'Calculations Etc'!$B$20)+V2*'Calculations Etc'!$B$20</f>
        <v>1.4721376416167192E-4</v>
      </c>
      <c r="W6" s="4">
        <f>W4*(1-'Calculations Etc'!$B$20)+W2*'Calculations Etc'!$B$20</f>
        <v>1.483232537808159E-4</v>
      </c>
      <c r="X6" s="4">
        <f>X4*(1-'Calculations Etc'!$B$20)+X2*'Calculations Etc'!$B$20</f>
        <v>1.4943276087325133E-4</v>
      </c>
      <c r="Y6" s="4">
        <f>Y4*(1-'Calculations Etc'!$B$20)+Y2*'Calculations Etc'!$B$20</f>
        <v>1.5056972839526199E-4</v>
      </c>
      <c r="Z6" s="4">
        <f>Z4*(1-'Calculations Etc'!$B$20)+Z2*'Calculations Etc'!$B$20</f>
        <v>1.5172046134456063E-4</v>
      </c>
      <c r="AA6" s="4">
        <f>AA4*(1-'Calculations Etc'!$B$20)+AA2*'Calculations Etc'!$B$20</f>
        <v>1.5287201663191885E-4</v>
      </c>
      <c r="AB6" s="4">
        <f>AB4*(1-'Calculations Etc'!$B$20)+AB2*'Calculations Etc'!$B$20</f>
        <v>1.5404005511448842E-4</v>
      </c>
      <c r="AC6" s="4">
        <f>AC4*(1-'Calculations Etc'!$B$20)+AC2*'Calculations Etc'!$B$20</f>
        <v>1.5515714391762736E-4</v>
      </c>
      <c r="AD6" s="4">
        <f>AD4*(1-'Calculations Etc'!$B$20)+AD2*'Calculations Etc'!$B$20</f>
        <v>1.5627326718150274E-4</v>
      </c>
      <c r="AE6" s="4">
        <f>AE4*(1-'Calculations Etc'!$B$20)+AE2*'Calculations Etc'!$B$20</f>
        <v>1.5739737137325944E-4</v>
      </c>
      <c r="AF6" s="4">
        <f>AF4*(1-'Calculations Etc'!$B$20)+AF2*'Calculations Etc'!$B$20</f>
        <v>1.5852286982972284E-4</v>
      </c>
      <c r="AG6" s="4"/>
      <c r="AH6" s="4"/>
      <c r="AI6" s="4"/>
    </row>
    <row r="7" spans="1:35">
      <c r="A7" t="s">
        <v>853</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854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I8"/>
  <sheetViews>
    <sheetView workbookViewId="0">
      <selection activeCell="C2" sqref="C2:AF8"/>
    </sheetView>
  </sheetViews>
  <sheetFormatPr defaultRowHeight="14.5"/>
  <cols>
    <col min="1" max="1" width="31.0898437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113</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114</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115</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116</v>
      </c>
      <c r="B6" s="4">
        <f>'SYFAFE-passenger'!L5*'Calculations Etc'!$B$9*'AEO 49'!$G$202/'AEO 49'!$G$131</f>
        <v>2.184891808497921E-3</v>
      </c>
      <c r="C6" s="4">
        <f>$B6*'BNVFE-HDVs-frgt'!C6/'BNVFE-HDVs-frgt'!$B6</f>
        <v>2.2147548963531811E-3</v>
      </c>
      <c r="D6" s="4">
        <f>$B6*'BNVFE-HDVs-frgt'!D6/'BNVFE-HDVs-frgt'!$B6</f>
        <v>2.2495448839048742E-3</v>
      </c>
      <c r="E6" s="4">
        <f>$B6*'BNVFE-HDVs-frgt'!E6/'BNVFE-HDVs-frgt'!$B6</f>
        <v>2.2925017925763316E-3</v>
      </c>
      <c r="F6" s="4">
        <f>$B6*'BNVFE-HDVs-frgt'!F6/'BNVFE-HDVs-frgt'!$B6</f>
        <v>2.3456847242463524E-3</v>
      </c>
      <c r="G6" s="4">
        <f>$B6*'BNVFE-HDVs-frgt'!G6/'BNVFE-HDVs-frgt'!$B6</f>
        <v>2.4071246649256953E-3</v>
      </c>
      <c r="H6" s="4">
        <f>$B6*'BNVFE-HDVs-frgt'!H6/'BNVFE-HDVs-frgt'!$B6</f>
        <v>2.4735072183054651E-3</v>
      </c>
      <c r="I6" s="4">
        <f>$B6*'BNVFE-HDVs-frgt'!I6/'BNVFE-HDVs-frgt'!$B6</f>
        <v>2.5421133363391591E-3</v>
      </c>
      <c r="J6" s="4">
        <f>$B6*'BNVFE-HDVs-frgt'!J6/'BNVFE-HDVs-frgt'!$B6</f>
        <v>2.577064993243046E-3</v>
      </c>
      <c r="K6" s="4">
        <f>$B6*'BNVFE-HDVs-frgt'!K6/'BNVFE-HDVs-frgt'!$B6</f>
        <v>2.6281580953820141E-3</v>
      </c>
      <c r="L6" s="4">
        <f>$B6*'BNVFE-HDVs-frgt'!L6/'BNVFE-HDVs-frgt'!$B6</f>
        <v>2.671480942457572E-3</v>
      </c>
      <c r="M6" s="4">
        <f>$B6*'BNVFE-HDVs-frgt'!M6/'BNVFE-HDVs-frgt'!$B6</f>
        <v>2.7099673269041225E-3</v>
      </c>
      <c r="N6" s="4">
        <f>$B6*'BNVFE-HDVs-frgt'!N6/'BNVFE-HDVs-frgt'!$B6</f>
        <v>2.7328210182670939E-3</v>
      </c>
      <c r="O6" s="4">
        <f>$B6*'BNVFE-HDVs-frgt'!O6/'BNVFE-HDVs-frgt'!$B6</f>
        <v>2.7356619293890062E-3</v>
      </c>
      <c r="P6" s="4">
        <f>$B6*'BNVFE-HDVs-frgt'!P6/'BNVFE-HDVs-frgt'!$B6</f>
        <v>2.7378317206514886E-3</v>
      </c>
      <c r="Q6" s="4">
        <f>$B6*'BNVFE-HDVs-frgt'!Q6/'BNVFE-HDVs-frgt'!$B6</f>
        <v>2.7380600829761854E-3</v>
      </c>
      <c r="R6" s="4">
        <f>$B6*'BNVFE-HDVs-frgt'!R6/'BNVFE-HDVs-frgt'!$B6</f>
        <v>2.7391565014770218E-3</v>
      </c>
      <c r="S6" s="4">
        <f>$B6*'BNVFE-HDVs-frgt'!S6/'BNVFE-HDVs-frgt'!$B6</f>
        <v>2.740062618040611E-3</v>
      </c>
      <c r="T6" s="4">
        <f>$B6*'BNVFE-HDVs-frgt'!T6/'BNVFE-HDVs-frgt'!$B6</f>
        <v>2.7402969163890381E-3</v>
      </c>
      <c r="U6" s="4">
        <f>$B6*'BNVFE-HDVs-frgt'!U6/'BNVFE-HDVs-frgt'!$B6</f>
        <v>2.7399735776846507E-3</v>
      </c>
      <c r="V6" s="4">
        <f>$B6*'BNVFE-HDVs-frgt'!V6/'BNVFE-HDVs-frgt'!$B6</f>
        <v>2.7399557696134594E-3</v>
      </c>
      <c r="W6" s="4">
        <f>$B6*'BNVFE-HDVs-frgt'!W6/'BNVFE-HDVs-frgt'!$B6</f>
        <v>2.7399746252182505E-3</v>
      </c>
      <c r="X6" s="4">
        <f>$B6*'BNVFE-HDVs-frgt'!X6/'BNVFE-HDVs-frgt'!$B6</f>
        <v>2.7399976709574399E-3</v>
      </c>
      <c r="Y6" s="4">
        <f>$B6*'BNVFE-HDVs-frgt'!Y6/'BNVFE-HDVs-frgt'!$B6</f>
        <v>2.7398335573601816E-3</v>
      </c>
      <c r="Z6" s="4">
        <f>$B6*'BNVFE-HDVs-frgt'!Z6/'BNVFE-HDVs-frgt'!$B6</f>
        <v>2.7400022102697045E-3</v>
      </c>
      <c r="AA6" s="4">
        <f>$B6*'BNVFE-HDVs-frgt'!AA6/'BNVFE-HDVs-frgt'!$B6</f>
        <v>2.740437285891374E-3</v>
      </c>
      <c r="AB6" s="4">
        <f>$B6*'BNVFE-HDVs-frgt'!AB6/'BNVFE-HDVs-frgt'!$B6</f>
        <v>2.7404121450849859E-3</v>
      </c>
      <c r="AC6" s="4">
        <f>$B6*'BNVFE-HDVs-frgt'!AC6/'BNVFE-HDVs-frgt'!$B6</f>
        <v>2.741151005450517E-3</v>
      </c>
      <c r="AD6" s="4">
        <f>$B6*'BNVFE-HDVs-frgt'!AD6/'BNVFE-HDVs-frgt'!$B6</f>
        <v>2.7423085300779925E-3</v>
      </c>
      <c r="AE6" s="4">
        <f>$B6*'BNVFE-HDVs-frgt'!AE6/'BNVFE-HDVs-frgt'!$B6</f>
        <v>2.7436141061208679E-3</v>
      </c>
      <c r="AF6" s="4">
        <f>$B6*'BNVFE-HDVs-frgt'!AF6/'BNVFE-HDVs-frgt'!$B6</f>
        <v>2.7450925252076636E-3</v>
      </c>
      <c r="AG6" s="4"/>
      <c r="AH6" s="4"/>
      <c r="AI6" s="4"/>
    </row>
    <row r="7" spans="1:35">
      <c r="A7" t="s">
        <v>853</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854</v>
      </c>
      <c r="B8" s="4">
        <f>'SYFAFE-passenger'!L7*'Calculations Etc'!$B$9*'AEO 49'!$G$202/'AEO 49'!$G$131</f>
        <v>2.9560037679493573E-3</v>
      </c>
      <c r="C8" s="4">
        <f>$B8*'BNVFE-HDVs-frgt'!C8/'BNVFE-HDVs-frgt'!$B8</f>
        <v>2.9964064093430461E-3</v>
      </c>
      <c r="D8" s="4">
        <f>$B8*'BNVFE-HDVs-frgt'!D8/'BNVFE-HDVs-frgt'!$B8</f>
        <v>3.0434747968438526E-3</v>
      </c>
      <c r="E8" s="4">
        <f>$B8*'BNVFE-HDVs-frgt'!E8/'BNVFE-HDVs-frgt'!$B8</f>
        <v>3.1015924498088211E-3</v>
      </c>
      <c r="F8" s="4">
        <f>$B8*'BNVFE-HDVs-frgt'!F8/'BNVFE-HDVs-frgt'!$B8</f>
        <v>3.1735451871460771E-3</v>
      </c>
      <c r="G8" s="4">
        <f>$B8*'BNVFE-HDVs-frgt'!G8/'BNVFE-HDVs-frgt'!$B8</f>
        <v>3.2566690724773069E-3</v>
      </c>
      <c r="H8" s="4">
        <f>$B8*'BNVFE-HDVs-frgt'!H8/'BNVFE-HDVs-frgt'!$B8</f>
        <v>3.3464799624964331E-3</v>
      </c>
      <c r="I8" s="4">
        <f>$B8*'BNVFE-HDVs-frgt'!I8/'BNVFE-HDVs-frgt'!$B8</f>
        <v>3.439299177902528E-3</v>
      </c>
      <c r="J8" s="4">
        <f>$B8*'BNVFE-HDVs-frgt'!J8/'BNVFE-HDVs-frgt'!$B8</f>
        <v>3.4865862925789249E-3</v>
      </c>
      <c r="K8" s="4">
        <f>$B8*'BNVFE-HDVs-frgt'!K8/'BNVFE-HDVs-frgt'!$B8</f>
        <v>3.5557116386723056E-3</v>
      </c>
      <c r="L8" s="4">
        <f>$B8*'BNVFE-HDVs-frgt'!L8/'BNVFE-HDVs-frgt'!$B8</f>
        <v>3.6143243803630188E-3</v>
      </c>
      <c r="M8" s="4">
        <f>$B8*'BNVFE-HDVs-frgt'!M8/'BNVFE-HDVs-frgt'!$B8</f>
        <v>3.6663937308893326E-3</v>
      </c>
      <c r="N8" s="4">
        <f>$B8*'BNVFE-HDVs-frgt'!N8/'BNVFE-HDVs-frgt'!$B8</f>
        <v>3.6973131556030628E-3</v>
      </c>
      <c r="O8" s="4">
        <f>$B8*'BNVFE-HDVs-frgt'!O8/'BNVFE-HDVs-frgt'!$B8</f>
        <v>3.7011567070082707E-3</v>
      </c>
      <c r="P8" s="4">
        <f>$B8*'BNVFE-HDVs-frgt'!P8/'BNVFE-HDVs-frgt'!$B8</f>
        <v>3.704092280807677E-3</v>
      </c>
      <c r="Q8" s="4">
        <f>$B8*'BNVFE-HDVs-frgt'!Q8/'BNVFE-HDVs-frgt'!$B8</f>
        <v>3.7044012388483608E-3</v>
      </c>
      <c r="R8" s="4">
        <f>$B8*'BNVFE-HDVs-frgt'!R8/'BNVFE-HDVs-frgt'!$B8</f>
        <v>3.7058846153739697E-3</v>
      </c>
      <c r="S8" s="4">
        <f>$B8*'BNVFE-HDVs-frgt'!S8/'BNVFE-HDVs-frgt'!$B8</f>
        <v>3.7071105268656757E-3</v>
      </c>
      <c r="T8" s="4">
        <f>$B8*'BNVFE-HDVs-frgt'!T8/'BNVFE-HDVs-frgt'!$B8</f>
        <v>3.7074275159257658E-3</v>
      </c>
      <c r="U8" s="4">
        <f>$B8*'BNVFE-HDVs-frgt'!U8/'BNVFE-HDVs-frgt'!$B8</f>
        <v>3.706990061574583E-3</v>
      </c>
      <c r="V8" s="4">
        <f>$B8*'BNVFE-HDVs-frgt'!V8/'BNVFE-HDVs-frgt'!$B8</f>
        <v>3.7069659685163648E-3</v>
      </c>
      <c r="W8" s="4">
        <f>$B8*'BNVFE-HDVs-frgt'!W8/'BNVFE-HDVs-frgt'!$B8</f>
        <v>3.7069914788133013E-3</v>
      </c>
      <c r="X8" s="4">
        <f>$B8*'BNVFE-HDVs-frgt'!X8/'BNVFE-HDVs-frgt'!$B8</f>
        <v>3.707022658065114E-3</v>
      </c>
      <c r="Y8" s="4">
        <f>$B8*'BNVFE-HDVs-frgt'!Y8/'BNVFE-HDVs-frgt'!$B8</f>
        <v>3.7068006239991788E-3</v>
      </c>
      <c r="Z8" s="4">
        <f>$B8*'BNVFE-HDVs-frgt'!Z8/'BNVFE-HDVs-frgt'!$B8</f>
        <v>3.7070287994328951E-3</v>
      </c>
      <c r="AA8" s="4">
        <f>$B8*'BNVFE-HDVs-frgt'!AA8/'BNVFE-HDVs-frgt'!$B8</f>
        <v>3.7076174259140764E-3</v>
      </c>
      <c r="AB8" s="4">
        <f>$B8*'BNVFE-HDVs-frgt'!AB8/'BNVFE-HDVs-frgt'!$B8</f>
        <v>3.7075834121848266E-3</v>
      </c>
      <c r="AC8" s="4">
        <f>$B8*'BNVFE-HDVs-frgt'!AC8/'BNVFE-HDVs-frgt'!$B8</f>
        <v>3.7085830378944407E-3</v>
      </c>
      <c r="AD8" s="4">
        <f>$B8*'BNVFE-HDVs-frgt'!AD8/'BNVFE-HDVs-frgt'!$B8</f>
        <v>3.7101490866786424E-3</v>
      </c>
      <c r="AE8" s="4">
        <f>$B8*'BNVFE-HDVs-frgt'!AE8/'BNVFE-HDVs-frgt'!$B8</f>
        <v>3.7119154385350924E-3</v>
      </c>
      <c r="AF8" s="4">
        <f>$B8*'BNVFE-HDVs-frgt'!AF8/'BNVFE-HDVs-frgt'!$B8</f>
        <v>3.7139156347801338E-3</v>
      </c>
      <c r="AG8" s="4"/>
      <c r="AH8" s="4"/>
      <c r="AI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I8"/>
  <sheetViews>
    <sheetView workbookViewId="0">
      <selection activeCell="G6" sqref="G6"/>
    </sheetView>
  </sheetViews>
  <sheetFormatPr defaultRowHeight="14.5"/>
  <cols>
    <col min="1" max="1" width="31.0898437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113</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114</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115</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116</v>
      </c>
      <c r="B6" s="4">
        <f>INDEX('SYFAFE-freight'!$B$3:$H$3,MATCH($A6,'SYFAFE-freight'!$B$1:$H$1,0))*'AEO 49'!H$201/'AEO 49 (2020)'!$F$201*('AEO 49'!$G$201/'AEO 49'!$G$130)</f>
        <v>1.1466008681806548E-3</v>
      </c>
      <c r="C6" s="4">
        <f>$B6*'AEO 49'!H$201/'AEO 49'!$G$201</f>
        <v>1.1622726018235836E-3</v>
      </c>
      <c r="D6" s="4">
        <f>$B6*'AEO 49'!I$201/'AEO 49'!$G$201</f>
        <v>1.1805299039818033E-3</v>
      </c>
      <c r="E6" s="4">
        <f>$B6*'AEO 49'!J$201/'AEO 49'!$G$201</f>
        <v>1.203073092887304E-3</v>
      </c>
      <c r="F6" s="4">
        <f>$B6*'AEO 49'!K$201/'AEO 49'!$G$201</f>
        <v>1.2309827566006578E-3</v>
      </c>
      <c r="G6" s="4">
        <f>$B6*'AEO 49'!L$201/'AEO 49'!$G$201</f>
        <v>1.2632255839342154E-3</v>
      </c>
      <c r="H6" s="4">
        <f>$B6*'AEO 49'!M$201/'AEO 49'!$G$201</f>
        <v>1.2980622257492715E-3</v>
      </c>
      <c r="I6" s="4">
        <f>$B6*'AEO 49'!N$201/'AEO 49'!$G$201</f>
        <v>1.3340657634045381E-3</v>
      </c>
      <c r="J6" s="4">
        <f>$B6*'AEO 49'!O$201/'AEO 49'!$G$201</f>
        <v>1.3524079073928485E-3</v>
      </c>
      <c r="K6" s="4">
        <f>$B6*'AEO 49'!P$201/'AEO 49'!$G$201</f>
        <v>1.3792208576006023E-3</v>
      </c>
      <c r="L6" s="4">
        <f>$B6*'AEO 49'!Q$201/'AEO 49'!$G$201</f>
        <v>1.4019560858968914E-3</v>
      </c>
      <c r="M6" s="4">
        <f>$B6*'AEO 49'!R$201/'AEO 49'!$G$201</f>
        <v>1.4221532057945064E-3</v>
      </c>
      <c r="N6" s="4">
        <f>$B6*'AEO 49'!S$201/'AEO 49'!$G$201</f>
        <v>1.4341465055341081E-3</v>
      </c>
      <c r="O6" s="4">
        <f>$B6*'AEO 49'!T$201/'AEO 49'!$G$201</f>
        <v>1.4356373762244275E-3</v>
      </c>
      <c r="P6" s="4">
        <f>$B6*'AEO 49'!U$201/'AEO 49'!$G$201</f>
        <v>1.4367760525358388E-3</v>
      </c>
      <c r="Q6" s="4">
        <f>$B6*'AEO 49'!V$201/'AEO 49'!$G$201</f>
        <v>1.4368958939113884E-3</v>
      </c>
      <c r="R6" s="4">
        <f>$B6*'AEO 49'!W$201/'AEO 49'!$G$201</f>
        <v>1.4374712791089795E-3</v>
      </c>
      <c r="S6" s="4">
        <f>$B6*'AEO 49'!X$201/'AEO 49'!$G$201</f>
        <v>1.4379467964936131E-3</v>
      </c>
      <c r="T6" s="4">
        <f>$B6*'AEO 49'!Y$201/'AEO 49'!$G$201</f>
        <v>1.438069753011952E-3</v>
      </c>
      <c r="U6" s="4">
        <f>$B6*'AEO 49'!Z$201/'AEO 49'!$G$201</f>
        <v>1.4379000693517704E-3</v>
      </c>
      <c r="V6" s="4">
        <f>$B6*'AEO 49'!AA$201/'AEO 49'!$G$201</f>
        <v>1.437890723923402E-3</v>
      </c>
      <c r="W6" s="4">
        <f>$B6*'AEO 49'!AB$201/'AEO 49'!$G$201</f>
        <v>1.4379006190828509E-3</v>
      </c>
      <c r="X6" s="4">
        <f>$B6*'AEO 49'!AC$201/'AEO 49'!$G$201</f>
        <v>1.4379127131666219E-3</v>
      </c>
      <c r="Y6" s="4">
        <f>$B6*'AEO 49'!AD$201/'AEO 49'!$G$201</f>
        <v>1.4378265886306769E-3</v>
      </c>
      <c r="Z6" s="4">
        <f>$B6*'AEO 49'!AE$201/'AEO 49'!$G$201</f>
        <v>1.4379150953346374E-3</v>
      </c>
      <c r="AA6" s="4">
        <f>$B6*'AEO 49'!AF$201/'AEO 49'!$G$201</f>
        <v>1.438143416976739E-3</v>
      </c>
      <c r="AB6" s="4">
        <f>$B6*'AEO 49'!AG$201/'AEO 49'!$G$201</f>
        <v>1.438130223430807E-3</v>
      </c>
      <c r="AC6" s="4">
        <f>$B6*'AEO 49'!AH$201/'AEO 49'!$G$201</f>
        <v>1.4385179670862538E-3</v>
      </c>
      <c r="AD6" s="4">
        <f>$B6*'AEO 49'!AI$201/'AEO 49'!$G$201</f>
        <v>1.4391254199302077E-3</v>
      </c>
      <c r="AE6" s="4">
        <f>$B6*'AEO 49'!AJ$201/'AEO 49'!$G$201</f>
        <v>1.4398105681002059E-3</v>
      </c>
      <c r="AF6" s="4">
        <f>$B6*'AEO 49'!AK$201/'AEO 49'!$G$201</f>
        <v>1.4405864218984864E-3</v>
      </c>
      <c r="AG6" s="4"/>
      <c r="AH6" s="4"/>
      <c r="AI6" s="4"/>
    </row>
    <row r="7" spans="1:35">
      <c r="A7" t="s">
        <v>853</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854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8"/>
  <sheetViews>
    <sheetView workbookViewId="0">
      <selection activeCell="C5" sqref="C5"/>
    </sheetView>
  </sheetViews>
  <sheetFormatPr defaultRowHeight="14.5"/>
  <cols>
    <col min="1" max="1" width="31.0898437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1.4980235812240234E-3</v>
      </c>
      <c r="C2" s="4">
        <f>C$5/(1-'Calculations Etc'!$B$17)</f>
        <v>1.5231644537335698E-3</v>
      </c>
      <c r="D2" s="4">
        <f>D$5/(1-'Calculations Etc'!$B$17)</f>
        <v>1.5304275172800137E-3</v>
      </c>
      <c r="E2" s="4">
        <f>E$5/(1-'Calculations Etc'!$B$17)</f>
        <v>1.5412712423030443E-3</v>
      </c>
      <c r="F2" s="4">
        <f>F$5/(1-'Calculations Etc'!$B$17)</f>
        <v>1.5576490945925607E-3</v>
      </c>
      <c r="G2" s="4">
        <f>G$5/(1-'Calculations Etc'!$B$17)</f>
        <v>1.5699908781437811E-3</v>
      </c>
      <c r="H2" s="4">
        <f>H$5/(1-'Calculations Etc'!$B$17)</f>
        <v>1.5806683889015623E-3</v>
      </c>
      <c r="I2" s="4">
        <f>I$5/(1-'Calculations Etc'!$B$17)</f>
        <v>1.5909098534806817E-3</v>
      </c>
      <c r="J2" s="4">
        <f>J$5/(1-'Calculations Etc'!$B$17)</f>
        <v>1.6012077984306095E-3</v>
      </c>
      <c r="K2" s="4">
        <f>K$5/(1-'Calculations Etc'!$B$17)</f>
        <v>1.611298486993707E-3</v>
      </c>
      <c r="L2" s="4">
        <f>L$5/(1-'Calculations Etc'!$B$17)</f>
        <v>1.6219407555186202E-3</v>
      </c>
      <c r="M2" s="4">
        <f>M$5/(1-'Calculations Etc'!$B$17)</f>
        <v>1.6329881937237401E-3</v>
      </c>
      <c r="N2" s="4">
        <f>N$5/(1-'Calculations Etc'!$B$17)</f>
        <v>1.6447141978177234E-3</v>
      </c>
      <c r="O2" s="4">
        <f>O$5/(1-'Calculations Etc'!$B$17)</f>
        <v>1.6570786747516877E-3</v>
      </c>
      <c r="P2" s="4">
        <f>P$5/(1-'Calculations Etc'!$B$17)</f>
        <v>1.6697670596523698E-3</v>
      </c>
      <c r="Q2" s="4">
        <f>Q$5/(1-'Calculations Etc'!$B$17)</f>
        <v>1.6829627766366171E-3</v>
      </c>
      <c r="R2" s="4">
        <f>R$5/(1-'Calculations Etc'!$B$17)</f>
        <v>1.6961396808909308E-3</v>
      </c>
      <c r="S2" s="4">
        <f>S$5/(1-'Calculations Etc'!$B$17)</f>
        <v>1.7093091823781967E-3</v>
      </c>
      <c r="T2" s="4">
        <f>T$5/(1-'Calculations Etc'!$B$17)</f>
        <v>1.722308926395473E-3</v>
      </c>
      <c r="U2" s="4">
        <f>U$5/(1-'Calculations Etc'!$B$17)</f>
        <v>1.7349202255025392E-3</v>
      </c>
      <c r="V2" s="4">
        <f>V$5/(1-'Calculations Etc'!$B$17)</f>
        <v>1.7473289503147547E-3</v>
      </c>
      <c r="W2" s="4">
        <f>W$5/(1-'Calculations Etc'!$B$17)</f>
        <v>1.7596425780425883E-3</v>
      </c>
      <c r="X2" s="4">
        <f>X$5/(1-'Calculations Etc'!$B$17)</f>
        <v>1.7719576610152265E-3</v>
      </c>
      <c r="Y2" s="4">
        <f>Y$5/(1-'Calculations Etc'!$B$17)</f>
        <v>1.7844069217769168E-3</v>
      </c>
      <c r="Z2" s="4">
        <f>Z$5/(1-'Calculations Etc'!$B$17)</f>
        <v>1.7964568338376173E-3</v>
      </c>
      <c r="AA2" s="4">
        <f>AA$5/(1-'Calculations Etc'!$B$17)</f>
        <v>1.8081574027832825E-3</v>
      </c>
      <c r="AB2" s="4">
        <f>AB$5/(1-'Calculations Etc'!$B$17)</f>
        <v>1.8196558614251941E-3</v>
      </c>
      <c r="AC2" s="4">
        <f>AC$5/(1-'Calculations Etc'!$B$17)</f>
        <v>1.8309308450823857E-3</v>
      </c>
      <c r="AD2" s="4">
        <f>AD$5/(1-'Calculations Etc'!$B$17)</f>
        <v>1.8426753455487357E-3</v>
      </c>
      <c r="AE2" s="4">
        <f>AE$5/(1-'Calculations Etc'!$B$17)</f>
        <v>1.8543062314678332E-3</v>
      </c>
      <c r="AF2" s="4">
        <f>AF$5/(1-'Calculations Etc'!$B$17)</f>
        <v>1.8658766298202847E-3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'SYFAFE-passenger'!E4*('AEO 7'!C49/'AEO 7 (2020)'!C49)*'Calculations Etc'!B8*('AEO 7'!C49/'AEO 7'!$C$49)</f>
        <v>4.6616941125958422E-4</v>
      </c>
      <c r="C5" s="4">
        <f>$B$5*('AEO 7'!D49/'AEO 7'!$C$49)</f>
        <v>4.7399299019600609E-4</v>
      </c>
      <c r="D5" s="4">
        <f>$B$5*('AEO 7'!E49/'AEO 7'!$C$49)</f>
        <v>4.7625318028902199E-4</v>
      </c>
      <c r="E5" s="4">
        <f>$B$5*('AEO 7'!F49/'AEO 7'!$C$49)</f>
        <v>4.7962763511951036E-4</v>
      </c>
      <c r="F5" s="4">
        <f>$B$5*('AEO 7'!G49/'AEO 7'!$C$49)</f>
        <v>4.8472425299335046E-4</v>
      </c>
      <c r="G5" s="4">
        <f>$B$5*('AEO 7'!H49/'AEO 7'!$C$49)</f>
        <v>4.8856488811023198E-4</v>
      </c>
      <c r="H5" s="4">
        <f>$B$5*('AEO 7'!I49/'AEO 7'!$C$49)</f>
        <v>4.9188761878420821E-4</v>
      </c>
      <c r="I5" s="4">
        <f>$B$5*('AEO 7'!J49/'AEO 7'!$C$49)</f>
        <v>4.9507465640706257E-4</v>
      </c>
      <c r="J5" s="4">
        <f>$B$5*('AEO 7'!K49/'AEO 7'!$C$49)</f>
        <v>4.9827927013588579E-4</v>
      </c>
      <c r="K5" s="4">
        <f>$B$5*('AEO 7'!L49/'AEO 7'!$C$49)</f>
        <v>5.0141938782536798E-4</v>
      </c>
      <c r="L5" s="4">
        <f>$B$5*('AEO 7'!M49/'AEO 7'!$C$49)</f>
        <v>5.0473115148176617E-4</v>
      </c>
      <c r="M5" s="4">
        <f>$B$5*('AEO 7'!N49/'AEO 7'!$C$49)</f>
        <v>5.0816899974300608E-4</v>
      </c>
      <c r="N5" s="4">
        <f>$B$5*('AEO 7'!O49/'AEO 7'!$C$49)</f>
        <v>5.1181801067543291E-4</v>
      </c>
      <c r="O5" s="4">
        <f>$B$5*('AEO 7'!P49/'AEO 7'!$C$49)</f>
        <v>5.1566570773780435E-4</v>
      </c>
      <c r="P5" s="4">
        <f>$B$5*('AEO 7'!Q49/'AEO 7'!$C$49)</f>
        <v>5.1961420160206843E-4</v>
      </c>
      <c r="Q5" s="4">
        <f>$B$5*('AEO 7'!R49/'AEO 7'!$C$49)</f>
        <v>5.2372057195217224E-4</v>
      </c>
      <c r="R5" s="4">
        <f>$B$5*('AEO 7'!S49/'AEO 7'!$C$49)</f>
        <v>5.2782108797571725E-4</v>
      </c>
      <c r="S5" s="4">
        <f>$B$5*('AEO 7'!T49/'AEO 7'!$C$49)</f>
        <v>5.3191930033488766E-4</v>
      </c>
      <c r="T5" s="4">
        <f>$B$5*('AEO 7'!U49/'AEO 7'!$C$49)</f>
        <v>5.3596468592895642E-4</v>
      </c>
      <c r="U5" s="4">
        <f>$B$5*('AEO 7'!V49/'AEO 7'!$C$49)</f>
        <v>5.3988919149325191E-4</v>
      </c>
      <c r="V5" s="4">
        <f>$B$5*('AEO 7'!W49/'AEO 7'!$C$49)</f>
        <v>5.4375065803669985E-4</v>
      </c>
      <c r="W5" s="4">
        <f>$B$5*('AEO 7'!X49/'AEO 7'!$C$49)</f>
        <v>5.4758253135318239E-4</v>
      </c>
      <c r="X5" s="4">
        <f>$B$5*('AEO 7'!Y49/'AEO 7'!$C$49)</f>
        <v>5.5141485752676429E-4</v>
      </c>
      <c r="Y5" s="4">
        <f>$B$5*('AEO 7'!Z49/'AEO 7'!$C$49)</f>
        <v>5.5528893843752823E-4</v>
      </c>
      <c r="Z5" s="4">
        <f>$B$5*('AEO 7'!AA49/'AEO 7'!$C$49)</f>
        <v>5.5903874617184749E-4</v>
      </c>
      <c r="AA5" s="4">
        <f>$B$5*('AEO 7'!AB49/'AEO 7'!$C$49)</f>
        <v>5.6267984194975651E-4</v>
      </c>
      <c r="AB5" s="4">
        <f>$B$5*('AEO 7'!AC49/'AEO 7'!$C$49)</f>
        <v>5.6625804309603806E-4</v>
      </c>
      <c r="AC5" s="4">
        <f>$B$5*('AEO 7'!AD49/'AEO 7'!$C$49)</f>
        <v>5.6976670114342325E-4</v>
      </c>
      <c r="AD5" s="4">
        <f>$B$5*('AEO 7'!AE49/'AEO 7'!$C$49)</f>
        <v>5.7342146795521316E-4</v>
      </c>
      <c r="AE5" s="4">
        <f>$B$5*('AEO 7'!AF49/'AEO 7'!$C$49)</f>
        <v>5.770408790975283E-4</v>
      </c>
      <c r="AF5" s="4">
        <f>$B$5*('AEO 7'!AG49/'AEO 7'!$C$49)</f>
        <v>5.8064146713606509E-4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1.3985082337787526E-3</v>
      </c>
      <c r="C8" s="4">
        <f>C$5*'Calculations Etc'!$B$35</f>
        <v>1.4219789705880181E-3</v>
      </c>
      <c r="D8" s="4">
        <f>D$5*'Calculations Etc'!$B$35</f>
        <v>1.4287595408670657E-3</v>
      </c>
      <c r="E8" s="4">
        <f>E$5*'Calculations Etc'!$B$35</f>
        <v>1.4388829053585308E-3</v>
      </c>
      <c r="F8" s="4">
        <f>F$5*'Calculations Etc'!$B$35</f>
        <v>1.4541727589800512E-3</v>
      </c>
      <c r="G8" s="4">
        <f>G$5*'Calculations Etc'!$B$35</f>
        <v>1.4656946643306957E-3</v>
      </c>
      <c r="H8" s="4">
        <f>H$5*'Calculations Etc'!$B$35</f>
        <v>1.4756628563526244E-3</v>
      </c>
      <c r="I8" s="4">
        <f>I$5*'Calculations Etc'!$B$35</f>
        <v>1.4852239692211874E-3</v>
      </c>
      <c r="J8" s="4">
        <f>J$5*'Calculations Etc'!$B$35</f>
        <v>1.4948378104076572E-3</v>
      </c>
      <c r="K8" s="4">
        <f>K$5*'Calculations Etc'!$B$35</f>
        <v>1.5042581634761036E-3</v>
      </c>
      <c r="L8" s="4">
        <f>L$5*'Calculations Etc'!$B$35</f>
        <v>1.5141934544452983E-3</v>
      </c>
      <c r="M8" s="4">
        <f>M$5*'Calculations Etc'!$B$35</f>
        <v>1.524506999229018E-3</v>
      </c>
      <c r="N8" s="4">
        <f>N$5*'Calculations Etc'!$B$35</f>
        <v>1.5354540320262984E-3</v>
      </c>
      <c r="O8" s="4">
        <f>O$5*'Calculations Etc'!$B$35</f>
        <v>1.5469971232134128E-3</v>
      </c>
      <c r="P8" s="4">
        <f>P$5*'Calculations Etc'!$B$35</f>
        <v>1.5588426048062051E-3</v>
      </c>
      <c r="Q8" s="4">
        <f>Q$5*'Calculations Etc'!$B$35</f>
        <v>1.5711617158565164E-3</v>
      </c>
      <c r="R8" s="4">
        <f>R$5*'Calculations Etc'!$B$35</f>
        <v>1.5834632639271514E-3</v>
      </c>
      <c r="S8" s="4">
        <f>S$5*'Calculations Etc'!$B$35</f>
        <v>1.5957579010046628E-3</v>
      </c>
      <c r="T8" s="4">
        <f>T$5*'Calculations Etc'!$B$35</f>
        <v>1.6078940577868689E-3</v>
      </c>
      <c r="U8" s="4">
        <f>U$5*'Calculations Etc'!$B$35</f>
        <v>1.6196675744797554E-3</v>
      </c>
      <c r="V8" s="4">
        <f>V$5*'Calculations Etc'!$B$35</f>
        <v>1.6312519741100992E-3</v>
      </c>
      <c r="W8" s="4">
        <f>W$5*'Calculations Etc'!$B$35</f>
        <v>1.642747594059547E-3</v>
      </c>
      <c r="X8" s="4">
        <f>X$5*'Calculations Etc'!$B$35</f>
        <v>1.6542445725802927E-3</v>
      </c>
      <c r="Y8" s="4">
        <f>Y$5*'Calculations Etc'!$B$35</f>
        <v>1.6658668153125844E-3</v>
      </c>
      <c r="Z8" s="4">
        <f>Z$5*'Calculations Etc'!$B$35</f>
        <v>1.6771162385155421E-3</v>
      </c>
      <c r="AA8" s="4">
        <f>AA$5*'Calculations Etc'!$B$35</f>
        <v>1.6880395258492692E-3</v>
      </c>
      <c r="AB8" s="4">
        <f>AB$5*'Calculations Etc'!$B$35</f>
        <v>1.698774129288114E-3</v>
      </c>
      <c r="AC8" s="4">
        <f>AC$5*'Calculations Etc'!$B$35</f>
        <v>1.7093001034302695E-3</v>
      </c>
      <c r="AD8" s="4">
        <f>AD$5*'Calculations Etc'!$B$35</f>
        <v>1.7202644038656393E-3</v>
      </c>
      <c r="AE8" s="4">
        <f>AE$5*'Calculations Etc'!$B$35</f>
        <v>1.7311226372925847E-3</v>
      </c>
      <c r="AF8" s="4">
        <f>AF$5*'Calculations Etc'!$B$35</f>
        <v>1.741924401408195E-3</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B5" sqref="B5"/>
    </sheetView>
  </sheetViews>
  <sheetFormatPr defaultRowHeight="14.5"/>
  <cols>
    <col min="1" max="1" width="31.0898437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10"/>
  <sheetViews>
    <sheetView tabSelected="1" workbookViewId="0">
      <selection activeCell="A5" sqref="A5"/>
    </sheetView>
  </sheetViews>
  <sheetFormatPr defaultRowHeight="14.5"/>
  <cols>
    <col min="1" max="1" width="31.0898437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'Calculations Etc'!E68</f>
        <v>1.2490429545241593E-3</v>
      </c>
      <c r="C2" s="4">
        <f>'Calculations Etc'!F68</f>
        <v>1.2479838852561889E-3</v>
      </c>
      <c r="D2" s="4">
        <f>'Calculations Etc'!G68</f>
        <v>1.2471665685815224E-3</v>
      </c>
      <c r="E2" s="4">
        <f>'Calculations Etc'!H68</f>
        <v>1.2466464519590526E-3</v>
      </c>
      <c r="F2" s="4">
        <f>'Calculations Etc'!I68</f>
        <v>1.2461776274382624E-3</v>
      </c>
      <c r="G2" s="4">
        <f>'Calculations Etc'!J68</f>
        <v>1.2458210503215087E-3</v>
      </c>
      <c r="H2" s="4">
        <f>'Calculations Etc'!K68</f>
        <v>1.2454261907779705E-3</v>
      </c>
      <c r="I2" s="4">
        <f>'Calculations Etc'!L68</f>
        <v>1.2450097660041024E-3</v>
      </c>
      <c r="J2" s="4">
        <f>'Calculations Etc'!M68</f>
        <v>1.2449523012062393E-3</v>
      </c>
      <c r="K2" s="4">
        <f>'Calculations Etc'!N68</f>
        <v>1.2448581170389291E-3</v>
      </c>
      <c r="L2" s="4">
        <f>'Calculations Etc'!O68</f>
        <v>1.244492708563932E-3</v>
      </c>
      <c r="M2" s="4">
        <f>'Calculations Etc'!P68</f>
        <v>1.2445150475500222E-3</v>
      </c>
      <c r="N2" s="4">
        <f>'Calculations Etc'!Q68</f>
        <v>1.244362963786191E-3</v>
      </c>
      <c r="O2" s="4">
        <f>'Calculations Etc'!R68</f>
        <v>1.2442462668418766E-3</v>
      </c>
      <c r="P2" s="4">
        <f>'Calculations Etc'!S68</f>
        <v>1.2440271982043711E-3</v>
      </c>
      <c r="Q2" s="4">
        <f>'Calculations Etc'!T68</f>
        <v>1.2439416368347936E-3</v>
      </c>
      <c r="R2" s="4">
        <f>'Calculations Etc'!U68</f>
        <v>1.2436776543099449E-3</v>
      </c>
      <c r="S2" s="4">
        <f>'Calculations Etc'!V68</f>
        <v>1.2434044966707469E-3</v>
      </c>
      <c r="T2" s="4">
        <f>'Calculations Etc'!W68</f>
        <v>1.2431106233009778E-3</v>
      </c>
      <c r="U2" s="4">
        <f>'Calculations Etc'!X68</f>
        <v>1.242818522097998E-3</v>
      </c>
      <c r="V2" s="4">
        <f>'Calculations Etc'!Y68</f>
        <v>1.2424141228640053E-3</v>
      </c>
      <c r="W2" s="4">
        <f>'Calculations Etc'!Z68</f>
        <v>1.2420321636298346E-3</v>
      </c>
      <c r="X2" s="4">
        <f>'Calculations Etc'!AA68</f>
        <v>1.241620319407161E-3</v>
      </c>
      <c r="Y2" s="4">
        <f>'Calculations Etc'!AB68</f>
        <v>1.2411620718582406E-3</v>
      </c>
      <c r="Z2" s="4">
        <f>'Calculations Etc'!AC68</f>
        <v>1.240669038843074E-3</v>
      </c>
      <c r="AA2" s="4">
        <f>'Calculations Etc'!AD68</f>
        <v>1.2401023941352315E-3</v>
      </c>
      <c r="AB2" s="4">
        <f>'Calculations Etc'!AE68</f>
        <v>1.2395514545691941E-3</v>
      </c>
      <c r="AC2" s="4">
        <f>'Calculations Etc'!AF68</f>
        <v>1.2389760811407262E-3</v>
      </c>
      <c r="AD2" s="4">
        <f>'Calculations Etc'!AG68</f>
        <v>1.2383487405617649E-3</v>
      </c>
      <c r="AE2" s="4">
        <f>'Calculations Etc'!AH68</f>
        <v>1.2375986561341948E-3</v>
      </c>
      <c r="AF2" s="4">
        <f>'Calculations Etc'!AI68</f>
        <v>1.236792153822779E-3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'Calculations Etc'!E69*10</f>
        <v>3.886892209485075E-3</v>
      </c>
      <c r="C5" s="35">
        <f>'Calculations Etc'!F69*10</f>
        <v>3.8835964956971157E-3</v>
      </c>
      <c r="D5" s="35">
        <f>'Calculations Etc'!G69*10</f>
        <v>3.8810530909215344E-3</v>
      </c>
      <c r="E5" s="35">
        <f>'Calculations Etc'!H69*10</f>
        <v>3.8794345419032004E-3</v>
      </c>
      <c r="F5" s="35">
        <f>'Calculations Etc'!I69*10</f>
        <v>3.8779756085887975E-3</v>
      </c>
      <c r="G5" s="35">
        <f>'Calculations Etc'!J69*10</f>
        <v>3.8768659775611615E-3</v>
      </c>
      <c r="H5" s="35">
        <f>'Calculations Etc'!K69*10</f>
        <v>3.8756372155893974E-3</v>
      </c>
      <c r="I5" s="35">
        <f>'Calculations Etc'!L69*10</f>
        <v>3.8743413448561114E-3</v>
      </c>
      <c r="J5" s="35">
        <f>'Calculations Etc'!M69*10</f>
        <v>3.8741625203614657E-3</v>
      </c>
      <c r="K5" s="35">
        <f>'Calculations Etc'!N69*10</f>
        <v>3.8738694289951123E-3</v>
      </c>
      <c r="L5" s="35">
        <f>'Calculations Etc'!O69*10</f>
        <v>3.8727323156960052E-3</v>
      </c>
      <c r="M5" s="35">
        <f>'Calculations Etc'!P69*10</f>
        <v>3.872801832305252E-3</v>
      </c>
      <c r="N5" s="35">
        <f>'Calculations Etc'!Q69*10</f>
        <v>3.8723285633958972E-3</v>
      </c>
      <c r="O5" s="35">
        <f>'Calculations Etc'!R69*10</f>
        <v>3.8719654146009874E-3</v>
      </c>
      <c r="P5" s="35">
        <f>'Calculations Etc'!S69*10</f>
        <v>3.8712836957078313E-3</v>
      </c>
      <c r="Q5" s="35">
        <f>'Calculations Etc'!T69*10</f>
        <v>3.8710174375942577E-3</v>
      </c>
      <c r="R5" s="35">
        <f>'Calculations Etc'!U69*10</f>
        <v>3.8701959513390751E-3</v>
      </c>
      <c r="S5" s="35">
        <f>'Calculations Etc'!V69*10</f>
        <v>3.8693459130790496E-3</v>
      </c>
      <c r="T5" s="35">
        <f>'Calculations Etc'!W69*10</f>
        <v>3.8684314096127021E-3</v>
      </c>
      <c r="U5" s="35">
        <f>'Calculations Etc'!X69*10</f>
        <v>3.867522420945714E-3</v>
      </c>
      <c r="V5" s="35">
        <f>'Calculations Etc'!Y69*10</f>
        <v>3.8662639724460568E-3</v>
      </c>
      <c r="W5" s="35">
        <f>'Calculations Etc'!Z69*10</f>
        <v>3.8650753548999097E-3</v>
      </c>
      <c r="X5" s="35">
        <f>'Calculations Etc'!AA69*10</f>
        <v>3.8637937383671607E-3</v>
      </c>
      <c r="Y5" s="35">
        <f>'Calculations Etc'!AB69*10</f>
        <v>3.8623677194928995E-3</v>
      </c>
      <c r="Z5" s="35">
        <f>'Calculations Etc'!AC69*10</f>
        <v>3.8608334518532407E-3</v>
      </c>
      <c r="AA5" s="35">
        <f>'Calculations Etc'!AD69*10</f>
        <v>3.8590701122559255E-3</v>
      </c>
      <c r="AB5" s="35">
        <f>'Calculations Etc'!AE69*10</f>
        <v>3.8573556454320505E-3</v>
      </c>
      <c r="AC5" s="35">
        <f>'Calculations Etc'!AF69*10</f>
        <v>3.8555651429608932E-3</v>
      </c>
      <c r="AD5" s="35">
        <f>'Calculations Etc'!AG69*10</f>
        <v>3.8536129241038665E-3</v>
      </c>
      <c r="AE5" s="35">
        <f>'Calculations Etc'!AH69*10</f>
        <v>3.8512787391125356E-3</v>
      </c>
      <c r="AF5" s="35">
        <f>'Calculations Etc'!AI69*10</f>
        <v>3.8487689875144671E-3</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1.1660676628455224E-2</v>
      </c>
      <c r="C8" s="4">
        <f>C$5*'Calculations Etc'!$B$35</f>
        <v>1.1650789487091346E-2</v>
      </c>
      <c r="D8" s="4">
        <f>D$5*'Calculations Etc'!$B$35</f>
        <v>1.1643159272764601E-2</v>
      </c>
      <c r="E8" s="4">
        <f>E$5*'Calculations Etc'!$B$35</f>
        <v>1.16383036257096E-2</v>
      </c>
      <c r="F8" s="4">
        <f>F$5*'Calculations Etc'!$B$35</f>
        <v>1.163392682576639E-2</v>
      </c>
      <c r="G8" s="4">
        <f>G$5*'Calculations Etc'!$B$35</f>
        <v>1.1630597932683484E-2</v>
      </c>
      <c r="H8" s="4">
        <f>H$5*'Calculations Etc'!$B$35</f>
        <v>1.1626911646768191E-2</v>
      </c>
      <c r="I8" s="4">
        <f>I$5*'Calculations Etc'!$B$35</f>
        <v>1.1623024034568333E-2</v>
      </c>
      <c r="J8" s="4">
        <f>J$5*'Calculations Etc'!$B$35</f>
        <v>1.1622487561084395E-2</v>
      </c>
      <c r="K8" s="4">
        <f>K$5*'Calculations Etc'!$B$35</f>
        <v>1.1621608286985335E-2</v>
      </c>
      <c r="L8" s="4">
        <f>L$5*'Calculations Etc'!$B$35</f>
        <v>1.1618196947088015E-2</v>
      </c>
      <c r="M8" s="4">
        <f>M$5*'Calculations Etc'!$B$35</f>
        <v>1.1618405496915755E-2</v>
      </c>
      <c r="N8" s="4">
        <f>N$5*'Calculations Etc'!$B$35</f>
        <v>1.161698569018769E-2</v>
      </c>
      <c r="O8" s="4">
        <f>O$5*'Calculations Etc'!$B$35</f>
        <v>1.1615896243802961E-2</v>
      </c>
      <c r="P8" s="4">
        <f>P$5*'Calculations Etc'!$B$35</f>
        <v>1.1613851087123492E-2</v>
      </c>
      <c r="Q8" s="4">
        <f>Q$5*'Calculations Etc'!$B$35</f>
        <v>1.1613052312782772E-2</v>
      </c>
      <c r="R8" s="4">
        <f>R$5*'Calculations Etc'!$B$35</f>
        <v>1.1610587854017224E-2</v>
      </c>
      <c r="S8" s="4">
        <f>S$5*'Calculations Etc'!$B$35</f>
        <v>1.1608037739237147E-2</v>
      </c>
      <c r="T8" s="4">
        <f>T$5*'Calculations Etc'!$B$35</f>
        <v>1.1605294228838105E-2</v>
      </c>
      <c r="U8" s="4">
        <f>U$5*'Calculations Etc'!$B$35</f>
        <v>1.160256726283714E-2</v>
      </c>
      <c r="V8" s="4">
        <f>V$5*'Calculations Etc'!$B$35</f>
        <v>1.159879191733817E-2</v>
      </c>
      <c r="W8" s="4">
        <f>W$5*'Calculations Etc'!$B$35</f>
        <v>1.1595226064699728E-2</v>
      </c>
      <c r="X8" s="4">
        <f>X$5*'Calculations Etc'!$B$35</f>
        <v>1.1591381215101481E-2</v>
      </c>
      <c r="Y8" s="4">
        <f>Y$5*'Calculations Etc'!$B$35</f>
        <v>1.1587103158478697E-2</v>
      </c>
      <c r="Z8" s="4">
        <f>Z$5*'Calculations Etc'!$B$35</f>
        <v>1.1582500355559721E-2</v>
      </c>
      <c r="AA8" s="4">
        <f>AA$5*'Calculations Etc'!$B$35</f>
        <v>1.1577210336767774E-2</v>
      </c>
      <c r="AB8" s="4">
        <f>AB$5*'Calculations Etc'!$B$35</f>
        <v>1.1572066936296151E-2</v>
      </c>
      <c r="AC8" s="4">
        <f>AC$5*'Calculations Etc'!$B$35</f>
        <v>1.1566695428882678E-2</v>
      </c>
      <c r="AD8" s="4">
        <f>AD$5*'Calculations Etc'!$B$35</f>
        <v>1.1560838772311599E-2</v>
      </c>
      <c r="AE8" s="4">
        <f>AE$5*'Calculations Etc'!$B$35</f>
        <v>1.1553836217337606E-2</v>
      </c>
      <c r="AF8" s="4">
        <f>AF$5*'Calculations Etc'!$B$35</f>
        <v>1.15463069625434E-2</v>
      </c>
      <c r="AG8" s="4"/>
      <c r="AH8" s="4"/>
      <c r="AI8" s="4"/>
    </row>
    <row r="10" spans="1:35">
      <c r="B10" s="58"/>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12"/>
  <sheetViews>
    <sheetView workbookViewId="0">
      <selection activeCell="B5" sqref="B5"/>
    </sheetView>
  </sheetViews>
  <sheetFormatPr defaultRowHeight="14.5"/>
  <cols>
    <col min="1" max="1" width="31.08984375" customWidth="1"/>
    <col min="3" max="3" width="10.7265625" bestFit="1" customWidth="1"/>
    <col min="6" max="6" width="10.7265625" bestFit="1"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J9"/>
  <sheetViews>
    <sheetView workbookViewId="0">
      <selection activeCell="B4" sqref="B4"/>
    </sheetView>
  </sheetViews>
  <sheetFormatPr defaultRowHeight="14.5"/>
  <cols>
    <col min="1" max="1" width="31.08984375" customWidth="1"/>
    <col min="2" max="2" width="11.6328125" bestFit="1"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 t="array" ref="B2:B8">TRANSPOSE('SYFAFE-passenger'!B6:H6)</f>
        <v>3.2293482418666772E-5</v>
      </c>
      <c r="C2" s="4">
        <f>B2</f>
        <v>3.2293482418666772E-5</v>
      </c>
      <c r="D2" s="4">
        <f t="shared" ref="D2:AF8" si="0">C2</f>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113</v>
      </c>
      <c r="B3">
        <v>0</v>
      </c>
      <c r="C3" s="4">
        <f t="shared" ref="C3:R8"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c r="AF3" s="4">
        <f t="shared" si="0"/>
        <v>0</v>
      </c>
    </row>
    <row r="4" spans="1:36">
      <c r="A4" t="s">
        <v>114</v>
      </c>
      <c r="B4" s="4">
        <v>1.0049397002369564E-5</v>
      </c>
      <c r="C4" s="4">
        <f t="shared" si="1"/>
        <v>1.0049397002369564E-5</v>
      </c>
      <c r="D4" s="4">
        <f t="shared" si="0"/>
        <v>1.0049397002369564E-5</v>
      </c>
      <c r="E4" s="4">
        <f t="shared" si="0"/>
        <v>1.0049397002369564E-5</v>
      </c>
      <c r="F4" s="4">
        <f t="shared" si="0"/>
        <v>1.0049397002369564E-5</v>
      </c>
      <c r="G4" s="4">
        <f t="shared" si="0"/>
        <v>1.0049397002369564E-5</v>
      </c>
      <c r="H4" s="4">
        <f t="shared" si="0"/>
        <v>1.0049397002369564E-5</v>
      </c>
      <c r="I4" s="4">
        <f t="shared" si="0"/>
        <v>1.0049397002369564E-5</v>
      </c>
      <c r="J4" s="4">
        <f t="shared" si="0"/>
        <v>1.0049397002369564E-5</v>
      </c>
      <c r="K4" s="4">
        <f t="shared" si="0"/>
        <v>1.0049397002369564E-5</v>
      </c>
      <c r="L4" s="4">
        <f t="shared" si="0"/>
        <v>1.0049397002369564E-5</v>
      </c>
      <c r="M4" s="4">
        <f t="shared" si="0"/>
        <v>1.0049397002369564E-5</v>
      </c>
      <c r="N4" s="4">
        <f t="shared" si="0"/>
        <v>1.0049397002369564E-5</v>
      </c>
      <c r="O4" s="4">
        <f t="shared" si="0"/>
        <v>1.0049397002369564E-5</v>
      </c>
      <c r="P4" s="4">
        <f t="shared" si="0"/>
        <v>1.0049397002369564E-5</v>
      </c>
      <c r="Q4" s="4">
        <f t="shared" si="0"/>
        <v>1.0049397002369564E-5</v>
      </c>
      <c r="R4" s="4">
        <f t="shared" si="0"/>
        <v>1.0049397002369564E-5</v>
      </c>
      <c r="S4" s="4">
        <f t="shared" si="0"/>
        <v>1.0049397002369564E-5</v>
      </c>
      <c r="T4" s="4">
        <f t="shared" si="0"/>
        <v>1.0049397002369564E-5</v>
      </c>
      <c r="U4" s="4">
        <f t="shared" si="0"/>
        <v>1.0049397002369564E-5</v>
      </c>
      <c r="V4" s="4">
        <f t="shared" si="0"/>
        <v>1.0049397002369564E-5</v>
      </c>
      <c r="W4" s="4">
        <f t="shared" si="0"/>
        <v>1.0049397002369564E-5</v>
      </c>
      <c r="X4" s="4">
        <f t="shared" si="0"/>
        <v>1.0049397002369564E-5</v>
      </c>
      <c r="Y4" s="4">
        <f t="shared" si="0"/>
        <v>1.0049397002369564E-5</v>
      </c>
      <c r="Z4" s="4">
        <f t="shared" si="0"/>
        <v>1.0049397002369564E-5</v>
      </c>
      <c r="AA4" s="4">
        <f t="shared" si="0"/>
        <v>1.0049397002369564E-5</v>
      </c>
      <c r="AB4" s="4">
        <f t="shared" si="0"/>
        <v>1.0049397002369564E-5</v>
      </c>
      <c r="AC4" s="4">
        <f t="shared" si="0"/>
        <v>1.0049397002369564E-5</v>
      </c>
      <c r="AD4" s="4">
        <f t="shared" si="0"/>
        <v>1.0049397002369564E-5</v>
      </c>
      <c r="AE4" s="4">
        <f t="shared" si="0"/>
        <v>1.0049397002369564E-5</v>
      </c>
      <c r="AF4" s="4">
        <f t="shared" si="0"/>
        <v>1.0049397002369564E-5</v>
      </c>
    </row>
    <row r="5" spans="1:36">
      <c r="A5" t="s">
        <v>115</v>
      </c>
      <c r="B5" s="4">
        <v>1.0049397002369565E-5</v>
      </c>
      <c r="C5" s="4">
        <f t="shared" si="1"/>
        <v>1.0049397002369565E-5</v>
      </c>
      <c r="D5" s="4">
        <f t="shared" si="0"/>
        <v>1.0049397002369565E-5</v>
      </c>
      <c r="E5" s="4">
        <f t="shared" si="0"/>
        <v>1.0049397002369565E-5</v>
      </c>
      <c r="F5" s="4">
        <f t="shared" si="0"/>
        <v>1.0049397002369565E-5</v>
      </c>
      <c r="G5" s="4">
        <f t="shared" si="0"/>
        <v>1.0049397002369565E-5</v>
      </c>
      <c r="H5" s="4">
        <f t="shared" si="0"/>
        <v>1.0049397002369565E-5</v>
      </c>
      <c r="I5" s="4">
        <f t="shared" si="0"/>
        <v>1.0049397002369565E-5</v>
      </c>
      <c r="J5" s="4">
        <f t="shared" si="0"/>
        <v>1.0049397002369565E-5</v>
      </c>
      <c r="K5" s="4">
        <f t="shared" si="0"/>
        <v>1.0049397002369565E-5</v>
      </c>
      <c r="L5" s="4">
        <f t="shared" si="0"/>
        <v>1.0049397002369565E-5</v>
      </c>
      <c r="M5" s="4">
        <f t="shared" si="0"/>
        <v>1.0049397002369565E-5</v>
      </c>
      <c r="N5" s="4">
        <f t="shared" si="0"/>
        <v>1.0049397002369565E-5</v>
      </c>
      <c r="O5" s="4">
        <f t="shared" si="0"/>
        <v>1.0049397002369565E-5</v>
      </c>
      <c r="P5" s="4">
        <f t="shared" si="0"/>
        <v>1.0049397002369565E-5</v>
      </c>
      <c r="Q5" s="4">
        <f t="shared" si="0"/>
        <v>1.0049397002369565E-5</v>
      </c>
      <c r="R5" s="4">
        <f t="shared" si="0"/>
        <v>1.0049397002369565E-5</v>
      </c>
      <c r="S5" s="4">
        <f t="shared" si="0"/>
        <v>1.0049397002369565E-5</v>
      </c>
      <c r="T5" s="4">
        <f t="shared" si="0"/>
        <v>1.0049397002369565E-5</v>
      </c>
      <c r="U5" s="4">
        <f t="shared" si="0"/>
        <v>1.0049397002369565E-5</v>
      </c>
      <c r="V5" s="4">
        <f t="shared" si="0"/>
        <v>1.0049397002369565E-5</v>
      </c>
      <c r="W5" s="4">
        <f t="shared" si="0"/>
        <v>1.0049397002369565E-5</v>
      </c>
      <c r="X5" s="4">
        <f t="shared" si="0"/>
        <v>1.0049397002369565E-5</v>
      </c>
      <c r="Y5" s="4">
        <f t="shared" si="0"/>
        <v>1.0049397002369565E-5</v>
      </c>
      <c r="Z5" s="4">
        <f t="shared" si="0"/>
        <v>1.0049397002369565E-5</v>
      </c>
      <c r="AA5" s="4">
        <f t="shared" si="0"/>
        <v>1.0049397002369565E-5</v>
      </c>
      <c r="AB5" s="4">
        <f t="shared" si="0"/>
        <v>1.0049397002369565E-5</v>
      </c>
      <c r="AC5" s="4">
        <f t="shared" si="0"/>
        <v>1.0049397002369565E-5</v>
      </c>
      <c r="AD5" s="4">
        <f t="shared" si="0"/>
        <v>1.0049397002369565E-5</v>
      </c>
      <c r="AE5" s="4">
        <f t="shared" si="0"/>
        <v>1.0049397002369565E-5</v>
      </c>
      <c r="AF5" s="4">
        <f t="shared" si="0"/>
        <v>1.0049397002369565E-5</v>
      </c>
      <c r="AG5" s="4"/>
      <c r="AH5" s="4"/>
      <c r="AI5" s="4"/>
    </row>
    <row r="6" spans="1:36">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c r="AF6" s="4">
        <f t="shared" si="0"/>
        <v>0</v>
      </c>
    </row>
    <row r="7" spans="1:36">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c r="AF7" s="4">
        <f t="shared" si="0"/>
        <v>0</v>
      </c>
    </row>
    <row r="8" spans="1:36">
      <c r="A8" t="s">
        <v>854</v>
      </c>
      <c r="B8" s="4">
        <v>3.0148191007108693E-5</v>
      </c>
      <c r="C8" s="4">
        <f t="shared" si="1"/>
        <v>3.0148191007108693E-5</v>
      </c>
      <c r="D8" s="4">
        <f t="shared" si="0"/>
        <v>3.0148191007108693E-5</v>
      </c>
      <c r="E8" s="4">
        <f t="shared" si="0"/>
        <v>3.0148191007108693E-5</v>
      </c>
      <c r="F8" s="4">
        <f t="shared" si="0"/>
        <v>3.0148191007108693E-5</v>
      </c>
      <c r="G8" s="4">
        <f t="shared" si="0"/>
        <v>3.0148191007108693E-5</v>
      </c>
      <c r="H8" s="4">
        <f t="shared" si="0"/>
        <v>3.0148191007108693E-5</v>
      </c>
      <c r="I8" s="4">
        <f t="shared" si="0"/>
        <v>3.0148191007108693E-5</v>
      </c>
      <c r="J8" s="4">
        <f t="shared" si="0"/>
        <v>3.0148191007108693E-5</v>
      </c>
      <c r="K8" s="4">
        <f t="shared" si="0"/>
        <v>3.0148191007108693E-5</v>
      </c>
      <c r="L8" s="4">
        <f t="shared" si="0"/>
        <v>3.0148191007108693E-5</v>
      </c>
      <c r="M8" s="4">
        <f t="shared" si="0"/>
        <v>3.0148191007108693E-5</v>
      </c>
      <c r="N8" s="4">
        <f t="shared" si="0"/>
        <v>3.0148191007108693E-5</v>
      </c>
      <c r="O8" s="4">
        <f t="shared" si="0"/>
        <v>3.0148191007108693E-5</v>
      </c>
      <c r="P8" s="4">
        <f t="shared" si="0"/>
        <v>3.0148191007108693E-5</v>
      </c>
      <c r="Q8" s="4">
        <f t="shared" si="0"/>
        <v>3.0148191007108693E-5</v>
      </c>
      <c r="R8" s="4">
        <f t="shared" si="0"/>
        <v>3.0148191007108693E-5</v>
      </c>
      <c r="S8" s="4">
        <f t="shared" si="0"/>
        <v>3.0148191007108693E-5</v>
      </c>
      <c r="T8" s="4">
        <f t="shared" si="0"/>
        <v>3.0148191007108693E-5</v>
      </c>
      <c r="U8" s="4">
        <f t="shared" si="0"/>
        <v>3.0148191007108693E-5</v>
      </c>
      <c r="V8" s="4">
        <f t="shared" si="0"/>
        <v>3.0148191007108693E-5</v>
      </c>
      <c r="W8" s="4">
        <f t="shared" si="0"/>
        <v>3.0148191007108693E-5</v>
      </c>
      <c r="X8" s="4">
        <f t="shared" si="0"/>
        <v>3.0148191007108693E-5</v>
      </c>
      <c r="Y8" s="4">
        <f t="shared" si="0"/>
        <v>3.0148191007108693E-5</v>
      </c>
      <c r="Z8" s="4">
        <f t="shared" si="0"/>
        <v>3.0148191007108693E-5</v>
      </c>
      <c r="AA8" s="4">
        <f t="shared" si="0"/>
        <v>3.0148191007108693E-5</v>
      </c>
      <c r="AB8" s="4">
        <f t="shared" si="0"/>
        <v>3.0148191007108693E-5</v>
      </c>
      <c r="AC8" s="4">
        <f t="shared" si="0"/>
        <v>3.0148191007108693E-5</v>
      </c>
      <c r="AD8" s="4">
        <f t="shared" si="0"/>
        <v>3.0148191007108693E-5</v>
      </c>
      <c r="AE8" s="4">
        <f t="shared" si="0"/>
        <v>3.0148191007108693E-5</v>
      </c>
      <c r="AF8" s="4">
        <f t="shared" si="0"/>
        <v>3.0148191007108693E-5</v>
      </c>
      <c r="AG8" s="4"/>
      <c r="AH8" s="4"/>
      <c r="AI8" s="4"/>
    </row>
    <row r="9" spans="1:36">
      <c r="AJ9"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K9"/>
  <sheetViews>
    <sheetView workbookViewId="0">
      <selection activeCell="B5" sqref="B5"/>
    </sheetView>
  </sheetViews>
  <sheetFormatPr defaultRowHeight="14.5"/>
  <cols>
    <col min="1" max="1" width="31.08984375" customWidth="1"/>
  </cols>
  <sheetData>
    <row r="1" spans="1:37">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112</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115</v>
      </c>
      <c r="B5" s="4">
        <f>INDEX('AEO 7'!$C$52:$AJ$52,MATCH(B$1,'AEO 7'!$C$1:$AJ$1,0))/10^3*'Calculations Etc'!$B$8</f>
        <v>4.9715257056265547E-3</v>
      </c>
      <c r="C5" s="4">
        <f>B5</f>
        <v>4.9715257056265547E-3</v>
      </c>
      <c r="D5" s="4">
        <f t="shared" ref="D5:AF5" si="0">C5</f>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854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J15"/>
  <sheetViews>
    <sheetView workbookViewId="0">
      <selection activeCell="B4" sqref="B4"/>
    </sheetView>
  </sheetViews>
  <sheetFormatPr defaultRowHeight="14.5"/>
  <cols>
    <col min="1" max="1" width="31.08984375"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113</v>
      </c>
      <c r="B3" s="4">
        <f>B$4</f>
        <v>1.110710625237613E-3</v>
      </c>
      <c r="C3" s="4">
        <f t="shared" ref="C3:AF3" si="0">C$4</f>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114</v>
      </c>
      <c r="B4" s="35">
        <f>'SYFAFE-passenger'!D7</f>
        <v>1.110710625237613E-3</v>
      </c>
      <c r="C4" s="35">
        <f>$B$4</f>
        <v>1.110710625237613E-3</v>
      </c>
      <c r="D4" s="35">
        <f t="shared" ref="D4:AF4" si="1">$B$4</f>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115</v>
      </c>
      <c r="B5" s="4">
        <f>B$4</f>
        <v>1.110710625237613E-3</v>
      </c>
      <c r="C5" s="4">
        <f t="shared" ref="C5:AF5" si="2">C$4</f>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116</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853</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854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J8"/>
  <sheetViews>
    <sheetView workbookViewId="0"/>
  </sheetViews>
  <sheetFormatPr defaultRowHeight="14.5"/>
  <cols>
    <col min="1" max="1" width="31.08984375" customWidth="1"/>
  </cols>
  <sheetData>
    <row r="1" spans="1:36">
      <c r="A1" s="1" t="s">
        <v>856</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K45"/>
  <sheetViews>
    <sheetView topLeftCell="I1" workbookViewId="0">
      <selection activeCell="P18" sqref="P18"/>
    </sheetView>
  </sheetViews>
  <sheetFormatPr defaultRowHeight="14.5"/>
  <cols>
    <col min="3" max="3" width="24.6328125" customWidth="1"/>
  </cols>
  <sheetData>
    <row r="1" spans="1:37">
      <c r="A1" s="1" t="s">
        <v>861</v>
      </c>
      <c r="B1" s="1" t="s">
        <v>862</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863</v>
      </c>
      <c r="B2" t="s">
        <v>864</v>
      </c>
      <c r="C2" t="s">
        <v>114</v>
      </c>
      <c r="D2" s="4">
        <f>'BNVFE-LDVs-psgr'!B4</f>
        <v>3.7068404566156505E-4</v>
      </c>
      <c r="E2" s="4">
        <f>'BNVFE-LDVs-psgr'!C4</f>
        <v>3.8286968063361244E-4</v>
      </c>
      <c r="F2" s="4">
        <f>'BNVFE-LDVs-psgr'!D4</f>
        <v>3.8999540362380768E-4</v>
      </c>
      <c r="G2" s="4">
        <f>'BNVFE-LDVs-psgr'!E4</f>
        <v>3.9439145706872869E-4</v>
      </c>
      <c r="H2" s="4">
        <f>'BNVFE-LDVs-psgr'!F4</f>
        <v>3.9758791642567675E-4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863</v>
      </c>
      <c r="B3" t="s">
        <v>865</v>
      </c>
      <c r="C3" t="s">
        <v>114</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475</v>
      </c>
      <c r="B4" t="s">
        <v>864</v>
      </c>
      <c r="C4" t="s">
        <v>115</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475</v>
      </c>
      <c r="B5" t="s">
        <v>865</v>
      </c>
      <c r="C5" t="s">
        <v>115</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472</v>
      </c>
      <c r="B6" t="s">
        <v>864</v>
      </c>
      <c r="C6" t="s">
        <v>115</v>
      </c>
      <c r="D6" s="4">
        <f>'BNVFE-aircraft-psgr'!B5</f>
        <v>4.6616941125958422E-4</v>
      </c>
      <c r="E6" s="4">
        <f>'BNVFE-aircraft-psgr'!C5</f>
        <v>4.7399299019600609E-4</v>
      </c>
      <c r="F6" s="4">
        <f>'BNVFE-aircraft-psgr'!D5</f>
        <v>4.7625318028902199E-4</v>
      </c>
      <c r="G6" s="4">
        <f>'BNVFE-aircraft-psgr'!E5</f>
        <v>4.7962763511951036E-4</v>
      </c>
      <c r="H6" s="4">
        <f>'BNVFE-aircraft-psgr'!F5</f>
        <v>4.8472425299335046E-4</v>
      </c>
      <c r="I6" s="4">
        <f>'BNVFE-aircraft-psgr'!G5</f>
        <v>4.8856488811023198E-4</v>
      </c>
      <c r="J6" s="4">
        <f>'BNVFE-aircraft-psgr'!H5</f>
        <v>4.9188761878420821E-4</v>
      </c>
      <c r="K6" s="4">
        <f>'BNVFE-aircraft-psgr'!I5</f>
        <v>4.9507465640706257E-4</v>
      </c>
      <c r="L6" s="4">
        <f>'BNVFE-aircraft-psgr'!J5</f>
        <v>4.9827927013588579E-4</v>
      </c>
      <c r="M6" s="4">
        <f>'BNVFE-aircraft-psgr'!K5</f>
        <v>5.0141938782536798E-4</v>
      </c>
      <c r="N6" s="4">
        <f>'BNVFE-aircraft-psgr'!L5</f>
        <v>5.0473115148176617E-4</v>
      </c>
      <c r="O6" s="4">
        <f>'BNVFE-aircraft-psgr'!M5</f>
        <v>5.0816899974300608E-4</v>
      </c>
      <c r="P6" s="4">
        <f>'BNVFE-aircraft-psgr'!N5</f>
        <v>5.1181801067543291E-4</v>
      </c>
      <c r="Q6" s="4">
        <f>'BNVFE-aircraft-psgr'!O5</f>
        <v>5.1566570773780435E-4</v>
      </c>
      <c r="R6" s="4">
        <f>'BNVFE-aircraft-psgr'!P5</f>
        <v>5.1961420160206843E-4</v>
      </c>
      <c r="S6" s="4">
        <f>'BNVFE-aircraft-psgr'!Q5</f>
        <v>5.2372057195217224E-4</v>
      </c>
      <c r="T6" s="4">
        <f>'BNVFE-aircraft-psgr'!R5</f>
        <v>5.2782108797571725E-4</v>
      </c>
      <c r="U6" s="4">
        <f>'BNVFE-aircraft-psgr'!S5</f>
        <v>5.3191930033488766E-4</v>
      </c>
      <c r="V6" s="4">
        <f>'BNVFE-aircraft-psgr'!T5</f>
        <v>5.3596468592895642E-4</v>
      </c>
      <c r="W6" s="4">
        <f>'BNVFE-aircraft-psgr'!U5</f>
        <v>5.3988919149325191E-4</v>
      </c>
      <c r="X6" s="4">
        <f>'BNVFE-aircraft-psgr'!V5</f>
        <v>5.4375065803669985E-4</v>
      </c>
      <c r="Y6" s="4">
        <f>'BNVFE-aircraft-psgr'!W5</f>
        <v>5.4758253135318239E-4</v>
      </c>
      <c r="Z6" s="4">
        <f>'BNVFE-aircraft-psgr'!X5</f>
        <v>5.5141485752676429E-4</v>
      </c>
      <c r="AA6" s="4">
        <f>'BNVFE-aircraft-psgr'!Y5</f>
        <v>5.5528893843752823E-4</v>
      </c>
      <c r="AB6" s="4">
        <f>'BNVFE-aircraft-psgr'!Z5</f>
        <v>5.5903874617184749E-4</v>
      </c>
      <c r="AC6" s="4">
        <f>'BNVFE-aircraft-psgr'!AA5</f>
        <v>5.6267984194975651E-4</v>
      </c>
      <c r="AD6" s="4">
        <f>'BNVFE-aircraft-psgr'!AB5</f>
        <v>5.6625804309603806E-4</v>
      </c>
      <c r="AE6" s="4">
        <f>'BNVFE-aircraft-psgr'!AC5</f>
        <v>5.6976670114342325E-4</v>
      </c>
      <c r="AF6" s="4">
        <f>'BNVFE-aircraft-psgr'!AD5</f>
        <v>5.7342146795521316E-4</v>
      </c>
      <c r="AG6" s="4">
        <f>'BNVFE-aircraft-psgr'!AE5</f>
        <v>5.770408790975283E-4</v>
      </c>
      <c r="AH6" s="4">
        <f>'BNVFE-aircraft-psgr'!AF5</f>
        <v>5.8064146713606509E-4</v>
      </c>
      <c r="AI6" s="4"/>
      <c r="AJ6" s="4"/>
      <c r="AK6" s="4"/>
    </row>
    <row r="7" spans="1:37">
      <c r="A7" t="s">
        <v>472</v>
      </c>
      <c r="B7" t="s">
        <v>865</v>
      </c>
      <c r="C7" t="s">
        <v>115</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866</v>
      </c>
      <c r="B8" t="s">
        <v>864</v>
      </c>
      <c r="C8" t="s">
        <v>115</v>
      </c>
      <c r="D8" s="4">
        <f>'BNVFE-rail-psgr'!B5</f>
        <v>3.886892209485075E-3</v>
      </c>
      <c r="E8" s="4">
        <f>'BNVFE-rail-psgr'!C5</f>
        <v>3.8835964956971157E-3</v>
      </c>
      <c r="F8" s="4">
        <f>'BNVFE-rail-psgr'!D5</f>
        <v>3.8810530909215344E-3</v>
      </c>
      <c r="G8" s="4">
        <f>'BNVFE-rail-psgr'!E5</f>
        <v>3.8794345419032004E-3</v>
      </c>
      <c r="H8" s="4">
        <f>'BNVFE-rail-psgr'!F5</f>
        <v>3.8779756085887975E-3</v>
      </c>
      <c r="I8" s="4">
        <f>'BNVFE-rail-psgr'!G5</f>
        <v>3.8768659775611615E-3</v>
      </c>
      <c r="J8" s="4">
        <f>'BNVFE-rail-psgr'!H5</f>
        <v>3.8756372155893974E-3</v>
      </c>
      <c r="K8" s="4">
        <f>'BNVFE-rail-psgr'!I5</f>
        <v>3.8743413448561114E-3</v>
      </c>
      <c r="L8" s="4">
        <f>'BNVFE-rail-psgr'!J5</f>
        <v>3.8741625203614657E-3</v>
      </c>
      <c r="M8" s="4">
        <f>'BNVFE-rail-psgr'!K5</f>
        <v>3.8738694289951123E-3</v>
      </c>
      <c r="N8" s="4">
        <f>'BNVFE-rail-psgr'!L5</f>
        <v>3.8727323156960052E-3</v>
      </c>
      <c r="O8" s="4">
        <f>'BNVFE-rail-psgr'!M5</f>
        <v>3.872801832305252E-3</v>
      </c>
      <c r="P8" s="4">
        <f>'BNVFE-rail-psgr'!N5</f>
        <v>3.8723285633958972E-3</v>
      </c>
      <c r="Q8" s="4">
        <f>'BNVFE-rail-psgr'!O5</f>
        <v>3.8719654146009874E-3</v>
      </c>
      <c r="R8" s="4">
        <f>'BNVFE-rail-psgr'!P5</f>
        <v>3.8712836957078313E-3</v>
      </c>
      <c r="S8" s="4">
        <f>'BNVFE-rail-psgr'!Q5</f>
        <v>3.8710174375942577E-3</v>
      </c>
      <c r="T8" s="4">
        <f>'BNVFE-rail-psgr'!R5</f>
        <v>3.8701959513390751E-3</v>
      </c>
      <c r="U8" s="4">
        <f>'BNVFE-rail-psgr'!S5</f>
        <v>3.8693459130790496E-3</v>
      </c>
      <c r="V8" s="4">
        <f>'BNVFE-rail-psgr'!T5</f>
        <v>3.8684314096127021E-3</v>
      </c>
      <c r="W8" s="4">
        <f>'BNVFE-rail-psgr'!U5</f>
        <v>3.867522420945714E-3</v>
      </c>
      <c r="X8" s="4">
        <f>'BNVFE-rail-psgr'!V5</f>
        <v>3.8662639724460568E-3</v>
      </c>
      <c r="Y8" s="4">
        <f>'BNVFE-rail-psgr'!W5</f>
        <v>3.8650753548999097E-3</v>
      </c>
      <c r="Z8" s="4">
        <f>'BNVFE-rail-psgr'!X5</f>
        <v>3.8637937383671607E-3</v>
      </c>
      <c r="AA8" s="4">
        <f>'BNVFE-rail-psgr'!Y5</f>
        <v>3.8623677194928995E-3</v>
      </c>
      <c r="AB8" s="4">
        <f>'BNVFE-rail-psgr'!Z5</f>
        <v>3.8608334518532407E-3</v>
      </c>
      <c r="AC8" s="4">
        <f>'BNVFE-rail-psgr'!AA5</f>
        <v>3.8590701122559255E-3</v>
      </c>
      <c r="AD8" s="4">
        <f>'BNVFE-rail-psgr'!AB5</f>
        <v>3.8573556454320505E-3</v>
      </c>
      <c r="AE8" s="4">
        <f>'BNVFE-rail-psgr'!AC5</f>
        <v>3.8555651429608932E-3</v>
      </c>
      <c r="AF8" s="4">
        <f>'BNVFE-rail-psgr'!AD5</f>
        <v>3.8536129241038665E-3</v>
      </c>
      <c r="AG8" s="4">
        <f>'BNVFE-rail-psgr'!AE5</f>
        <v>3.8512787391125356E-3</v>
      </c>
      <c r="AH8" s="4">
        <f>'BNVFE-rail-psgr'!AF5</f>
        <v>3.8487689875144671E-3</v>
      </c>
      <c r="AI8" s="4"/>
      <c r="AJ8" s="4"/>
      <c r="AK8" s="4"/>
    </row>
    <row r="9" spans="1:37">
      <c r="A9" t="s">
        <v>866</v>
      </c>
      <c r="B9" t="s">
        <v>864</v>
      </c>
      <c r="C9" t="s">
        <v>112</v>
      </c>
      <c r="D9" s="4">
        <f>'BNVFE-rail-psgr'!B2</f>
        <v>1.2490429545241593E-3</v>
      </c>
      <c r="E9" s="4">
        <f>'BNVFE-rail-psgr'!C2</f>
        <v>1.2479838852561889E-3</v>
      </c>
      <c r="F9" s="4">
        <f>'BNVFE-rail-psgr'!D2</f>
        <v>1.2471665685815224E-3</v>
      </c>
      <c r="G9" s="4">
        <f>'BNVFE-rail-psgr'!E2</f>
        <v>1.2466464519590526E-3</v>
      </c>
      <c r="H9" s="4">
        <f>'BNVFE-rail-psgr'!F2</f>
        <v>1.2461776274382624E-3</v>
      </c>
      <c r="I9" s="4">
        <f>'BNVFE-rail-psgr'!G2</f>
        <v>1.2458210503215087E-3</v>
      </c>
      <c r="J9" s="4">
        <f>'BNVFE-rail-psgr'!H2</f>
        <v>1.2454261907779705E-3</v>
      </c>
      <c r="K9" s="4">
        <f>'BNVFE-rail-psgr'!I2</f>
        <v>1.2450097660041024E-3</v>
      </c>
      <c r="L9" s="4">
        <f>'BNVFE-rail-psgr'!J2</f>
        <v>1.2449523012062393E-3</v>
      </c>
      <c r="M9" s="4">
        <f>'BNVFE-rail-psgr'!K2</f>
        <v>1.2448581170389291E-3</v>
      </c>
      <c r="N9" s="4">
        <f>'BNVFE-rail-psgr'!L2</f>
        <v>1.244492708563932E-3</v>
      </c>
      <c r="O9" s="4">
        <f>'BNVFE-rail-psgr'!M2</f>
        <v>1.2445150475500222E-3</v>
      </c>
      <c r="P9" s="4">
        <f>'BNVFE-rail-psgr'!N2</f>
        <v>1.244362963786191E-3</v>
      </c>
      <c r="Q9" s="4">
        <f>'BNVFE-rail-psgr'!O2</f>
        <v>1.2442462668418766E-3</v>
      </c>
      <c r="R9" s="4">
        <f>'BNVFE-rail-psgr'!P2</f>
        <v>1.2440271982043711E-3</v>
      </c>
      <c r="S9" s="4">
        <f>'BNVFE-rail-psgr'!Q2</f>
        <v>1.2439416368347936E-3</v>
      </c>
      <c r="T9" s="4">
        <f>'BNVFE-rail-psgr'!R2</f>
        <v>1.2436776543099449E-3</v>
      </c>
      <c r="U9" s="4">
        <f>'BNVFE-rail-psgr'!S2</f>
        <v>1.2434044966707469E-3</v>
      </c>
      <c r="V9" s="4">
        <f>'BNVFE-rail-psgr'!T2</f>
        <v>1.2431106233009778E-3</v>
      </c>
      <c r="W9" s="4">
        <f>'BNVFE-rail-psgr'!U2</f>
        <v>1.242818522097998E-3</v>
      </c>
      <c r="X9" s="4">
        <f>'BNVFE-rail-psgr'!V2</f>
        <v>1.2424141228640053E-3</v>
      </c>
      <c r="Y9" s="4">
        <f>'BNVFE-rail-psgr'!W2</f>
        <v>1.2420321636298346E-3</v>
      </c>
      <c r="Z9" s="4">
        <f>'BNVFE-rail-psgr'!X2</f>
        <v>1.241620319407161E-3</v>
      </c>
      <c r="AA9" s="4">
        <f>'BNVFE-rail-psgr'!Y2</f>
        <v>1.2411620718582406E-3</v>
      </c>
      <c r="AB9" s="4">
        <f>'BNVFE-rail-psgr'!Z2</f>
        <v>1.240669038843074E-3</v>
      </c>
      <c r="AC9" s="4">
        <f>'BNVFE-rail-psgr'!AA2</f>
        <v>1.2401023941352315E-3</v>
      </c>
      <c r="AD9" s="4">
        <f>'BNVFE-rail-psgr'!AB2</f>
        <v>1.2395514545691941E-3</v>
      </c>
      <c r="AE9" s="4">
        <f>'BNVFE-rail-psgr'!AC2</f>
        <v>1.2389760811407262E-3</v>
      </c>
      <c r="AF9" s="4">
        <f>'BNVFE-rail-psgr'!AD2</f>
        <v>1.2383487405617649E-3</v>
      </c>
      <c r="AG9" s="4">
        <f>'BNVFE-rail-psgr'!AE2</f>
        <v>1.2375986561341948E-3</v>
      </c>
      <c r="AH9" s="4">
        <f>'BNVFE-rail-psgr'!AF2</f>
        <v>1.236792153822779E-3</v>
      </c>
      <c r="AI9" s="4"/>
      <c r="AJ9" s="4"/>
      <c r="AK9" s="4"/>
    </row>
    <row r="10" spans="1:37">
      <c r="A10" t="s">
        <v>866</v>
      </c>
      <c r="B10" t="s">
        <v>865</v>
      </c>
      <c r="C10" t="s">
        <v>115</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867</v>
      </c>
      <c r="B11" t="s">
        <v>864</v>
      </c>
      <c r="C11" t="s">
        <v>115</v>
      </c>
      <c r="D11" s="4">
        <f>'BNVFE-ships-psgr'!B5</f>
        <v>1.0049397002369565E-5</v>
      </c>
      <c r="E11" s="4">
        <f>'BNVFE-ships-psgr'!C5</f>
        <v>1.0049397002369565E-5</v>
      </c>
      <c r="F11" s="4">
        <f>'BNVFE-ships-psgr'!D5</f>
        <v>1.0049397002369565E-5</v>
      </c>
      <c r="G11" s="4">
        <f>'BNVFE-ships-psgr'!E5</f>
        <v>1.0049397002369565E-5</v>
      </c>
      <c r="H11" s="4">
        <f>'BNVFE-ships-psgr'!F5</f>
        <v>1.0049397002369565E-5</v>
      </c>
      <c r="I11" s="4">
        <f>'BNVFE-ships-psgr'!G5</f>
        <v>1.0049397002369565E-5</v>
      </c>
      <c r="J11" s="4">
        <f>'BNVFE-ships-psgr'!H5</f>
        <v>1.0049397002369565E-5</v>
      </c>
      <c r="K11" s="4">
        <f>'BNVFE-ships-psgr'!I5</f>
        <v>1.0049397002369565E-5</v>
      </c>
      <c r="L11" s="4">
        <f>'BNVFE-ships-psgr'!J5</f>
        <v>1.0049397002369565E-5</v>
      </c>
      <c r="M11" s="4">
        <f>'BNVFE-ships-psgr'!K5</f>
        <v>1.0049397002369565E-5</v>
      </c>
      <c r="N11" s="4">
        <f>'BNVFE-ships-psgr'!L5</f>
        <v>1.0049397002369565E-5</v>
      </c>
      <c r="O11" s="4">
        <f>'BNVFE-ships-psgr'!M5</f>
        <v>1.0049397002369565E-5</v>
      </c>
      <c r="P11" s="4">
        <f>'BNVFE-ships-psgr'!N5</f>
        <v>1.0049397002369565E-5</v>
      </c>
      <c r="Q11" s="4">
        <f>'BNVFE-ships-psgr'!O5</f>
        <v>1.0049397002369565E-5</v>
      </c>
      <c r="R11" s="4">
        <f>'BNVFE-ships-psgr'!P5</f>
        <v>1.0049397002369565E-5</v>
      </c>
      <c r="S11" s="4">
        <f>'BNVFE-ships-psgr'!Q5</f>
        <v>1.0049397002369565E-5</v>
      </c>
      <c r="T11" s="4">
        <f>'BNVFE-ships-psgr'!R5</f>
        <v>1.0049397002369565E-5</v>
      </c>
      <c r="U11" s="4">
        <f>'BNVFE-ships-psgr'!S5</f>
        <v>1.0049397002369565E-5</v>
      </c>
      <c r="V11" s="4">
        <f>'BNVFE-ships-psgr'!T5</f>
        <v>1.0049397002369565E-5</v>
      </c>
      <c r="W11" s="4">
        <f>'BNVFE-ships-psgr'!U5</f>
        <v>1.0049397002369565E-5</v>
      </c>
      <c r="X11" s="4">
        <f>'BNVFE-ships-psgr'!V5</f>
        <v>1.0049397002369565E-5</v>
      </c>
      <c r="Y11" s="4">
        <f>'BNVFE-ships-psgr'!W5</f>
        <v>1.0049397002369565E-5</v>
      </c>
      <c r="Z11" s="4">
        <f>'BNVFE-ships-psgr'!X5</f>
        <v>1.0049397002369565E-5</v>
      </c>
      <c r="AA11" s="4">
        <f>'BNVFE-ships-psgr'!Y5</f>
        <v>1.0049397002369565E-5</v>
      </c>
      <c r="AB11" s="4">
        <f>'BNVFE-ships-psgr'!Z5</f>
        <v>1.0049397002369565E-5</v>
      </c>
      <c r="AC11" s="4">
        <f>'BNVFE-ships-psgr'!AA5</f>
        <v>1.0049397002369565E-5</v>
      </c>
      <c r="AD11" s="4">
        <f>'BNVFE-ships-psgr'!AB5</f>
        <v>1.0049397002369565E-5</v>
      </c>
      <c r="AE11" s="4">
        <f>'BNVFE-ships-psgr'!AC5</f>
        <v>1.0049397002369565E-5</v>
      </c>
      <c r="AF11" s="4">
        <f>'BNVFE-ships-psgr'!AD5</f>
        <v>1.0049397002369565E-5</v>
      </c>
      <c r="AG11" s="4">
        <f>'BNVFE-ships-psgr'!AE5</f>
        <v>1.0049397002369565E-5</v>
      </c>
      <c r="AH11" s="4">
        <f>'BNVFE-ships-psgr'!AF5</f>
        <v>1.0049397002369565E-5</v>
      </c>
      <c r="AI11" s="4"/>
      <c r="AJ11" s="4"/>
      <c r="AK11" s="4"/>
    </row>
    <row r="12" spans="1:37">
      <c r="A12" t="s">
        <v>867</v>
      </c>
      <c r="B12" t="s">
        <v>865</v>
      </c>
      <c r="C12" t="s">
        <v>115</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868</v>
      </c>
      <c r="B13" t="s">
        <v>864</v>
      </c>
      <c r="C13" t="s">
        <v>114</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6"/>
      <c r="D34" s="117"/>
      <c r="E34" s="117"/>
      <c r="F34" s="117"/>
      <c r="G34" s="117"/>
      <c r="H34" s="117"/>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23</vt:i4>
      </vt:variant>
    </vt:vector>
  </HeadingPairs>
  <TitlesOfParts>
    <vt:vector size="56"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2022-09-30T21:17:07Z</dcterms:modified>
</cp:coreProperties>
</file>