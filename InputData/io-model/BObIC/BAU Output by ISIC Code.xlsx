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Source_IndustryOutput" sheetId="3" state="visible" r:id="rId3"/>
    <sheet name="Src_Stateior_SoI_Make" sheetId="4" state="visible" r:id="rId4"/>
    <sheet name="Src_Disagg_EIA_coal" sheetId="5" state="visible" r:id="rId5"/>
    <sheet name="Src_Disagg_heuristics" sheetId="6" state="visible" r:id="rId6"/>
    <sheet name="Crosswalk_BEA_to_ISIC" sheetId="7" state="visible" r:id="rId7"/>
    <sheet name="State_disagg_splits" sheetId="8" state="visible" r:id="rId8"/>
    <sheet name="NAICS_to_ISIC_Key" sheetId="9" state="visible" r:id="rId9"/>
    <sheet name="5_Calc_ISIC_aggregation" sheetId="10" state="visible" r:id="rId10"/>
    <sheet name="BObIC" sheetId="11" state="visible" r:id="rId11"/>
  </sheets>
  <calcPr calcId="191029" fullCalcOnLoad="1"/>
</workbook>
</file>

<file path=xl/sharedStrings.xml><?xml version="1.0" encoding="utf-8"?>
<sst xmlns="http://schemas.openxmlformats.org/spreadsheetml/2006/main" count="583" uniqueCount="583">
  <si>
    <t xml:space="preserve">BObIC - BAU Output by ISIC Code</t>
  </si>
  <si>
    <t xml:space="preserve"/>
  </si>
  <si>
    <t xml:space="preserve">State: Nebraska (NE)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</si>
  <si>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</si>
  <si>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</si>
  <si>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</si>
  <si>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State industry output is pulled directly from EPA stateior's two-region</t>
  </si>
  <si>
    <t xml:space="preserve">(State of Interest vs. Rest of US) MRIO accounts, at BEA Summary sector</t>
  </si>
  <si>
    <t xml:space="preserve">resolution. Stateior combines BEA national Make/Use tables with FAF</t>
  </si>
  <si>
    <t xml:space="preserve">(Freight Analysis Framework) for goods trade and cluster-based RPC</t>
  </si>
  <si>
    <t xml:space="preserve">estimation for services to construct state-level output by industry.</t>
  </si>
  <si>
    <t xml:space="preserve">BEA Summary codes are aggregated to the 42-ISIC scheme via the canonical</t>
  </si>
  <si>
    <t xml:space="preserve">crosswalk (see 'Crosswalk_BEA_to_ISIC' tab). Five BEA Summary sectors</t>
  </si>
  <si>
    <t xml:space="preserve">(22 utilities, 212 mining, 325 chemicals, 327 nonmetallic, 331 primary</t>
  </si>
  <si>
    <t xml:space="preserve">metals, 513 broadcasting/telecom) are disaggregated to the finer ISIC</t>
  </si>
  <si>
    <t xml:space="preserve">children using state-specific ratios (see 'State_disagg_splits' tab).</t>
  </si>
  <si>
    <t xml:space="preserve">Values are deflated from stateior's nominal 2019 USD to 2012 USD to</t>
  </si>
  <si>
    <t xml:space="preserve">match the EPS convention.</t>
  </si>
  <si>
    <t xml:space="preserve">In-workbook derivation</t>
  </si>
  <si>
    <t xml:space="preserve">----------------------</t>
  </si>
  <si>
    <t xml:space="preserve">The output tab is computed by Excel formulas, not pasted values. On the calc</t>
  </si>
  <si>
    <t xml:space="preserve">tab, STEP 1 pulls each BEA Summary value from the source tab via INDEX/MATCH</t>
  </si>
  <si>
    <t xml:space="preserve">and multiplies it by that mapping's allocation weight; STEP 2 SUMIFS the</t>
  </si>
  <si>
    <t xml:space="preserve">weighted values to the 42 ISIC codes and divides by the deflator (Keys!$C$2)</t>
  </si>
  <si>
    <t xml:space="preserve">to express the result in 2012 USD. Edit any source or Keys cell and the</t>
  </si>
  <si>
    <t xml:space="preserve">output recomputes.</t>
  </si>
  <si>
    <t xml:space="preserve">Allocation weights (the BEA -&gt; ISIC crosswalk)</t>
  </si>
  <si>
    <t xml:space="preserve">----------------------------------------------</t>
  </si>
  <si>
    <t xml:space="preserve">Each BEA Summary sector's value is mapped to the 42-ISIC scheme via the</t>
  </si>
  <si>
    <t xml:space="preserve">'2_Crosswalk_BEA_to_ISIC' tab. allocation_weight (STEP 1, column C of the</t>
  </si>
  <si>
    <t xml:space="preserve">calc tab) is the fraction of a BEA sector assigned to each ISIC code; the</t>
  </si>
  <si>
    <t xml:space="preserve">weights for any one BEA code always sum to 1.0.</t>
  </si>
  <si>
    <t xml:space="preserve">Most BEA codes map 1:1 to a single ISIC with weight = 1.0 - a definitional</t>
  </si>
  <si>
    <t xml:space="preserve">mapping, not an assumption. Seven BEA sectors are SPLIT across multiple ISIC</t>
  </si>
  <si>
    <t xml:space="preserve">codes, in two groups:</t>
  </si>
  <si>
    <t xml:space="preserve">A. State-specific, data-derived splits - recomputed for each state (see the</t>
  </si>
  <si>
    <t xml:space="preserve">   '3_State_disagg_splits' tab for the ratio + data source used for THIS</t>
  </si>
  <si>
    <t xml:space="preserve">   state, and its provenance):</t>
  </si>
  <si>
    <t xml:space="preserve">     212 mining         -&gt; 05 coal + 07T08 other mining.</t>
  </si>
  <si>
    <t xml:space="preserve">         weight = coal / (coal + nonfuel) mine value, from EIA-7A coal +</t>
  </si>
  <si>
    <t xml:space="preserve">         USGS Minerals Yearbook nonfuel production value, each deflated to</t>
  </si>
  <si>
    <t xml:space="preserve">         2012 USD so the ratio is vintage-consistent.</t>
  </si>
  <si>
    <t xml:space="preserve">     325 chemicals      -&gt; 20 basic chemicals + 21 pharmaceuticals</t>
  </si>
  <si>
    <t xml:space="preserve">     327 nonmetallic    -&gt; 231 glass + 239 cement/other</t>
  </si>
  <si>
    <t xml:space="preserve">     331 primary metals -&gt; 241 iron &amp; steel + 242 other metals</t>
  </si>
  <si>
    <t xml:space="preserve">         (325/327/331: Census ASM value-added shares where available, else</t>
  </si>
  <si>
    <t xml:space="preserve">          EPA GHGRP facility/emissions proxies, else documented heuristics.)</t>
  </si>
  <si>
    <t xml:space="preserve">B. Fixed national splits - the same weights for every state, carried in the</t>
  </si>
  <si>
    <t xml:space="preserve">   base crosswalk (not state-specific):</t>
  </si>
  <si>
    <t xml:space="preserve">     22  utilities                  -&gt; 351 power + 352T353 gas + 36T39 water</t>
  </si>
  <si>
    <t xml:space="preserve">     324 petroleum &amp; coal products  -&gt; 19 refining + 241 iron &amp; steel (coke)</t>
  </si>
  <si>
    <t xml:space="preserve">     513 information                -&gt; 58T60 media + 61 telecommunications</t>
  </si>
  <si>
    <t xml:space="preserve">So the ISIC detail is only as fine as these weights: group-A weights carry</t>
  </si>
  <si>
    <t xml:space="preserve">this state's industry mix; group-B weights are national constants.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</si>
  <si>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</si>
  <si>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</si>
  <si>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</si>
  <si>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</si>
  <si>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</si>
  <si>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</si>
  <si>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</si>
  <si>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</si>
  <si>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</si>
  <si>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</si>
  <si>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</si>
  <si>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</si>
  <si>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</si>
  <si>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</si>
  <si>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</si>
  <si>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</si>
  <si>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</si>
  <si>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</si>
  <si>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</si>
  <si>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</si>
  <si>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</si>
  <si>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</si>
  <si>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</si>
  <si>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</si>
  <si>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</si>
  <si>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</si>
  <si>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</si>
  <si>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</si>
  <si>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</si>
  <si>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</si>
  <si>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</si>
  <si>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</si>
  <si>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</si>
  <si>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</si>
  <si>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</si>
  <si>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</si>
  <si>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</si>
  <si>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</si>
  <si>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</si>
  <si>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</si>
  <si>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</si>
  <si>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</si>
  <si>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</si>
  <si>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</si>
  <si>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</si>
  <si>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</si>
  <si>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</si>
  <si>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</si>
  <si>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</si>
  <si>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</si>
  <si>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</si>
  <si>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The BObIC output tab is FORMULA-DERIVED from the raw source tabs (Excel</t>
  </si>
  <si>
    <t xml:space="preserve">formulas, not pasted values): edit a source cell and it recomputes.</t>
  </si>
  <si>
    <t xml:space="preserve">Tabs:</t>
  </si>
  <si>
    <t xml:space="preserve">  - About (this tab)</t>
  </si>
  <si>
    <t xml:space="preserve">  - Keys - constants (category|key|value|description); formulas ref Keys!$C$2</t>
  </si>
  <si>
    <t xml:space="preserve">  - 1_Source_IndustryOutput - raw stateior output per BEA Summary code</t>
  </si>
  <si>
    <t xml:space="preserve">  - Src_Stateior_SoI_Make - full 71x73 state SoI Make matrix (raw)</t>
  </si>
  <si>
    <t xml:space="preserve">  - Src_Disagg_EIA_coal / Src_Disagg_heuristics - disagg source data</t>
  </si>
  <si>
    <t xml:space="preserve">  - 2_Crosswalk_BEA_to_ISIC - canonical + state overrides (weights sum to 1/BEA)</t>
  </si>
  <si>
    <t xml:space="preserve">  - 3_State_disagg_splits - 5 disagg ratios for this state</t>
  </si>
  <si>
    <t xml:space="preserve">  - 4_NAICS_to_ISIC_Key - 42-ISIC scheme reference</t>
  </si>
  <si>
    <t xml:space="preserve">  - 5_Calc_ISIC_aggregation - STEP 1: INDEX/MATCH each BEA value x weight;</t>
  </si>
  <si>
    <t xml:space="preserve">        STEP 2: SUMIFS to 42 ISIC, then / Keys deflator -&gt; 2012 USD</t>
  </si>
  <si>
    <t xml:space="preserve">  - BObIC - looks up each ISIC's STEP 2 value (matches BObIC.csv)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</si>
  <si>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</si>
  <si>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</si>
  <si>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</si>
  <si>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</si>
  <si>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</si>
  <si>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</si>
  <si>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</si>
  <si>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</si>
  <si>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</si>
  <si>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</si>
  <si>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</si>
  <si>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</si>
  <si>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</si>
  <si>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</si>
  <si>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</si>
  <si>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</si>
  <si>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output_USD_2019nominal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</si>
  <si>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</si>
  <si>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</si>
  <si>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</si>
  <si>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</si>
  <si>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</si>
  <si>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</si>
  <si>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</si>
  <si>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</si>
  <si>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</si>
  <si>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</si>
  <si>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</si>
  <si>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</si>
  <si>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</si>
  <si>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</si>
  <si>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</si>
  <si>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</si>
  <si>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</si>
  <si>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</si>
  <si>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</si>
  <si>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</si>
  <si>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</si>
  <si>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</si>
  <si>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</si>
  <si>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</si>
  <si>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</si>
  <si>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</si>
  <si>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</si>
  <si>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</si>
  <si>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</si>
  <si>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</si>
  <si>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</si>
  <si>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</si>
  <si>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</si>
  <si>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</si>
  <si>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</si>
  <si>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</si>
  <si>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</si>
  <si>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</si>
  <si>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</si>
  <si>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</si>
  <si>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</si>
  <si>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</si>
  <si>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</si>
  <si>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</si>
  <si>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</si>
  <si>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</si>
  <si>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</si>
  <si>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</si>
  <si>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</si>
  <si>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</si>
  <si>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</si>
  <si>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</si>
  <si>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</si>
  <si>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</si>
  <si>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</si>
  <si>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</si>
  <si>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</si>
  <si>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</si>
  <si>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</si>
  <si>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</si>
  <si>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</si>
  <si>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</si>
  <si>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</si>
  <si>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</si>
  <si>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</si>
  <si>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</si>
  <si>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</si>
  <si>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</si>
  <si>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</si>
  <si>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</si>
  <si>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</si>
  <si>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State-of-Interest Make matrix (V) at BEA Summary resolution, from EPA</t>
  </si>
  <si>
    <t xml:space="preserve">stateior's two-region MRIO build for this state and base year. Rows =</t>
  </si>
  <si>
    <t xml:space="preserve">industries, columns = commodities. Values are in nominal 2019 USD as</t>
  </si>
  <si>
    <t xml:space="preserve">emitted by stateior. This is the raw input aggregated to 42 ISIC for</t>
  </si>
  <si>
    <t xml:space="preserve">the final output in this workbook.</t>
  </si>
  <si>
    <t xml:space="preserve">industry</t>
  </si>
  <si>
    <t xml:space="preserve">Used</t>
  </si>
  <si>
    <t xml:space="preserve">Other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</si>
  <si>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</si>
  <si>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</si>
  <si>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</si>
  <si>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NE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</si>
  <si>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</si>
  <si>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</si>
  <si>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</si>
  <si>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</si>
  <si>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</si>
  <si>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</si>
  <si>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</si>
  <si>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</si>
  <si>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</si>
  <si>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</si>
  <si>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</si>
  <si>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</si>
  <si>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</si>
  <si>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</si>
  <si>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</si>
  <si>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</si>
  <si>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</si>
  <si>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</si>
  <si>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</si>
  <si>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</si>
  <si>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</si>
  <si>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</si>
  <si>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</si>
  <si>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</si>
  <si>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</si>
  <si>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</si>
  <si>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</si>
  <si>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</si>
  <si>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</si>
  <si>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</si>
  <si>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</si>
  <si>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</si>
  <si>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</si>
  <si>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</si>
  <si>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</si>
  <si>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</si>
  <si>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</si>
  <si>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</si>
  <si>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</si>
  <si>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</si>
  <si>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</si>
  <si>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</si>
  <si>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</si>
  <si>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</si>
  <si>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</si>
  <si>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</si>
  <si>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</si>
  <si>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</si>
  <si>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</si>
  <si>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</si>
  <si>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</si>
  <si>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</si>
  <si>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</si>
  <si>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</si>
  <si>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</si>
  <si>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</si>
  <si>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</si>
  <si>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</si>
  <si>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</si>
  <si>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</si>
  <si>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</si>
  <si>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</si>
  <si>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</si>
  <si>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</si>
  <si>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</si>
  <si>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</si>
  <si>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</si>
  <si>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</si>
  <si>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</si>
  <si>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</si>
  <si>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</si>
  <si>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</si>
  <si>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</si>
  <si>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</si>
  <si>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</si>
  <si>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</si>
  <si>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</si>
  <si>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</si>
  <si>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</si>
  <si>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</si>
  <si>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</si>
  <si>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</si>
  <si>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</si>
  <si>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</si>
  <si>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</si>
  <si>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</si>
  <si>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</si>
  <si>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</si>
  <si>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</si>
  <si>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</si>
  <si>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</si>
  <si>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</si>
  <si>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</si>
  <si>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</si>
  <si>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</si>
  <si>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</si>
  <si>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</si>
  <si>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</si>
  <si>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NE.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</si>
  <si>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</si>
  <si>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</si>
  <si>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</si>
  <si>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</si>
  <si>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</si>
  <si>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</si>
  <si>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</si>
  <si>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</si>
  <si>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</si>
  <si>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</si>
  <si>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</si>
  <si>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</si>
  <si>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</si>
  <si>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</si>
  <si>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</si>
  <si>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</si>
  <si>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</si>
  <si>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</si>
  <si>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</si>
  <si>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</si>
  <si>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</si>
  <si>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</si>
  <si>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</si>
  <si>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</si>
  <si>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</si>
  <si>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</si>
  <si>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</si>
  <si>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</si>
  <si>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</si>
  <si>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</si>
  <si>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</si>
  <si>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</si>
  <si>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</si>
  <si>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</si>
  <si>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</si>
  <si>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</si>
  <si>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</si>
  <si>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</si>
  <si>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</si>
  <si>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</si>
  <si>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</si>
  <si>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</si>
  <si>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</si>
  <si>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</si>
  <si>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</si>
  <si>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</si>
  <si>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</si>
  <si>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</si>
  <si>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</si>
  <si>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</si>
  <si>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</si>
  <si>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</si>
  <si>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</si>
  <si>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</si>
  <si>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</si>
  <si>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</si>
  <si>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</si>
  <si>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</si>
  <si>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</si>
  <si>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</si>
  <si>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</si>
  <si>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</si>
  <si>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</si>
  <si>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</si>
  <si>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</si>
  <si>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</si>
  <si>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</si>
  <si>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</si>
  <si>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</si>
  <si>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</si>
  <si>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</si>
  <si>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</si>
  <si>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</si>
  <si>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</si>
  <si>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</si>
  <si>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</si>
  <si>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</si>
  <si>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</si>
  <si>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</si>
  <si>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</si>
  <si>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</si>
  <si>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</si>
  <si>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</si>
  <si>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</si>
  <si>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</si>
  <si>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</si>
  <si>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</si>
  <si>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</si>
  <si>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</si>
  <si>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</si>
  <si>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</si>
  <si>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</si>
  <si>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</si>
  <si>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</si>
  <si>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</si>
  <si>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</si>
  <si>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</si>
  <si>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</si>
  <si>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</si>
  <si>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</si>
  <si>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</si>
  <si>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</si>
  <si>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</si>
  <si>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</si>
  <si>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</si>
  <si>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</si>
  <si>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</si>
  <si>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</si>
  <si>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</si>
  <si>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</si>
  <si>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</si>
  <si>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</si>
  <si>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</si>
  <si>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</si>
  <si>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</si>
  <si>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</si>
  <si>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</si>
  <si>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</si>
  <si>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</si>
  <si>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</si>
  <si>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</si>
  <si>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</si>
  <si>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</si>
  <si>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</si>
  <si>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</si>
  <si>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</si>
  <si>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</si>
  <si>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</si>
  <si>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</si>
  <si>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</si>
  <si>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</si>
  <si>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</si>
  <si>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</si>
  <si>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</si>
  <si>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</si>
  <si>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</si>
  <si>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</si>
  <si>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</si>
  <si>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</si>
  <si>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</si>
  <si>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</si>
  <si>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</si>
  <si>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</si>
  <si>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</si>
  <si>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</si>
  <si>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</si>
  <si>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</si>
  <si>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</si>
  <si>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</si>
  <si>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</si>
  <si>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</si>
  <si>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</si>
  <si>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</si>
  <si>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</si>
  <si>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</si>
  <si>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2021 $212M [nonfuel partial total] -&gt; coal share 0.000 (applied to stateior 212 $207M)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</si>
  <si>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</si>
  <si>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</si>
  <si>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</si>
  <si>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</si>
  <si>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</si>
  <si>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</si>
  <si>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</si>
  <si>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</si>
  <si>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</si>
  <si>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</si>
  <si>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</si>
  <si>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</si>
  <si>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</si>
  <si>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</si>
  <si>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</si>
  <si>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</si>
  <si>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</si>
  <si>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</si>
  <si>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NE.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</si>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</sst>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13</v>
      </c>
    </row>
    <row r="18">
      <c r="A18" t="s">
        <v>14</v>
      </c>
    </row>
    <row r="19">
      <c r="A19" t="s">
        <v>15</v>
      </c>
    </row>
    <row r="20">
      <c r="A20" t="s">
        <v>1</v>
      </c>
    </row>
    <row r="21">
      <c r="A21" t="s">
        <v>16</v>
      </c>
    </row>
    <row r="22">
      <c r="A22" t="s">
        <v>17</v>
      </c>
    </row>
    <row r="23">
      <c r="A23" t="s">
        <v>1</v>
      </c>
    </row>
    <row r="24">
      <c r="A24" t="s">
        <v>18</v>
      </c>
    </row>
    <row r="25">
      <c r="A25" t="s">
        <v>19</v>
      </c>
    </row>
    <row r="26">
      <c r="A26" t="s">
        <v>20</v>
      </c>
    </row>
    <row r="27">
      <c r="A27" t="s">
        <v>21</v>
      </c>
    </row>
    <row r="28">
      <c r="A28" t="s">
        <v>22</v>
      </c>
    </row>
    <row r="29">
      <c r="A29" t="s">
        <v>23</v>
      </c>
    </row>
    <row r="30">
      <c r="A30" t="s">
        <v>24</v>
      </c>
    </row>
    <row r="31">
      <c r="A31" t="s">
        <v>25</v>
      </c>
    </row>
    <row r="32">
      <c r="A32" t="s">
        <v>1</v>
      </c>
    </row>
    <row r="33">
      <c r="A33" t="s">
        <v>26</v>
      </c>
    </row>
    <row r="34">
      <c r="A34" t="s">
        <v>27</v>
      </c>
    </row>
    <row r="35">
      <c r="A35" t="s">
        <v>28</v>
      </c>
    </row>
    <row r="36">
      <c r="A36" t="s">
        <v>29</v>
      </c>
    </row>
    <row r="37">
      <c r="A37" t="s">
        <v>30</v>
      </c>
    </row>
    <row r="38">
      <c r="A38" t="s">
        <v>31</v>
      </c>
    </row>
    <row r="39">
      <c r="A39" t="s">
        <v>1</v>
      </c>
    </row>
    <row r="40">
      <c r="A40" t="s">
        <v>32</v>
      </c>
    </row>
    <row r="41">
      <c r="A41" t="s">
        <v>33</v>
      </c>
    </row>
    <row r="42">
      <c r="A42" t="s">
        <v>34</v>
      </c>
    </row>
    <row r="43">
      <c r="A43" t="s">
        <v>1</v>
      </c>
    </row>
    <row r="44">
      <c r="A44" t="s">
        <v>35</v>
      </c>
    </row>
    <row r="45">
      <c r="A45" t="s">
        <v>36</v>
      </c>
    </row>
    <row r="46">
      <c r="A46" t="s">
        <v>37</v>
      </c>
    </row>
    <row r="47">
      <c r="A47" t="s">
        <v>38</v>
      </c>
    </row>
    <row r="48">
      <c r="A48" t="s">
        <v>39</v>
      </c>
    </row>
    <row r="49">
      <c r="A49" t="s">
        <v>40</v>
      </c>
    </row>
    <row r="50">
      <c r="A50" t="s">
        <v>41</v>
      </c>
    </row>
    <row r="51">
      <c r="A51" t="s">
        <v>42</v>
      </c>
    </row>
    <row r="52">
      <c r="A52" t="s">
        <v>43</v>
      </c>
    </row>
    <row r="53">
      <c r="A53" t="s">
        <v>44</v>
      </c>
    </row>
    <row r="54">
      <c r="A54" t="s">
        <v>45</v>
      </c>
    </row>
    <row r="55">
      <c r="A55" t="s">
        <v>46</v>
      </c>
    </row>
    <row r="56">
      <c r="A56" t="s">
        <v>1</v>
      </c>
    </row>
    <row r="57">
      <c r="A57" t="s">
        <v>47</v>
      </c>
    </row>
    <row r="58">
      <c r="A58" t="s">
        <v>48</v>
      </c>
    </row>
    <row r="59">
      <c r="A59" t="s">
        <v>49</v>
      </c>
    </row>
    <row r="60">
      <c r="A60" t="s">
        <v>50</v>
      </c>
    </row>
    <row r="61">
      <c r="A61" t="s">
        <v>51</v>
      </c>
    </row>
    <row r="62">
      <c r="A62" t="s">
        <v>1</v>
      </c>
    </row>
    <row r="63">
      <c r="A63" t="s">
        <v>52</v>
      </c>
    </row>
    <row r="64">
      <c r="A64" t="s">
        <v>53</v>
      </c>
    </row>
    <row r="65">
      <c r="A65" t="s">
        <v>1</v>
      </c>
    </row>
    <row r="66">
      <c r="A66" t="s">
        <v>4</v>
      </c>
    </row>
    <row r="67">
      <c r="A67" t="s">
        <v>54</v>
      </c>
    </row>
    <row r="68">
      <c r="A68" t="s">
        <v>4</v>
      </c>
    </row>
    <row r="69">
      <c r="A69" t="s">
        <v>55</v>
      </c>
    </row>
    <row r="70">
      <c r="A70" t="s">
        <v>56</v>
      </c>
    </row>
    <row r="71">
      <c r="A71" t="s">
        <v>1</v>
      </c>
    </row>
    <row r="72">
      <c r="A72" t="s">
        <v>57</v>
      </c>
    </row>
    <row r="73">
      <c r="A73" t="s">
        <v>58</v>
      </c>
    </row>
    <row r="74">
      <c r="A74" t="s">
        <v>59</v>
      </c>
    </row>
    <row r="75">
      <c r="A75" t="s">
        <v>60</v>
      </c>
    </row>
    <row r="76">
      <c r="A76" t="s">
        <v>61</v>
      </c>
    </row>
    <row r="77">
      <c r="A77" t="s">
        <v>62</v>
      </c>
    </row>
    <row r="78">
      <c r="A78" t="s">
        <v>63</v>
      </c>
    </row>
    <row r="79">
      <c r="A79" t="s">
        <v>64</v>
      </c>
    </row>
    <row r="80">
      <c r="A80" t="s">
        <v>65</v>
      </c>
    </row>
    <row r="81">
      <c r="A81" t="s">
        <v>66</v>
      </c>
    </row>
    <row r="82">
      <c r="A82" t="s">
        <v>67</v>
      </c>
    </row>
    <row r="83">
      <c r="A83" t="s">
        <v>1</v>
      </c>
    </row>
    <row r="84">
      <c r="A84" t="s">
        <v>68</v>
      </c>
    </row>
    <row r="85">
      <c r="A85" t="s">
        <v>69</v>
      </c>
    </row>
    <row r="86">
      <c r="A86" t="s">
        <v>1</v>
      </c>
    </row>
    <row r="87">
      <c r="A87" t="s">
        <v>4</v>
      </c>
    </row>
    <row r="88">
      <c r="A88" t="s">
        <v>70</v>
      </c>
    </row>
    <row r="89">
      <c r="A89" t="s">
        <v>4</v>
      </c>
    </row>
    <row r="90">
      <c r="A90" t="s">
        <v>71</v>
      </c>
    </row>
    <row r="91">
      <c r="A91" t="s">
        <v>72</v>
      </c>
    </row>
    <row r="92">
      <c r="A92" t="s">
        <v>73</v>
      </c>
    </row>
    <row r="93">
      <c r="A93" t="s">
        <v>1</v>
      </c>
    </row>
    <row r="94">
      <c r="A94" t="s">
        <v>74</v>
      </c>
    </row>
    <row r="95">
      <c r="A95" t="s">
        <v>75</v>
      </c>
    </row>
    <row r="96">
      <c r="A96" t="s">
        <v>76</v>
      </c>
    </row>
    <row r="97">
      <c r="A97" t="s">
        <v>1</v>
      </c>
    </row>
    <row r="98">
      <c r="A98" t="s">
        <v>77</v>
      </c>
    </row>
    <row r="99">
      <c r="A99" t="s">
        <v>78</v>
      </c>
    </row>
    <row r="100">
      <c r="A100" t="s">
        <v>79</v>
      </c>
    </row>
    <row r="101">
      <c r="A101" t="s">
        <v>1</v>
      </c>
    </row>
    <row r="102">
      <c r="A102" t="s">
        <v>80</v>
      </c>
    </row>
    <row r="103">
      <c r="A103" t="s">
        <v>81</v>
      </c>
    </row>
    <row r="104">
      <c r="A104" t="s">
        <v>82</v>
      </c>
    </row>
    <row r="105">
      <c r="A105" t="s">
        <v>1</v>
      </c>
    </row>
    <row r="106">
      <c r="A106" t="s">
        <v>83</v>
      </c>
    </row>
    <row r="107">
      <c r="A107" t="s">
        <v>84</v>
      </c>
    </row>
    <row r="108">
      <c r="A108" t="s">
        <v>85</v>
      </c>
    </row>
    <row r="109">
      <c r="A109" t="s">
        <v>1</v>
      </c>
    </row>
    <row r="110">
      <c r="A110" t="s">
        <v>86</v>
      </c>
    </row>
    <row r="111">
      <c r="A111" t="s">
        <v>87</v>
      </c>
    </row>
    <row r="112">
      <c r="A112" t="s">
        <v>88</v>
      </c>
    </row>
    <row r="113">
      <c r="A113" t="s">
        <v>1</v>
      </c>
    </row>
    <row r="114">
      <c r="A114" t="s">
        <v>89</v>
      </c>
    </row>
    <row r="115">
      <c r="A115" t="s">
        <v>90</v>
      </c>
    </row>
    <row r="116">
      <c r="A116" t="s">
        <v>91</v>
      </c>
    </row>
    <row r="117">
      <c r="A117" t="s">
        <v>1</v>
      </c>
    </row>
    <row r="118">
      <c r="A118" t="s">
        <v>92</v>
      </c>
    </row>
    <row r="119">
      <c r="A119" t="s">
        <v>93</v>
      </c>
    </row>
    <row r="120">
      <c r="A120" t="s">
        <v>94</v>
      </c>
    </row>
    <row r="121">
      <c r="A121" t="s">
        <v>1</v>
      </c>
    </row>
    <row r="122">
      <c r="A122" t="s">
        <v>95</v>
      </c>
    </row>
    <row r="123">
      <c r="A123" t="s">
        <v>96</v>
      </c>
    </row>
    <row r="124">
      <c r="A124" t="s">
        <v>97</v>
      </c>
    </row>
    <row r="125">
      <c r="A125" t="s">
        <v>1</v>
      </c>
    </row>
    <row r="126">
      <c r="A126" t="s">
        <v>98</v>
      </c>
    </row>
    <row r="127">
      <c r="A127" t="s">
        <v>99</v>
      </c>
    </row>
    <row r="128">
      <c r="A128" t="s">
        <v>100</v>
      </c>
    </row>
    <row r="129">
      <c r="A129" t="s">
        <v>1</v>
      </c>
    </row>
    <row r="130">
      <c r="A130" t="s">
        <v>101</v>
      </c>
    </row>
    <row r="131">
      <c r="A131" t="s">
        <v>102</v>
      </c>
    </row>
    <row r="132">
      <c r="A132" t="s">
        <v>103</v>
      </c>
    </row>
    <row r="133">
      <c r="A133" t="s">
        <v>1</v>
      </c>
    </row>
    <row r="134">
      <c r="A134" t="s">
        <v>4</v>
      </c>
    </row>
    <row r="135">
      <c r="A135" t="s">
        <v>104</v>
      </c>
    </row>
    <row r="136">
      <c r="A136" t="s">
        <v>4</v>
      </c>
    </row>
    <row r="137">
      <c r="A137" t="s">
        <v>105</v>
      </c>
    </row>
    <row r="138">
      <c r="A138" t="s">
        <v>106</v>
      </c>
    </row>
    <row r="139">
      <c r="A139" t="s">
        <v>1</v>
      </c>
    </row>
    <row r="140">
      <c r="A140" t="s">
        <v>107</v>
      </c>
    </row>
    <row r="141">
      <c r="A141" t="s">
        <v>108</v>
      </c>
    </row>
    <row r="142">
      <c r="A142" t="s">
        <v>109</v>
      </c>
    </row>
    <row r="143">
      <c r="A143" t="s">
        <v>110</v>
      </c>
    </row>
    <row r="144">
      <c r="A144" t="s">
        <v>111</v>
      </c>
    </row>
    <row r="145">
      <c r="A145" t="s">
        <v>112</v>
      </c>
    </row>
    <row r="146">
      <c r="A146" t="s">
        <v>113</v>
      </c>
    </row>
    <row r="147">
      <c r="A147" t="s">
        <v>114</v>
      </c>
    </row>
    <row r="148">
      <c r="A148" t="s">
        <v>115</v>
      </c>
    </row>
    <row r="149">
      <c r="A149" t="s">
        <v>116</v>
      </c>
    </row>
    <row r="150">
      <c r="A150" t="s">
        <v>117</v>
      </c>
    </row>
    <row r="151">
      <c r="A151" t="s">
        <v>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119</v>
      </c>
      <c r="B1" t="s">
        <v>120</v>
      </c>
      <c r="C1" t="s">
        <v>121</v>
      </c>
      <c r="D1" t="s">
        <v>122</v>
      </c>
    </row>
    <row r="2">
      <c r="A2" t="s">
        <v>123</v>
      </c>
      <c r="B2" t="s">
        <v>124</v>
      </c>
      <c r="C2" t="n">
        <v>1.12266</v>
      </c>
      <c r="D2" t="s">
        <v>125</v>
      </c>
    </row>
    <row r="3">
      <c r="A3" t="s">
        <v>126</v>
      </c>
      <c r="B3" t="s">
        <v>127</v>
      </c>
      <c r="C3" t="n">
        <v>2019</v>
      </c>
      <c r="D3" t="s">
        <v>128</v>
      </c>
    </row>
    <row r="4">
      <c r="A4" t="s">
        <v>129</v>
      </c>
      <c r="B4" t="s">
        <v>130</v>
      </c>
      <c r="C4" t="n">
        <v>0.000000001</v>
      </c>
      <c r="D4" t="s">
        <v>131</v>
      </c>
    </row>
    <row r="5">
      <c r="A5" t="s">
        <v>129</v>
      </c>
      <c r="B5" t="s">
        <v>132</v>
      </c>
      <c r="C5" t="n">
        <v>1</v>
      </c>
      <c r="D5" t="s">
        <v>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134</v>
      </c>
      <c r="B1" t="s">
        <v>135</v>
      </c>
    </row>
    <row r="2">
      <c r="A2" t="s">
        <v>136</v>
      </c>
      <c r="B2" t="n">
        <v>19311347513.3532</v>
      </c>
    </row>
    <row r="3">
      <c r="A3" t="s">
        <v>137</v>
      </c>
      <c r="B3" t="n">
        <v>466196421.890609</v>
      </c>
    </row>
    <row r="4">
      <c r="A4" t="s">
        <v>138</v>
      </c>
      <c r="B4" t="n">
        <v>17922031.9993093</v>
      </c>
    </row>
    <row r="5">
      <c r="A5" t="s">
        <v>139</v>
      </c>
      <c r="B5" t="n">
        <v>207470934.649822</v>
      </c>
    </row>
    <row r="6">
      <c r="A6" t="s">
        <v>140</v>
      </c>
      <c r="B6" t="n">
        <v>50353485.8411081</v>
      </c>
    </row>
    <row r="7">
      <c r="A7" t="s">
        <v>141</v>
      </c>
      <c r="B7" t="n">
        <v>3406977179.41104</v>
      </c>
    </row>
    <row r="8">
      <c r="A8" t="s">
        <v>142</v>
      </c>
      <c r="B8" t="n">
        <v>10707887877.6527</v>
      </c>
    </row>
    <row r="9">
      <c r="A9" t="s">
        <v>143</v>
      </c>
      <c r="B9" t="n">
        <v>518822235.504605</v>
      </c>
    </row>
    <row r="10">
      <c r="A10" t="s">
        <v>144</v>
      </c>
      <c r="B10" t="n">
        <v>882652192.466949</v>
      </c>
    </row>
    <row r="11">
      <c r="A11" t="s">
        <v>145</v>
      </c>
      <c r="B11" t="n">
        <v>780888904.187911</v>
      </c>
    </row>
    <row r="12">
      <c r="A12" t="s">
        <v>146</v>
      </c>
      <c r="B12" t="n">
        <v>2182097982.73251</v>
      </c>
    </row>
    <row r="13">
      <c r="A13" t="s">
        <v>147</v>
      </c>
      <c r="B13" t="n">
        <v>2546956042.73834</v>
      </c>
    </row>
    <row r="14">
      <c r="A14" t="s">
        <v>148</v>
      </c>
      <c r="B14" t="n">
        <v>752303033.516754</v>
      </c>
    </row>
    <row r="15">
      <c r="A15" t="s">
        <v>149</v>
      </c>
      <c r="B15" t="n">
        <v>519916724.933816</v>
      </c>
    </row>
    <row r="16">
      <c r="A16" t="s">
        <v>150</v>
      </c>
      <c r="B16" t="n">
        <v>2986707959.57119</v>
      </c>
    </row>
    <row r="17">
      <c r="A17" t="s">
        <v>151</v>
      </c>
      <c r="B17" t="n">
        <v>291620942.712585</v>
      </c>
    </row>
    <row r="18">
      <c r="A18" t="s">
        <v>152</v>
      </c>
      <c r="B18" t="n">
        <v>239030789.339875</v>
      </c>
    </row>
    <row r="19">
      <c r="A19" t="s">
        <v>153</v>
      </c>
      <c r="B19" t="n">
        <v>2255603361.43634</v>
      </c>
    </row>
    <row r="20">
      <c r="A20" t="s">
        <v>154</v>
      </c>
      <c r="B20" t="n">
        <v>18082398563.8762</v>
      </c>
    </row>
    <row r="21">
      <c r="A21" t="s">
        <v>155</v>
      </c>
      <c r="B21" t="n">
        <v>132234273.771334</v>
      </c>
    </row>
    <row r="22">
      <c r="A22" t="s">
        <v>156</v>
      </c>
      <c r="B22" t="n">
        <v>111180590.481129</v>
      </c>
    </row>
    <row r="23">
      <c r="A23" t="s">
        <v>157</v>
      </c>
      <c r="B23" t="n">
        <v>474947318.089519</v>
      </c>
    </row>
    <row r="24">
      <c r="A24" t="s">
        <v>158</v>
      </c>
      <c r="B24" t="n">
        <v>361679634.797266</v>
      </c>
    </row>
    <row r="25">
      <c r="A25" t="s">
        <v>159</v>
      </c>
      <c r="B25" t="n">
        <v>41693348.6806667</v>
      </c>
    </row>
    <row r="26">
      <c r="A26" t="s">
        <v>160</v>
      </c>
      <c r="B26" t="n">
        <v>5191379813.17127</v>
      </c>
    </row>
    <row r="27">
      <c r="A27" t="s">
        <v>161</v>
      </c>
      <c r="B27" t="n">
        <v>1027150104.37002</v>
      </c>
    </row>
    <row r="28">
      <c r="A28" t="s">
        <v>162</v>
      </c>
      <c r="B28" t="n">
        <v>14498157491.7181</v>
      </c>
    </row>
    <row r="29">
      <c r="A29" t="s">
        <v>163</v>
      </c>
      <c r="B29" t="n">
        <v>2438132035.72102</v>
      </c>
    </row>
    <row r="30">
      <c r="A30" t="s">
        <v>164</v>
      </c>
      <c r="B30" t="n">
        <v>1620455132.93143</v>
      </c>
    </row>
    <row r="31">
      <c r="A31" t="s">
        <v>165</v>
      </c>
      <c r="B31" t="n">
        <v>1675832037.9527</v>
      </c>
    </row>
    <row r="32">
      <c r="A32" t="s">
        <v>166</v>
      </c>
      <c r="B32" t="n">
        <v>5432321139.07163</v>
      </c>
    </row>
    <row r="33">
      <c r="A33" t="s">
        <v>167</v>
      </c>
      <c r="B33" t="n">
        <v>371473464.803986</v>
      </c>
    </row>
    <row r="34">
      <c r="A34" t="s">
        <v>168</v>
      </c>
      <c r="B34" t="n">
        <v>7506826659.59382</v>
      </c>
    </row>
    <row r="35">
      <c r="A35" t="s">
        <v>169</v>
      </c>
      <c r="B35" t="n">
        <v>1176918.6158902</v>
      </c>
    </row>
    <row r="36">
      <c r="A36" t="s">
        <v>170</v>
      </c>
      <c r="B36" t="n">
        <v>6509610696.02007</v>
      </c>
    </row>
    <row r="37">
      <c r="A37" t="s">
        <v>171</v>
      </c>
      <c r="B37" t="n">
        <v>191743694.787986</v>
      </c>
    </row>
    <row r="38">
      <c r="A38" t="s">
        <v>172</v>
      </c>
      <c r="B38" t="n">
        <v>1463983427.99866</v>
      </c>
    </row>
    <row r="39">
      <c r="A39" t="s">
        <v>173</v>
      </c>
      <c r="B39" t="n">
        <v>1264781853.02716</v>
      </c>
    </row>
    <row r="40">
      <c r="A40" t="s">
        <v>174</v>
      </c>
      <c r="B40" t="n">
        <v>666665019.762846</v>
      </c>
    </row>
    <row r="41">
      <c r="A41" t="s">
        <v>175</v>
      </c>
      <c r="B41" t="n">
        <v>1441833819.56251</v>
      </c>
    </row>
    <row r="42">
      <c r="A42" t="s">
        <v>176</v>
      </c>
      <c r="B42" t="n">
        <v>70094975.4362188</v>
      </c>
    </row>
    <row r="43">
      <c r="A43" t="s">
        <v>177</v>
      </c>
      <c r="B43" t="n">
        <v>2488913889.01627</v>
      </c>
    </row>
    <row r="44">
      <c r="A44" t="s">
        <v>178</v>
      </c>
      <c r="B44" t="n">
        <v>2692250125.56426</v>
      </c>
    </row>
    <row r="45">
      <c r="A45" t="s">
        <v>179</v>
      </c>
      <c r="B45" t="n">
        <v>5477321848.7236</v>
      </c>
    </row>
    <row r="46">
      <c r="A46" t="s">
        <v>180</v>
      </c>
      <c r="B46" t="n">
        <v>1809186891.0153</v>
      </c>
    </row>
    <row r="47">
      <c r="A47" t="s">
        <v>181</v>
      </c>
      <c r="B47" t="n">
        <v>21264655483.1588</v>
      </c>
    </row>
    <row r="48">
      <c r="A48" t="s">
        <v>182</v>
      </c>
      <c r="B48" t="n">
        <v>75583076.9230769</v>
      </c>
    </row>
    <row r="49">
      <c r="A49" t="s">
        <v>183</v>
      </c>
      <c r="B49" t="n">
        <v>12997391136.3082</v>
      </c>
    </row>
    <row r="50">
      <c r="A50" t="s">
        <v>184</v>
      </c>
      <c r="B50" t="n">
        <v>3905075169.64322</v>
      </c>
    </row>
    <row r="51">
      <c r="A51" t="s">
        <v>185</v>
      </c>
      <c r="B51" t="n">
        <v>1247473187.10999</v>
      </c>
    </row>
    <row r="52">
      <c r="A52" t="s">
        <v>186</v>
      </c>
      <c r="B52" t="n">
        <v>1398527844.73756</v>
      </c>
    </row>
    <row r="53">
      <c r="A53" t="s">
        <v>187</v>
      </c>
      <c r="B53" t="n">
        <v>2067656563.64759</v>
      </c>
    </row>
    <row r="54">
      <c r="A54" t="s">
        <v>188</v>
      </c>
      <c r="B54" t="n">
        <v>5047640690.82172</v>
      </c>
    </row>
    <row r="55">
      <c r="A55" t="s">
        <v>189</v>
      </c>
      <c r="B55" t="n">
        <v>4231129824.54843</v>
      </c>
    </row>
    <row r="56">
      <c r="A56" t="s">
        <v>190</v>
      </c>
      <c r="B56" t="n">
        <v>5955136975.05112</v>
      </c>
    </row>
    <row r="57">
      <c r="A57" t="s">
        <v>191</v>
      </c>
      <c r="B57" t="n">
        <v>670866085.232877</v>
      </c>
    </row>
    <row r="58">
      <c r="A58" t="s">
        <v>192</v>
      </c>
      <c r="B58" t="n">
        <v>1505386723.71882</v>
      </c>
    </row>
    <row r="59">
      <c r="A59" t="s">
        <v>193</v>
      </c>
      <c r="B59" t="n">
        <v>7153747256.04347</v>
      </c>
    </row>
    <row r="60">
      <c r="A60" t="s">
        <v>194</v>
      </c>
      <c r="B60" t="n">
        <v>5471083258.53569</v>
      </c>
    </row>
    <row r="61">
      <c r="A61" t="s">
        <v>195</v>
      </c>
      <c r="B61" t="n">
        <v>2224153734.99445</v>
      </c>
    </row>
    <row r="62">
      <c r="A62" t="s">
        <v>196</v>
      </c>
      <c r="B62" t="n">
        <v>1362912303.27289</v>
      </c>
    </row>
    <row r="63">
      <c r="A63" t="s">
        <v>197</v>
      </c>
      <c r="B63" t="n">
        <v>534187279.818375</v>
      </c>
    </row>
    <row r="64">
      <c r="A64" t="s">
        <v>198</v>
      </c>
      <c r="B64" t="n">
        <v>706394774.705767</v>
      </c>
    </row>
    <row r="65">
      <c r="A65" t="s">
        <v>199</v>
      </c>
      <c r="B65" t="n">
        <v>877772861.167704</v>
      </c>
    </row>
    <row r="66">
      <c r="A66" t="s">
        <v>200</v>
      </c>
      <c r="B66" t="n">
        <v>4554333685.03943</v>
      </c>
    </row>
    <row r="67">
      <c r="A67" t="s">
        <v>201</v>
      </c>
      <c r="B67" t="n">
        <v>4561576450.8312</v>
      </c>
    </row>
    <row r="68">
      <c r="A68" t="s">
        <v>202</v>
      </c>
      <c r="B68" t="n">
        <v>2252667817.2543</v>
      </c>
    </row>
    <row r="69">
      <c r="A69" t="s">
        <v>203</v>
      </c>
      <c r="B69" t="n">
        <v>1957836967.98994</v>
      </c>
    </row>
    <row r="70">
      <c r="A70" t="s">
        <v>204</v>
      </c>
      <c r="B70" t="n">
        <v>402247449.845457</v>
      </c>
    </row>
    <row r="71">
      <c r="A71" t="s">
        <v>205</v>
      </c>
      <c r="B71" t="n">
        <v>19300019977.5726</v>
      </c>
    </row>
    <row r="72">
      <c r="A72" t="s">
        <v>206</v>
      </c>
      <c r="B72" t="n">
        <v>1755123378.01276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xSplit="1" topLeftCell="B9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207</v>
      </c>
    </row>
    <row r="2">
      <c r="A2" t="s">
        <v>208</v>
      </c>
    </row>
    <row r="3">
      <c r="A3" t="s">
        <v>209</v>
      </c>
    </row>
    <row r="4">
      <c r="A4" t="s">
        <v>210</v>
      </c>
    </row>
    <row r="5">
      <c r="A5" t="s">
        <v>211</v>
      </c>
    </row>
    <row r="6">
      <c r="A6" t="s">
        <v>1</v>
      </c>
    </row>
    <row r="8">
      <c r="A8" t="s">
        <v>212</v>
      </c>
      <c r="B8" t="s">
        <v>136</v>
      </c>
      <c r="C8" t="s">
        <v>137</v>
      </c>
      <c r="D8" t="s">
        <v>138</v>
      </c>
      <c r="E8" t="s">
        <v>139</v>
      </c>
      <c r="F8" t="s">
        <v>140</v>
      </c>
      <c r="G8" t="s">
        <v>141</v>
      </c>
      <c r="H8" t="s">
        <v>142</v>
      </c>
      <c r="I8" t="s">
        <v>143</v>
      </c>
      <c r="J8" t="s">
        <v>144</v>
      </c>
      <c r="K8" t="s">
        <v>145</v>
      </c>
      <c r="L8" t="s">
        <v>146</v>
      </c>
      <c r="M8" t="s">
        <v>147</v>
      </c>
      <c r="N8" t="s">
        <v>148</v>
      </c>
      <c r="O8" t="s">
        <v>149</v>
      </c>
      <c r="P8" t="s">
        <v>150</v>
      </c>
      <c r="Q8" t="s">
        <v>151</v>
      </c>
      <c r="R8" t="s">
        <v>152</v>
      </c>
      <c r="S8" t="s">
        <v>153</v>
      </c>
      <c r="T8" t="s">
        <v>154</v>
      </c>
      <c r="U8" t="s">
        <v>155</v>
      </c>
      <c r="V8" t="s">
        <v>156</v>
      </c>
      <c r="W8" t="s">
        <v>157</v>
      </c>
      <c r="X8" t="s">
        <v>158</v>
      </c>
      <c r="Y8" t="s">
        <v>159</v>
      </c>
      <c r="Z8" t="s">
        <v>160</v>
      </c>
      <c r="AA8" t="s">
        <v>161</v>
      </c>
      <c r="AB8" t="s">
        <v>162</v>
      </c>
      <c r="AC8" t="s">
        <v>163</v>
      </c>
      <c r="AD8" t="s">
        <v>164</v>
      </c>
      <c r="AE8" t="s">
        <v>165</v>
      </c>
      <c r="AF8" t="s">
        <v>166</v>
      </c>
      <c r="AG8" t="s">
        <v>167</v>
      </c>
      <c r="AH8" t="s">
        <v>168</v>
      </c>
      <c r="AI8" t="s">
        <v>169</v>
      </c>
      <c r="AJ8" t="s">
        <v>170</v>
      </c>
      <c r="AK8" t="s">
        <v>171</v>
      </c>
      <c r="AL8" t="s">
        <v>172</v>
      </c>
      <c r="AM8" t="s">
        <v>173</v>
      </c>
      <c r="AN8" t="s">
        <v>174</v>
      </c>
      <c r="AO8" t="s">
        <v>175</v>
      </c>
      <c r="AP8" t="s">
        <v>176</v>
      </c>
      <c r="AQ8" t="s">
        <v>177</v>
      </c>
      <c r="AR8" t="s">
        <v>178</v>
      </c>
      <c r="AS8" t="s">
        <v>179</v>
      </c>
      <c r="AT8" t="s">
        <v>180</v>
      </c>
      <c r="AU8" t="s">
        <v>181</v>
      </c>
      <c r="AV8" t="s">
        <v>182</v>
      </c>
      <c r="AW8" t="s">
        <v>183</v>
      </c>
      <c r="AX8" t="s">
        <v>184</v>
      </c>
      <c r="AY8" t="s">
        <v>185</v>
      </c>
      <c r="AZ8" t="s">
        <v>186</v>
      </c>
      <c r="BA8" t="s">
        <v>187</v>
      </c>
      <c r="BB8" t="s">
        <v>188</v>
      </c>
      <c r="BC8" t="s">
        <v>189</v>
      </c>
      <c r="BD8" t="s">
        <v>190</v>
      </c>
      <c r="BE8" t="s">
        <v>191</v>
      </c>
      <c r="BF8" t="s">
        <v>192</v>
      </c>
      <c r="BG8" t="s">
        <v>193</v>
      </c>
      <c r="BH8" t="s">
        <v>194</v>
      </c>
      <c r="BI8" t="s">
        <v>195</v>
      </c>
      <c r="BJ8" t="s">
        <v>196</v>
      </c>
      <c r="BK8" t="s">
        <v>197</v>
      </c>
      <c r="BL8" t="s">
        <v>198</v>
      </c>
      <c r="BM8" t="s">
        <v>199</v>
      </c>
      <c r="BN8" t="s">
        <v>200</v>
      </c>
      <c r="BO8" t="s">
        <v>201</v>
      </c>
      <c r="BP8" t="s">
        <v>202</v>
      </c>
      <c r="BQ8" t="s">
        <v>203</v>
      </c>
      <c r="BR8" t="s">
        <v>204</v>
      </c>
      <c r="BS8" t="s">
        <v>205</v>
      </c>
      <c r="BT8" t="s">
        <v>206</v>
      </c>
      <c r="BU8" t="s">
        <v>213</v>
      </c>
      <c r="BV8" t="s">
        <v>214</v>
      </c>
    </row>
    <row r="9">
      <c r="A9" t="s">
        <v>136</v>
      </c>
      <c r="B9" t="n">
        <v>19010172477.2184</v>
      </c>
      <c r="C9" t="n">
        <v>221852118.715143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342088.468623342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78980828.8097546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</row>
    <row r="10">
      <c r="A10" t="s">
        <v>137</v>
      </c>
      <c r="B10" t="n">
        <v>77091.3807950485</v>
      </c>
      <c r="C10" t="n">
        <v>464631342.298316</v>
      </c>
      <c r="D10" t="n">
        <v>0</v>
      </c>
      <c r="E10" t="n">
        <v>0</v>
      </c>
      <c r="F10" t="n">
        <v>0</v>
      </c>
      <c r="G10" t="n">
        <v>0</v>
      </c>
      <c r="H10" t="n">
        <v>1506274.11036531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</row>
    <row r="11">
      <c r="A11" t="s">
        <v>138</v>
      </c>
      <c r="B11" t="n">
        <v>0</v>
      </c>
      <c r="C11" t="n">
        <v>0</v>
      </c>
      <c r="D11" t="n">
        <v>13950867.2102572</v>
      </c>
      <c r="E11" t="n">
        <v>371.146251679034</v>
      </c>
      <c r="F11" t="n">
        <v>73257.3458523164</v>
      </c>
      <c r="G11" t="n">
        <v>0</v>
      </c>
      <c r="H11" t="n">
        <v>7448.31304649959</v>
      </c>
      <c r="I11" t="n">
        <v>0</v>
      </c>
      <c r="J11" t="n">
        <v>0</v>
      </c>
      <c r="K11" t="n">
        <v>0</v>
      </c>
      <c r="L11" t="n">
        <v>0</v>
      </c>
      <c r="M11" t="n">
        <v>494.383685375331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3877048.57649626</v>
      </c>
      <c r="Z11" t="n">
        <v>1027.85047647973</v>
      </c>
      <c r="AA11" t="n">
        <v>0</v>
      </c>
      <c r="AB11" t="n">
        <v>6962.45660001937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722.098571832994</v>
      </c>
      <c r="BB11" t="n">
        <v>4002.7439352224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s">
        <v>139</v>
      </c>
      <c r="B12" t="n">
        <v>0</v>
      </c>
      <c r="C12" t="n">
        <v>0</v>
      </c>
      <c r="D12" t="n">
        <v>0</v>
      </c>
      <c r="E12" t="n">
        <v>179793700.676166</v>
      </c>
      <c r="F12" t="n">
        <v>7897264.99424597</v>
      </c>
      <c r="G12" t="n">
        <v>0</v>
      </c>
      <c r="H12" t="n">
        <v>14652697.6933264</v>
      </c>
      <c r="I12" t="n">
        <v>0</v>
      </c>
      <c r="J12" t="n">
        <v>269346.531752028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2142393.91825725</v>
      </c>
      <c r="Z12" t="n">
        <v>1997338.77297423</v>
      </c>
      <c r="AA12" t="n">
        <v>0</v>
      </c>
      <c r="AB12" t="n">
        <v>599094.412377642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3675.42584280762</v>
      </c>
      <c r="BB12" t="n">
        <v>121289.052812651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</row>
    <row r="13">
      <c r="A13" t="s">
        <v>140</v>
      </c>
      <c r="B13" t="n">
        <v>0</v>
      </c>
      <c r="C13" t="n">
        <v>0</v>
      </c>
      <c r="D13" t="n">
        <v>689099.698892486</v>
      </c>
      <c r="E13" t="n">
        <v>0</v>
      </c>
      <c r="F13" t="n">
        <v>45716455.8610336</v>
      </c>
      <c r="G13" t="n">
        <v>0</v>
      </c>
      <c r="H13" t="n">
        <v>3042859.80129994</v>
      </c>
      <c r="I13" t="n">
        <v>0</v>
      </c>
      <c r="J13" t="n">
        <v>0</v>
      </c>
      <c r="K13" t="n">
        <v>0</v>
      </c>
      <c r="L13" t="n">
        <v>99284.185982118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499169.730892407</v>
      </c>
      <c r="Z13" t="n">
        <v>0</v>
      </c>
      <c r="AA13" t="n">
        <v>0</v>
      </c>
      <c r="AB13" t="n">
        <v>168966.843920916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18571.7867240662</v>
      </c>
      <c r="BB13" t="n">
        <v>119077.926642542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</row>
    <row r="14">
      <c r="A14" t="s">
        <v>141</v>
      </c>
      <c r="B14" t="n">
        <v>0</v>
      </c>
      <c r="C14" t="n">
        <v>0</v>
      </c>
      <c r="D14" t="n">
        <v>3067524.49356755</v>
      </c>
      <c r="E14" t="n">
        <v>0</v>
      </c>
      <c r="F14" t="n">
        <v>0</v>
      </c>
      <c r="G14" t="n">
        <v>3318158789.69844</v>
      </c>
      <c r="H14" t="n">
        <v>17989712.652312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9852604.77377263</v>
      </c>
      <c r="AC14" t="n">
        <v>0</v>
      </c>
      <c r="AD14" t="n">
        <v>0</v>
      </c>
      <c r="AE14" t="n">
        <v>0</v>
      </c>
      <c r="AF14" t="n">
        <v>5902360.96520869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19074222.1837813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2714560.22119286</v>
      </c>
      <c r="BB14" t="n">
        <v>808452.559822571</v>
      </c>
      <c r="BC14" t="n">
        <v>0</v>
      </c>
      <c r="BD14" t="n">
        <v>0</v>
      </c>
      <c r="BE14" t="n">
        <v>22029.86669697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29386921.9102985</v>
      </c>
      <c r="BU14" t="n">
        <v>0</v>
      </c>
      <c r="BV14" t="n">
        <v>0</v>
      </c>
    </row>
    <row r="15">
      <c r="A15" t="s">
        <v>142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10705514067.2369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2231629.06274037</v>
      </c>
      <c r="BB15" t="n">
        <v>142181.35302778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143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2833254.22133285</v>
      </c>
      <c r="I16" t="n">
        <v>505119378.642532</v>
      </c>
      <c r="J16" t="n">
        <v>349033.257117039</v>
      </c>
      <c r="K16" t="n">
        <v>0</v>
      </c>
      <c r="L16" t="n">
        <v>794673.67349319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2636721.08116772</v>
      </c>
      <c r="S16" t="n">
        <v>0</v>
      </c>
      <c r="T16" t="n">
        <v>0</v>
      </c>
      <c r="U16" t="n">
        <v>0</v>
      </c>
      <c r="V16" t="n">
        <v>0</v>
      </c>
      <c r="W16" t="n">
        <v>76147.4479711882</v>
      </c>
      <c r="X16" t="n">
        <v>0</v>
      </c>
      <c r="Y16" t="n">
        <v>0</v>
      </c>
      <c r="Z16" t="n">
        <v>64779.1801875273</v>
      </c>
      <c r="AA16" t="n">
        <v>324086.60695064</v>
      </c>
      <c r="AB16" t="n">
        <v>4958194.88733249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88038.9729792694</v>
      </c>
      <c r="BB16" t="n">
        <v>424187.778900116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1144506.6487305</v>
      </c>
      <c r="BV16" t="n">
        <v>0</v>
      </c>
    </row>
    <row r="17">
      <c r="A17" t="s">
        <v>144</v>
      </c>
      <c r="B17" t="n">
        <v>0</v>
      </c>
      <c r="C17" t="n">
        <v>0</v>
      </c>
      <c r="D17" t="n">
        <v>0</v>
      </c>
      <c r="E17" t="n">
        <v>3159779.74231537</v>
      </c>
      <c r="F17" t="n">
        <v>0</v>
      </c>
      <c r="G17" t="n">
        <v>0</v>
      </c>
      <c r="H17" t="n">
        <v>5671353.14455918</v>
      </c>
      <c r="I17" t="n">
        <v>93593.9101104618</v>
      </c>
      <c r="J17" t="n">
        <v>849478619.060066</v>
      </c>
      <c r="K17" t="n">
        <v>4337.63602264303</v>
      </c>
      <c r="L17" t="n">
        <v>179065.116752304</v>
      </c>
      <c r="M17" t="n">
        <v>23608.9393557325</v>
      </c>
      <c r="N17" t="n">
        <v>0</v>
      </c>
      <c r="O17" t="n">
        <v>459903.269495052</v>
      </c>
      <c r="P17" t="n">
        <v>44378.7675346361</v>
      </c>
      <c r="Q17" t="n">
        <v>2638.28536741521</v>
      </c>
      <c r="R17" t="n">
        <v>732567.31534341</v>
      </c>
      <c r="S17" t="n">
        <v>9720.84736311132</v>
      </c>
      <c r="T17" t="n">
        <v>0</v>
      </c>
      <c r="U17" t="n">
        <v>129378.519718325</v>
      </c>
      <c r="V17" t="n">
        <v>49482.2361706835</v>
      </c>
      <c r="W17" t="n">
        <v>256158.890620219</v>
      </c>
      <c r="X17" t="n">
        <v>0</v>
      </c>
      <c r="Y17" t="n">
        <v>7590959.52408092</v>
      </c>
      <c r="Z17" t="n">
        <v>281935.951823793</v>
      </c>
      <c r="AA17" t="n">
        <v>948894.60587888</v>
      </c>
      <c r="AB17" t="n">
        <v>8189339.81040081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247092.149451749</v>
      </c>
      <c r="BB17" t="n">
        <v>5088921.64942292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23532.5856620713</v>
      </c>
      <c r="BV17" t="n">
        <v>0</v>
      </c>
    </row>
    <row r="18">
      <c r="A18" t="s">
        <v>145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675162.311056672</v>
      </c>
      <c r="I18" t="n">
        <v>0</v>
      </c>
      <c r="J18" t="n">
        <v>309152.12683682</v>
      </c>
      <c r="K18" t="n">
        <v>717763424.467694</v>
      </c>
      <c r="L18" t="n">
        <v>3906037.93897461</v>
      </c>
      <c r="M18" t="n">
        <v>411349.509345213</v>
      </c>
      <c r="N18" t="n">
        <v>1641.94857761563</v>
      </c>
      <c r="O18" t="n">
        <v>492459.211445791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5026.46161242503</v>
      </c>
      <c r="V18" t="n">
        <v>0</v>
      </c>
      <c r="W18" t="n">
        <v>5466.03443827596</v>
      </c>
      <c r="X18" t="n">
        <v>0</v>
      </c>
      <c r="Y18" t="n">
        <v>51226286.0525437</v>
      </c>
      <c r="Z18" t="n">
        <v>458876.060242995</v>
      </c>
      <c r="AA18" t="n">
        <v>0</v>
      </c>
      <c r="AB18" t="n">
        <v>2673203.62182601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263477.975046506</v>
      </c>
      <c r="BB18" t="n">
        <v>1292688.81507192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1407960.42915477</v>
      </c>
      <c r="BV18" t="n">
        <v>0</v>
      </c>
    </row>
    <row r="19">
      <c r="A19" t="s">
        <v>146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16132325.5260061</v>
      </c>
      <c r="I19" t="n">
        <v>1292210.15428226</v>
      </c>
      <c r="J19" t="n">
        <v>1311025.41902092</v>
      </c>
      <c r="K19" t="n">
        <v>15818155.2830832</v>
      </c>
      <c r="L19" t="n">
        <v>2060235806.81228</v>
      </c>
      <c r="M19" t="n">
        <v>10887038.155859</v>
      </c>
      <c r="N19" t="n">
        <v>1760900.88408153</v>
      </c>
      <c r="O19" t="n">
        <v>826176.796894542</v>
      </c>
      <c r="P19" t="n">
        <v>1796972.36391078</v>
      </c>
      <c r="Q19" t="n">
        <v>692563.430785519</v>
      </c>
      <c r="R19" t="n">
        <v>415188.301420098</v>
      </c>
      <c r="S19" t="n">
        <v>279047.194669699</v>
      </c>
      <c r="T19" t="n">
        <v>0</v>
      </c>
      <c r="U19" t="n">
        <v>607944.185668429</v>
      </c>
      <c r="V19" t="n">
        <v>0</v>
      </c>
      <c r="W19" t="n">
        <v>11667.6007464686</v>
      </c>
      <c r="X19" t="n">
        <v>413649.372461694</v>
      </c>
      <c r="Y19" t="n">
        <v>253903.33528626</v>
      </c>
      <c r="Z19" t="n">
        <v>186406.399913245</v>
      </c>
      <c r="AA19" t="n">
        <v>3515641.28291645</v>
      </c>
      <c r="AB19" t="n">
        <v>22708133.9323456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1970917.59819983</v>
      </c>
      <c r="BB19" t="n">
        <v>17799089.1738664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2457563.918743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20737216.3341458</v>
      </c>
      <c r="BV19" t="n">
        <v>0</v>
      </c>
    </row>
    <row r="20">
      <c r="A20" t="s">
        <v>147</v>
      </c>
      <c r="B20" t="n">
        <v>0</v>
      </c>
      <c r="C20" t="n">
        <v>0</v>
      </c>
      <c r="D20" t="n">
        <v>0</v>
      </c>
      <c r="E20" t="n">
        <v>0</v>
      </c>
      <c r="F20" t="n">
        <v>7481.16194190716</v>
      </c>
      <c r="G20" t="n">
        <v>0</v>
      </c>
      <c r="H20" t="n">
        <v>4922604.55777491</v>
      </c>
      <c r="I20" t="n">
        <v>0</v>
      </c>
      <c r="J20" t="n">
        <v>294845.627170617</v>
      </c>
      <c r="K20" t="n">
        <v>87763.8387648866</v>
      </c>
      <c r="L20" t="n">
        <v>10473805.6666764</v>
      </c>
      <c r="M20" t="n">
        <v>2404328282.54072</v>
      </c>
      <c r="N20" t="n">
        <v>2237525.30053852</v>
      </c>
      <c r="O20" t="n">
        <v>5621082.00593616</v>
      </c>
      <c r="P20" t="n">
        <v>2448447.99418444</v>
      </c>
      <c r="Q20" t="n">
        <v>2588251.43214247</v>
      </c>
      <c r="R20" t="n">
        <v>75720.6753796176</v>
      </c>
      <c r="S20" t="n">
        <v>122164.487194242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664780.396644814</v>
      </c>
      <c r="AA20" t="n">
        <v>94328.85330446</v>
      </c>
      <c r="AB20" t="n">
        <v>37877122.911876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97255.1052447931</v>
      </c>
      <c r="AZ20" t="n">
        <v>0</v>
      </c>
      <c r="BA20" t="n">
        <v>4675726.21369198</v>
      </c>
      <c r="BB20" t="n">
        <v>68026205.5377618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2319160.20199122</v>
      </c>
      <c r="BV20" t="n">
        <v>0</v>
      </c>
    </row>
    <row r="21">
      <c r="A21" t="s">
        <v>148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61616.4994129332</v>
      </c>
      <c r="I21" t="n">
        <v>0</v>
      </c>
      <c r="J21" t="n">
        <v>13605.6287487525</v>
      </c>
      <c r="K21" t="n">
        <v>43011.1468930795</v>
      </c>
      <c r="L21" t="n">
        <v>92504.0463167406</v>
      </c>
      <c r="M21" t="n">
        <v>336913.823922393</v>
      </c>
      <c r="N21" t="n">
        <v>688471618.487355</v>
      </c>
      <c r="O21" t="n">
        <v>185809.906627837</v>
      </c>
      <c r="P21" t="n">
        <v>2419.94816389833</v>
      </c>
      <c r="Q21" t="n">
        <v>857939.579004478</v>
      </c>
      <c r="R21" t="n">
        <v>0</v>
      </c>
      <c r="S21" t="n">
        <v>474591.747944535</v>
      </c>
      <c r="T21" t="n">
        <v>0</v>
      </c>
      <c r="U21" t="n">
        <v>9023.30525740443</v>
      </c>
      <c r="V21" t="n">
        <v>0</v>
      </c>
      <c r="W21" t="n">
        <v>1383.58386293219</v>
      </c>
      <c r="X21" t="n">
        <v>1080.99121777076</v>
      </c>
      <c r="Y21" t="n">
        <v>0</v>
      </c>
      <c r="Z21" t="n">
        <v>178980.998048651</v>
      </c>
      <c r="AA21" t="n">
        <v>108454.245165099</v>
      </c>
      <c r="AB21" t="n">
        <v>2737069.76339556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1264759.72479179</v>
      </c>
      <c r="BB21" t="n">
        <v>57462250.1630402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149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284802.282540272</v>
      </c>
      <c r="I22" t="n">
        <v>0</v>
      </c>
      <c r="J22" t="n">
        <v>450369.502874485</v>
      </c>
      <c r="K22" t="n">
        <v>1815444.21681979</v>
      </c>
      <c r="L22" t="n">
        <v>641985.150968523</v>
      </c>
      <c r="M22" t="n">
        <v>903707.421579453</v>
      </c>
      <c r="N22" t="n">
        <v>518820.631195812</v>
      </c>
      <c r="O22" t="n">
        <v>494707838.772702</v>
      </c>
      <c r="P22" t="n">
        <v>432219.458608863</v>
      </c>
      <c r="Q22" t="n">
        <v>0</v>
      </c>
      <c r="R22" t="n">
        <v>38226.4336847781</v>
      </c>
      <c r="S22" t="n">
        <v>12054.6972439891</v>
      </c>
      <c r="T22" t="n">
        <v>0</v>
      </c>
      <c r="U22" t="n">
        <v>0</v>
      </c>
      <c r="V22" t="n">
        <v>0</v>
      </c>
      <c r="W22" t="n">
        <v>354781.741161923</v>
      </c>
      <c r="X22" t="n">
        <v>0</v>
      </c>
      <c r="Y22" t="n">
        <v>300680.406035959</v>
      </c>
      <c r="Z22" t="n">
        <v>2935.02839405228</v>
      </c>
      <c r="AA22" t="n">
        <v>416534.021044559</v>
      </c>
      <c r="AB22" t="n">
        <v>8530343.0650014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638231.621114345</v>
      </c>
      <c r="BB22" t="n">
        <v>9847982.54085037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2313987.61014487</v>
      </c>
      <c r="I23" t="n">
        <v>0</v>
      </c>
      <c r="J23" t="n">
        <v>0</v>
      </c>
      <c r="K23" t="n">
        <v>175157.616208162</v>
      </c>
      <c r="L23" t="n">
        <v>5194680.5154414</v>
      </c>
      <c r="M23" t="n">
        <v>4416291.71567705</v>
      </c>
      <c r="N23" t="n">
        <v>152254.801056499</v>
      </c>
      <c r="O23" t="n">
        <v>503439.986449771</v>
      </c>
      <c r="P23" t="n">
        <v>2887387716.13394</v>
      </c>
      <c r="Q23" t="n">
        <v>6925770.64870553</v>
      </c>
      <c r="R23" t="n">
        <v>0</v>
      </c>
      <c r="S23" t="n">
        <v>21681.8097436648</v>
      </c>
      <c r="T23" t="n">
        <v>0</v>
      </c>
      <c r="U23" t="n">
        <v>2604586.43409754</v>
      </c>
      <c r="V23" t="n">
        <v>0</v>
      </c>
      <c r="W23" t="n">
        <v>0</v>
      </c>
      <c r="X23" t="n">
        <v>0</v>
      </c>
      <c r="Y23" t="n">
        <v>0</v>
      </c>
      <c r="Z23" t="n">
        <v>35311.4697510551</v>
      </c>
      <c r="AA23" t="n">
        <v>932688.195599696</v>
      </c>
      <c r="AB23" t="n">
        <v>12996827.336546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1171639.29627588</v>
      </c>
      <c r="BB23" t="n">
        <v>60318501.6279172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1548237.64150741</v>
      </c>
      <c r="BV23" t="n">
        <v>0</v>
      </c>
    </row>
    <row r="24">
      <c r="A24" t="s">
        <v>151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286125.40967677</v>
      </c>
      <c r="I24" t="n">
        <v>0</v>
      </c>
      <c r="J24" t="n">
        <v>0</v>
      </c>
      <c r="K24" t="n">
        <v>218.98040740046</v>
      </c>
      <c r="L24" t="n">
        <v>54605.5128405994</v>
      </c>
      <c r="M24" t="n">
        <v>80500.3466560574</v>
      </c>
      <c r="N24" t="n">
        <v>161281.745202718</v>
      </c>
      <c r="O24" t="n">
        <v>82849.734261573</v>
      </c>
      <c r="P24" t="n">
        <v>250762.088315304</v>
      </c>
      <c r="Q24" t="n">
        <v>285344262.253721</v>
      </c>
      <c r="R24" t="n">
        <v>0</v>
      </c>
      <c r="S24" t="n">
        <v>1029.16752533493</v>
      </c>
      <c r="T24" t="n">
        <v>0</v>
      </c>
      <c r="U24" t="n">
        <v>0</v>
      </c>
      <c r="V24" t="n">
        <v>165.090187855523</v>
      </c>
      <c r="W24" t="n">
        <v>0</v>
      </c>
      <c r="X24" t="n">
        <v>0</v>
      </c>
      <c r="Y24" t="n">
        <v>0</v>
      </c>
      <c r="Z24" t="n">
        <v>5696.87490539726</v>
      </c>
      <c r="AA24" t="n">
        <v>35766.830265736</v>
      </c>
      <c r="AB24" t="n">
        <v>465325.060720007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188770.166476485</v>
      </c>
      <c r="BB24" t="n">
        <v>4651270.50055871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13200.7109424115</v>
      </c>
      <c r="BV24" t="n">
        <v>0</v>
      </c>
    </row>
    <row r="25">
      <c r="A25" t="s">
        <v>152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593857.305957757</v>
      </c>
      <c r="I25" t="n">
        <v>466952.300320064</v>
      </c>
      <c r="J25" t="n">
        <v>43117.727414332</v>
      </c>
      <c r="K25" t="n">
        <v>25225.4404294492</v>
      </c>
      <c r="L25" t="n">
        <v>122154.064680591</v>
      </c>
      <c r="M25" t="n">
        <v>52401.3286815982</v>
      </c>
      <c r="N25" t="n">
        <v>9248.99025804991</v>
      </c>
      <c r="O25" t="n">
        <v>28776.0744190656</v>
      </c>
      <c r="P25" t="n">
        <v>0</v>
      </c>
      <c r="Q25" t="n">
        <v>0</v>
      </c>
      <c r="R25" t="n">
        <v>235758400.481789</v>
      </c>
      <c r="S25" t="n">
        <v>60016.9347665708</v>
      </c>
      <c r="T25" t="n">
        <v>0</v>
      </c>
      <c r="U25" t="n">
        <v>111321.847024557</v>
      </c>
      <c r="V25" t="n">
        <v>1226.70819596603</v>
      </c>
      <c r="W25" t="n">
        <v>2946.75033603282</v>
      </c>
      <c r="X25" t="n">
        <v>10114.3580090129</v>
      </c>
      <c r="Y25" t="n">
        <v>0</v>
      </c>
      <c r="Z25" t="n">
        <v>11780.2607112885</v>
      </c>
      <c r="AA25" t="n">
        <v>20252.1619072941</v>
      </c>
      <c r="AB25" t="n">
        <v>1241176.21853458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86694.4972201105</v>
      </c>
      <c r="BB25" t="n">
        <v>391570.145777499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153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18059528.2779059</v>
      </c>
      <c r="I26" t="n">
        <v>2035963.005187</v>
      </c>
      <c r="J26" t="n">
        <v>952825.909900389</v>
      </c>
      <c r="K26" t="n">
        <v>163337.808022949</v>
      </c>
      <c r="L26" t="n">
        <v>17518115.4546563</v>
      </c>
      <c r="M26" t="n">
        <v>3242136.27282559</v>
      </c>
      <c r="N26" t="n">
        <v>14867556.5994375</v>
      </c>
      <c r="O26" t="n">
        <v>655689.928941184</v>
      </c>
      <c r="P26" t="n">
        <v>121606.292957448</v>
      </c>
      <c r="Q26" t="n">
        <v>732213.553769786</v>
      </c>
      <c r="R26" t="n">
        <v>11004049.4686084</v>
      </c>
      <c r="S26" t="n">
        <v>1616957690.33898</v>
      </c>
      <c r="T26" t="n">
        <v>56051.8132221861</v>
      </c>
      <c r="U26" t="n">
        <v>1823509.63805776</v>
      </c>
      <c r="V26" t="n">
        <v>7966367.87307045</v>
      </c>
      <c r="W26" t="n">
        <v>2624208.81618195</v>
      </c>
      <c r="X26" t="n">
        <v>11283830.8223687</v>
      </c>
      <c r="Y26" t="n">
        <v>181934.833905703</v>
      </c>
      <c r="Z26" t="n">
        <v>4285913.58539208</v>
      </c>
      <c r="AA26" t="n">
        <v>13362751.5734617</v>
      </c>
      <c r="AB26" t="n">
        <v>151440887.352843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9502173.32409996</v>
      </c>
      <c r="BB26" t="n">
        <v>366751496.537562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154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2623219.15211467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11582.2544225096</v>
      </c>
      <c r="T27" t="n">
        <v>17827737986.5853</v>
      </c>
      <c r="U27" t="n">
        <v>0</v>
      </c>
      <c r="V27" t="n">
        <v>2478371.03246632</v>
      </c>
      <c r="W27" t="n">
        <v>965723.872498273</v>
      </c>
      <c r="X27" t="n">
        <v>0</v>
      </c>
      <c r="Y27" t="n">
        <v>3360681.24180468</v>
      </c>
      <c r="Z27" t="n">
        <v>24199881.580216</v>
      </c>
      <c r="AA27" t="n">
        <v>0</v>
      </c>
      <c r="AB27" t="n">
        <v>175994157.660057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2041937.6354529</v>
      </c>
      <c r="BB27" t="n">
        <v>42985022.9244245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s">
        <v>155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42380.6766062638</v>
      </c>
      <c r="I28" t="n">
        <v>0</v>
      </c>
      <c r="J28" t="n">
        <v>1827.44708289557</v>
      </c>
      <c r="K28" t="n">
        <v>0</v>
      </c>
      <c r="L28" t="n">
        <v>61559.0196483408</v>
      </c>
      <c r="M28" t="n">
        <v>3958.54347760771</v>
      </c>
      <c r="N28" t="n">
        <v>15422.8764127745</v>
      </c>
      <c r="O28" t="n">
        <v>0</v>
      </c>
      <c r="P28" t="n">
        <v>264502.593207455</v>
      </c>
      <c r="Q28" t="n">
        <v>0</v>
      </c>
      <c r="R28" t="n">
        <v>59100.7461670214</v>
      </c>
      <c r="S28" t="n">
        <v>4374.58346349971</v>
      </c>
      <c r="T28" t="n">
        <v>0</v>
      </c>
      <c r="U28" t="n">
        <v>127882306.220013</v>
      </c>
      <c r="V28" t="n">
        <v>46690.045190407</v>
      </c>
      <c r="W28" t="n">
        <v>2551.21367527449</v>
      </c>
      <c r="X28" t="n">
        <v>150258.762513117</v>
      </c>
      <c r="Y28" t="n">
        <v>0</v>
      </c>
      <c r="Z28" t="n">
        <v>2346797.77913688</v>
      </c>
      <c r="AA28" t="n">
        <v>562237.695152145</v>
      </c>
      <c r="AB28" t="n">
        <v>501825.738905988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11558.3663471629</v>
      </c>
      <c r="BB28" t="n">
        <v>271621.609158327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156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16534.0400503444</v>
      </c>
      <c r="I29" t="n">
        <v>0</v>
      </c>
      <c r="J29" t="n">
        <v>310050.29062997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40571.3515274685</v>
      </c>
      <c r="T29" t="n">
        <v>4317623.0208197</v>
      </c>
      <c r="U29" t="n">
        <v>1686921.37297314</v>
      </c>
      <c r="V29" t="n">
        <v>98199535.0123059</v>
      </c>
      <c r="W29" t="n">
        <v>0</v>
      </c>
      <c r="X29" t="n">
        <v>140539.340427927</v>
      </c>
      <c r="Y29" t="n">
        <v>0</v>
      </c>
      <c r="Z29" t="n">
        <v>1267098.10053068</v>
      </c>
      <c r="AA29" t="n">
        <v>20149.0069103779</v>
      </c>
      <c r="AB29" t="n">
        <v>3100132.50943957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148806.360453099</v>
      </c>
      <c r="BB29" t="n">
        <v>1926215.66586512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157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95753.226516638</v>
      </c>
      <c r="I30" t="n">
        <v>340883.756748596</v>
      </c>
      <c r="J30" t="n">
        <v>8388.11448420684</v>
      </c>
      <c r="K30" t="n">
        <v>0</v>
      </c>
      <c r="L30" t="n">
        <v>0</v>
      </c>
      <c r="M30" t="n">
        <v>0</v>
      </c>
      <c r="N30" t="n">
        <v>40841.1952182997</v>
      </c>
      <c r="O30" t="n">
        <v>0</v>
      </c>
      <c r="P30" t="n">
        <v>0</v>
      </c>
      <c r="Q30" t="n">
        <v>0</v>
      </c>
      <c r="R30" t="n">
        <v>0</v>
      </c>
      <c r="S30" t="n">
        <v>1887.12956898406</v>
      </c>
      <c r="T30" t="n">
        <v>0</v>
      </c>
      <c r="U30" t="n">
        <v>235635.85951986</v>
      </c>
      <c r="V30" t="n">
        <v>0</v>
      </c>
      <c r="W30" t="n">
        <v>471066153.7237</v>
      </c>
      <c r="X30" t="n">
        <v>212452.471333791</v>
      </c>
      <c r="Y30" t="n">
        <v>0</v>
      </c>
      <c r="Z30" t="n">
        <v>16568.9997606188</v>
      </c>
      <c r="AA30" t="n">
        <v>326940.4108463</v>
      </c>
      <c r="AB30" t="n">
        <v>1272719.96911698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54858.6193584905</v>
      </c>
      <c r="BB30" t="n">
        <v>794951.265976672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486745.568126243</v>
      </c>
      <c r="BV30" t="n">
        <v>0</v>
      </c>
    </row>
    <row r="31">
      <c r="A31" t="s">
        <v>158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75788.4125847705</v>
      </c>
      <c r="I31" t="n">
        <v>70310.7701212263</v>
      </c>
      <c r="J31" t="n">
        <v>0</v>
      </c>
      <c r="K31" t="n">
        <v>0</v>
      </c>
      <c r="L31" t="n">
        <v>407886.933880248</v>
      </c>
      <c r="M31" t="n">
        <v>229102.342565998</v>
      </c>
      <c r="N31" t="n">
        <v>34187.5220878067</v>
      </c>
      <c r="O31" t="n">
        <v>47963.5496856429</v>
      </c>
      <c r="P31" t="n">
        <v>0</v>
      </c>
      <c r="Q31" t="n">
        <v>0</v>
      </c>
      <c r="R31" t="n">
        <v>121977.949366985</v>
      </c>
      <c r="S31" t="n">
        <v>871969.107454913</v>
      </c>
      <c r="T31" t="n">
        <v>0</v>
      </c>
      <c r="U31" t="n">
        <v>2318912.47377159</v>
      </c>
      <c r="V31" t="n">
        <v>14198.6531147415</v>
      </c>
      <c r="W31" t="n">
        <v>4955973.38758027</v>
      </c>
      <c r="X31" t="n">
        <v>271634586.987651</v>
      </c>
      <c r="Y31" t="n">
        <v>0</v>
      </c>
      <c r="Z31" t="n">
        <v>0</v>
      </c>
      <c r="AA31" t="n">
        <v>1029169.05903131</v>
      </c>
      <c r="AB31" t="n">
        <v>3085034.20639183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847046.964182729</v>
      </c>
      <c r="BB31" t="n">
        <v>73965032.5408192</v>
      </c>
      <c r="BC31" t="n">
        <v>0</v>
      </c>
      <c r="BD31" t="n">
        <v>1248279.73669034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708844.564763442</v>
      </c>
      <c r="BV31" t="n">
        <v>0</v>
      </c>
    </row>
    <row r="32">
      <c r="A32" t="s">
        <v>159</v>
      </c>
      <c r="B32" t="n">
        <v>0</v>
      </c>
      <c r="C32" t="n">
        <v>0</v>
      </c>
      <c r="D32" t="n">
        <v>7.72426864381364</v>
      </c>
      <c r="E32" t="n">
        <v>82.0360792127721</v>
      </c>
      <c r="F32" t="n">
        <v>0</v>
      </c>
      <c r="G32" t="n">
        <v>0</v>
      </c>
      <c r="H32" t="n">
        <v>471.510780995531</v>
      </c>
      <c r="I32" t="n">
        <v>0</v>
      </c>
      <c r="J32" t="n">
        <v>319.512100261926</v>
      </c>
      <c r="K32" t="n">
        <v>135.175421988472</v>
      </c>
      <c r="L32" t="n">
        <v>0</v>
      </c>
      <c r="M32" t="n">
        <v>0</v>
      </c>
      <c r="N32" t="n">
        <v>0</v>
      </c>
      <c r="O32" t="n">
        <v>7.6604430509485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41612418.421489</v>
      </c>
      <c r="Z32" t="n">
        <v>57670.0502906587</v>
      </c>
      <c r="AA32" t="n">
        <v>0</v>
      </c>
      <c r="AB32" t="n">
        <v>21037.1548452773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76.0501259670213</v>
      </c>
      <c r="BB32" t="n">
        <v>1193.1419762826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160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692261.679353354</v>
      </c>
      <c r="I33" t="n">
        <v>9673.31005031324</v>
      </c>
      <c r="J33" t="n">
        <v>390957.837155385</v>
      </c>
      <c r="K33" t="n">
        <v>13150.9064358941</v>
      </c>
      <c r="L33" t="n">
        <v>150564.70077815</v>
      </c>
      <c r="M33" t="n">
        <v>452324.816346298</v>
      </c>
      <c r="N33" t="n">
        <v>4148608.73889671</v>
      </c>
      <c r="O33" t="n">
        <v>97135.2931371243</v>
      </c>
      <c r="P33" t="n">
        <v>1292.81614893049</v>
      </c>
      <c r="Q33" t="n">
        <v>0</v>
      </c>
      <c r="R33" t="n">
        <v>0</v>
      </c>
      <c r="S33" t="n">
        <v>3007236.34598923</v>
      </c>
      <c r="T33" t="n">
        <v>28594962.7185756</v>
      </c>
      <c r="U33" t="n">
        <v>7171.34206300138</v>
      </c>
      <c r="V33" t="n">
        <v>247082.524897959</v>
      </c>
      <c r="W33" t="n">
        <v>1143691.73675904</v>
      </c>
      <c r="X33" t="n">
        <v>0</v>
      </c>
      <c r="Y33" t="n">
        <v>471208773.840639</v>
      </c>
      <c r="Z33" t="n">
        <v>4363543424.83947</v>
      </c>
      <c r="AA33" t="n">
        <v>7575186.98989531</v>
      </c>
      <c r="AB33" t="n">
        <v>51431995.0830262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1832969.6038224</v>
      </c>
      <c r="BB33" t="n">
        <v>256837790.734174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161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412885.287147093</v>
      </c>
      <c r="I34" t="n">
        <v>616601.581664882</v>
      </c>
      <c r="J34" t="n">
        <v>101073.851800783</v>
      </c>
      <c r="K34" t="n">
        <v>15556.871386588</v>
      </c>
      <c r="L34" t="n">
        <v>1258359.8433121</v>
      </c>
      <c r="M34" t="n">
        <v>663136.756252078</v>
      </c>
      <c r="N34" t="n">
        <v>330623.012886519</v>
      </c>
      <c r="O34" t="n">
        <v>644917.919899605</v>
      </c>
      <c r="P34" t="n">
        <v>1614185.64390569</v>
      </c>
      <c r="Q34" t="n">
        <v>146608.861318235</v>
      </c>
      <c r="R34" t="n">
        <v>838151.902811948</v>
      </c>
      <c r="S34" t="n">
        <v>1056166.71800974</v>
      </c>
      <c r="T34" t="n">
        <v>0</v>
      </c>
      <c r="U34" t="n">
        <v>3005608.72012798</v>
      </c>
      <c r="V34" t="n">
        <v>0</v>
      </c>
      <c r="W34" t="n">
        <v>3728818.37956682</v>
      </c>
      <c r="X34" t="n">
        <v>156832.395893082</v>
      </c>
      <c r="Y34" t="n">
        <v>256362.476794529</v>
      </c>
      <c r="Z34" t="n">
        <v>4369354.27583055</v>
      </c>
      <c r="AA34" t="n">
        <v>994578500.935494</v>
      </c>
      <c r="AB34" t="n">
        <v>6670177.81716699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576119.005321525</v>
      </c>
      <c r="BB34" t="n">
        <v>5450725.92256976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659336.194979078</v>
      </c>
      <c r="BV34" t="n">
        <v>0</v>
      </c>
    </row>
    <row r="35">
      <c r="A35" t="s">
        <v>162</v>
      </c>
      <c r="B35" t="n">
        <v>0</v>
      </c>
      <c r="C35" t="n">
        <v>467925.580035326</v>
      </c>
      <c r="D35" t="n">
        <v>0</v>
      </c>
      <c r="E35" t="n">
        <v>0</v>
      </c>
      <c r="F35" t="n">
        <v>0</v>
      </c>
      <c r="G35" t="n">
        <v>0</v>
      </c>
      <c r="H35" t="n">
        <v>40499651.9600229</v>
      </c>
      <c r="I35" t="n">
        <v>0</v>
      </c>
      <c r="J35" t="n">
        <v>0</v>
      </c>
      <c r="K35" t="n">
        <v>0</v>
      </c>
      <c r="L35" t="n">
        <v>0</v>
      </c>
      <c r="M35" t="n">
        <v>4446.84349867484</v>
      </c>
      <c r="N35" t="n">
        <v>0</v>
      </c>
      <c r="O35" t="n">
        <v>0</v>
      </c>
      <c r="P35" t="n">
        <v>98876.7569590349</v>
      </c>
      <c r="Q35" t="n">
        <v>0</v>
      </c>
      <c r="R35" t="n">
        <v>0</v>
      </c>
      <c r="S35" t="n">
        <v>7322.34255946271</v>
      </c>
      <c r="T35" t="n">
        <v>5633139.27763238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13791294006.4514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467603.422245294</v>
      </c>
      <c r="AM35" t="n">
        <v>3649904.49030354</v>
      </c>
      <c r="AN35" t="n">
        <v>2292555.66739706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83551639.266468</v>
      </c>
      <c r="AZ35" t="n">
        <v>0</v>
      </c>
      <c r="BA35" t="n">
        <v>46851265.1121882</v>
      </c>
      <c r="BB35" t="n">
        <v>5559285.13113849</v>
      </c>
      <c r="BC35" t="n">
        <v>0</v>
      </c>
      <c r="BD35" t="n">
        <v>168856.791366356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517623999.441589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163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39401.606938073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2037883945.50958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24422429.3671155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1208315.9461009</v>
      </c>
      <c r="AZ36" t="n">
        <v>0</v>
      </c>
      <c r="BA36" t="n">
        <v>531921.693663985</v>
      </c>
      <c r="BB36" t="n">
        <v>26267.7379587153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656693.448967883</v>
      </c>
      <c r="BM36" t="n">
        <v>0</v>
      </c>
      <c r="BN36" t="n">
        <v>0</v>
      </c>
      <c r="BO36" t="n">
        <v>373376194.279669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164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38610684.8332179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1511678119.65342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229911.13186687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31069.0718739013</v>
      </c>
      <c r="AZ37" t="n">
        <v>0</v>
      </c>
      <c r="BA37" t="n">
        <v>62138.1437478026</v>
      </c>
      <c r="BB37" t="n">
        <v>6213.81437478027</v>
      </c>
      <c r="BC37" t="n">
        <v>0</v>
      </c>
      <c r="BD37" t="n">
        <v>12427.6287495605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6213.81437478027</v>
      </c>
      <c r="BM37" t="n">
        <v>0</v>
      </c>
      <c r="BN37" t="n">
        <v>69812204.5006563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165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11390652.4192263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10900663.3650576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1582634285.01511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6870.11605502188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57413559.8718178</v>
      </c>
      <c r="BO38" t="n">
        <v>13472297.5838979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166</v>
      </c>
      <c r="B39" t="n">
        <v>1205579.49431783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21425043.1364278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2324503.54455118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5182383413.65292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2472120.36189552</v>
      </c>
      <c r="AQ39" t="n">
        <v>0</v>
      </c>
      <c r="AR39" t="n">
        <v>0</v>
      </c>
      <c r="AS39" t="n">
        <v>1540170.22546665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6155775.90114856</v>
      </c>
      <c r="AZ39" t="n">
        <v>0</v>
      </c>
      <c r="BA39" t="n">
        <v>8878051.29966447</v>
      </c>
      <c r="BB39" t="n">
        <v>37611545.5059818</v>
      </c>
      <c r="BC39" t="n">
        <v>0</v>
      </c>
      <c r="BD39" t="n">
        <v>529740.07754904</v>
      </c>
      <c r="BE39" t="n">
        <v>0</v>
      </c>
      <c r="BF39" t="n">
        <v>544455.07970318</v>
      </c>
      <c r="BG39" t="n">
        <v>24525.0035902333</v>
      </c>
      <c r="BH39" t="n">
        <v>0</v>
      </c>
      <c r="BI39" t="n">
        <v>0</v>
      </c>
      <c r="BJ39" t="n">
        <v>0</v>
      </c>
      <c r="BK39" t="n">
        <v>0</v>
      </c>
      <c r="BL39" t="n">
        <v>1755990.25706071</v>
      </c>
      <c r="BM39" t="n">
        <v>0</v>
      </c>
      <c r="BN39" t="n">
        <v>97481984.2704594</v>
      </c>
      <c r="BO39" t="n">
        <v>68012739.9564351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167</v>
      </c>
      <c r="B40" t="n">
        <v>0</v>
      </c>
      <c r="C40" t="n">
        <v>670721.59850047</v>
      </c>
      <c r="D40" t="n">
        <v>0</v>
      </c>
      <c r="E40" t="n">
        <v>0</v>
      </c>
      <c r="F40" t="n">
        <v>0</v>
      </c>
      <c r="G40" t="n">
        <v>0</v>
      </c>
      <c r="H40" t="n">
        <v>45060.1542176024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365110140.492264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1945779.3866692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752368.029512089</v>
      </c>
      <c r="AZ40" t="n">
        <v>0</v>
      </c>
      <c r="BA40" t="n">
        <v>333172.049366515</v>
      </c>
      <c r="BB40" t="n">
        <v>2517906.79931088</v>
      </c>
      <c r="BC40" t="n">
        <v>0</v>
      </c>
      <c r="BD40" t="n">
        <v>0</v>
      </c>
      <c r="BE40" t="n">
        <v>0</v>
      </c>
      <c r="BF40" t="n">
        <v>0</v>
      </c>
      <c r="BG40" t="n">
        <v>102409.441403642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168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14686827.1770666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7371814019.39982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48395749.79431</v>
      </c>
      <c r="AZ41" t="n">
        <v>0</v>
      </c>
      <c r="BA41" t="n">
        <v>9201385.70129476</v>
      </c>
      <c r="BB41" t="n">
        <v>62817152.3838393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169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19.33114247052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1116586.12023971</v>
      </c>
      <c r="AJ42" t="n">
        <v>0</v>
      </c>
      <c r="AK42" t="n">
        <v>0</v>
      </c>
      <c r="AL42" t="n">
        <v>0</v>
      </c>
      <c r="AM42" t="n">
        <v>52213.4158128745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309.29827952832</v>
      </c>
      <c r="BB42" t="n">
        <v>1488.49797023004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6321.28358786004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170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734427.998979037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6011644419.81684</v>
      </c>
      <c r="AK43" t="n">
        <v>0</v>
      </c>
      <c r="AL43" t="n">
        <v>0</v>
      </c>
      <c r="AM43" t="n">
        <v>330253112.149595</v>
      </c>
      <c r="AN43" t="n">
        <v>103809801.07308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5444346.68808373</v>
      </c>
      <c r="AZ43" t="n">
        <v>0</v>
      </c>
      <c r="BA43" t="n">
        <v>1788172.51925331</v>
      </c>
      <c r="BB43" t="n">
        <v>9164384.1611732</v>
      </c>
      <c r="BC43" t="n">
        <v>0</v>
      </c>
      <c r="BD43" t="n">
        <v>0</v>
      </c>
      <c r="BE43" t="n">
        <v>46772031.619303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171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191493413.206714</v>
      </c>
      <c r="AL44" t="n">
        <v>0</v>
      </c>
      <c r="AM44" t="n">
        <v>21002.6501766784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3500.44169611307</v>
      </c>
      <c r="BB44" t="n">
        <v>220527.826855124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172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4777424.24631833</v>
      </c>
      <c r="H45" t="n">
        <v>3113644.65804827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1445087645.53188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808121.514302603</v>
      </c>
      <c r="BB45" t="n">
        <v>10172823.7682798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173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516403.380250394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62159.6661412511</v>
      </c>
      <c r="AE46" t="n">
        <v>0</v>
      </c>
      <c r="AF46" t="n">
        <v>0</v>
      </c>
      <c r="AG46" t="n">
        <v>153008.40896308</v>
      </c>
      <c r="AH46" t="n">
        <v>0</v>
      </c>
      <c r="AI46" t="n">
        <v>1773941.24141571</v>
      </c>
      <c r="AJ46" t="n">
        <v>2849781.61693736</v>
      </c>
      <c r="AK46" t="n">
        <v>2519857.23511072</v>
      </c>
      <c r="AL46" t="n">
        <v>0</v>
      </c>
      <c r="AM46" t="n">
        <v>1213189330.12992</v>
      </c>
      <c r="AN46" t="n">
        <v>6268563.25470617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14344.5383402887</v>
      </c>
      <c r="AZ46" t="n">
        <v>0</v>
      </c>
      <c r="BA46" t="n">
        <v>1625714.34523272</v>
      </c>
      <c r="BB46" t="n">
        <v>30850320.4571809</v>
      </c>
      <c r="BC46" t="n">
        <v>0</v>
      </c>
      <c r="BD46" t="n">
        <v>23907.5639004812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196042.023983946</v>
      </c>
      <c r="BO46" t="n">
        <v>4724134.62673509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174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331027.66798419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1699604.743083</v>
      </c>
      <c r="AK47" t="n">
        <v>0</v>
      </c>
      <c r="AL47" t="n">
        <v>0</v>
      </c>
      <c r="AM47" t="n">
        <v>8364624.50592885</v>
      </c>
      <c r="AN47" t="n">
        <v>649822134.387352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973320.158102767</v>
      </c>
      <c r="BB47" t="n">
        <v>5469367.58893281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175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22996.9606507271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1651781.69543484</v>
      </c>
      <c r="Y48" t="n">
        <v>0</v>
      </c>
      <c r="Z48" t="n">
        <v>0</v>
      </c>
      <c r="AA48" t="n">
        <v>0</v>
      </c>
      <c r="AB48" t="n">
        <v>1596788.96344397</v>
      </c>
      <c r="AC48" t="n">
        <v>0</v>
      </c>
      <c r="AD48" t="n">
        <v>0</v>
      </c>
      <c r="AE48" t="n">
        <v>0</v>
      </c>
      <c r="AF48" t="n">
        <v>2475672.80744349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1336728003.94854</v>
      </c>
      <c r="AP48" t="n">
        <v>0</v>
      </c>
      <c r="AQ48" t="n">
        <v>0</v>
      </c>
      <c r="AR48" t="n">
        <v>38983847.7744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13989151.1506227</v>
      </c>
      <c r="BB48" t="n">
        <v>45860938.8768218</v>
      </c>
      <c r="BC48" t="n">
        <v>0</v>
      </c>
      <c r="BD48" t="n">
        <v>174976.874516402</v>
      </c>
      <c r="BE48" t="n">
        <v>1154.92035631302</v>
      </c>
      <c r="BF48" t="n">
        <v>350953.616887183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999.86785437944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176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33189.6853630358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3401.42344190485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2100.61299766049</v>
      </c>
      <c r="AC49" t="n">
        <v>0</v>
      </c>
      <c r="AD49" t="n">
        <v>0</v>
      </c>
      <c r="AE49" t="n">
        <v>0</v>
      </c>
      <c r="AF49" t="n">
        <v>153344.748829216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68743820.7162382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60917.7769321543</v>
      </c>
      <c r="AY49" t="n">
        <v>26887.8463700543</v>
      </c>
      <c r="AZ49" t="n">
        <v>0</v>
      </c>
      <c r="BA49" t="n">
        <v>195777.131381958</v>
      </c>
      <c r="BB49" t="n">
        <v>852428.754450628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23526.8655737975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177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3210025.34048157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389768.905175559</v>
      </c>
      <c r="AC50" t="n">
        <v>0</v>
      </c>
      <c r="AD50" t="n">
        <v>0</v>
      </c>
      <c r="AE50" t="n">
        <v>0</v>
      </c>
      <c r="AF50" t="n">
        <v>27133483.9274357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3452238.87441209</v>
      </c>
      <c r="AQ50" t="n">
        <v>2106160824.13387</v>
      </c>
      <c r="AR50" t="n">
        <v>19488.445258778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30836288.5266035</v>
      </c>
      <c r="AZ50" t="n">
        <v>0</v>
      </c>
      <c r="BA50" t="n">
        <v>7962421.92001499</v>
      </c>
      <c r="BB50" t="n">
        <v>307655733.109502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2099183.96073123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178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4329812.65713213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3887205.20649452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18991757.6777892</v>
      </c>
      <c r="AC51" t="n">
        <v>0</v>
      </c>
      <c r="AD51" t="n">
        <v>0</v>
      </c>
      <c r="AE51" t="n">
        <v>0</v>
      </c>
      <c r="AF51" t="n">
        <v>902273.539732743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122841725.621475</v>
      </c>
      <c r="AP51" t="n">
        <v>0</v>
      </c>
      <c r="AQ51" t="n">
        <v>13363551.3903099</v>
      </c>
      <c r="AR51" t="n">
        <v>1438235025.66984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126538.362279592</v>
      </c>
      <c r="AZ51" t="n">
        <v>0</v>
      </c>
      <c r="BA51" t="n">
        <v>91503740.9319206</v>
      </c>
      <c r="BB51" t="n">
        <v>996605137.978216</v>
      </c>
      <c r="BC51" t="n">
        <v>0</v>
      </c>
      <c r="BD51" t="n">
        <v>335601.743437179</v>
      </c>
      <c r="BE51" t="n">
        <v>0</v>
      </c>
      <c r="BF51" t="n">
        <v>616186.807622361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517156.784968767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179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19563.5930273251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4960598447.88937</v>
      </c>
      <c r="AT52" t="n">
        <v>141850722.142877</v>
      </c>
      <c r="AU52" t="n">
        <v>0</v>
      </c>
      <c r="AV52" t="n">
        <v>0</v>
      </c>
      <c r="AW52" t="n">
        <v>0</v>
      </c>
      <c r="AX52" t="n">
        <v>0</v>
      </c>
      <c r="AY52" t="n">
        <v>350227442.375174</v>
      </c>
      <c r="AZ52" t="n">
        <v>0</v>
      </c>
      <c r="BA52" t="n">
        <v>12329954.5054716</v>
      </c>
      <c r="BB52" t="n">
        <v>12300609.1159307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180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2975.66569902878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75278390.85403</v>
      </c>
      <c r="AT53" t="n">
        <v>1716322315.88001</v>
      </c>
      <c r="AU53" t="n">
        <v>11271821.667921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3115521.98688313</v>
      </c>
      <c r="BB53" t="n">
        <v>3192889.29505788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181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93872.0012923723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27786112.3825422</v>
      </c>
      <c r="AU54" t="n">
        <v>21139486556.6355</v>
      </c>
      <c r="AV54" t="n">
        <v>0</v>
      </c>
      <c r="AW54" t="n">
        <v>0</v>
      </c>
      <c r="AX54" t="n">
        <v>0</v>
      </c>
      <c r="AY54" t="n">
        <v>0</v>
      </c>
      <c r="AZ54" t="n">
        <v>1595824.02197033</v>
      </c>
      <c r="BA54" t="n">
        <v>44927139.8185294</v>
      </c>
      <c r="BB54" t="n">
        <v>50709655.0981395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182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75577948.7179487</v>
      </c>
      <c r="AW55" t="n">
        <v>0</v>
      </c>
      <c r="AX55" t="n">
        <v>0</v>
      </c>
      <c r="AY55" t="n">
        <v>0</v>
      </c>
      <c r="AZ55" t="n">
        <v>0</v>
      </c>
      <c r="BA55" t="n">
        <v>2564.10256410256</v>
      </c>
      <c r="BB55" t="n">
        <v>2564.10256410256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183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112023903.897612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12884061019.0475</v>
      </c>
      <c r="AX56" t="n">
        <v>0</v>
      </c>
      <c r="AY56" t="n">
        <v>0</v>
      </c>
      <c r="AZ56" t="n">
        <v>0</v>
      </c>
      <c r="BA56" t="n">
        <v>585745.902732611</v>
      </c>
      <c r="BB56" t="n">
        <v>726324.919388437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184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870323.254710791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4204749.22432151</v>
      </c>
      <c r="AT57" t="n">
        <v>0</v>
      </c>
      <c r="AU57" t="n">
        <v>1063426.22684975</v>
      </c>
      <c r="AV57" t="n">
        <v>0</v>
      </c>
      <c r="AW57" t="n">
        <v>0</v>
      </c>
      <c r="AX57" t="n">
        <v>3895730073.69576</v>
      </c>
      <c r="AY57" t="n">
        <v>0</v>
      </c>
      <c r="AZ57" t="n">
        <v>0</v>
      </c>
      <c r="BA57" t="n">
        <v>826807.091975251</v>
      </c>
      <c r="BB57" t="n">
        <v>1577460.89916331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184943.691626043</v>
      </c>
      <c r="BN57" t="n">
        <v>0</v>
      </c>
      <c r="BO57" t="n">
        <v>609226.278297554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</row>
    <row r="58">
      <c r="A58" t="s">
        <v>185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244496.388467876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1680525.80934249</v>
      </c>
      <c r="AD58" t="n">
        <v>0</v>
      </c>
      <c r="AE58" t="n">
        <v>9535359.15024717</v>
      </c>
      <c r="AF58" t="n">
        <v>863474.587120727</v>
      </c>
      <c r="AG58" t="n">
        <v>0</v>
      </c>
      <c r="AH58" t="n">
        <v>0</v>
      </c>
      <c r="AI58" t="n">
        <v>0</v>
      </c>
      <c r="AJ58" t="n">
        <v>3967650.25336477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238306.606481348</v>
      </c>
      <c r="AT58" t="n">
        <v>259970.843434197</v>
      </c>
      <c r="AU58" t="n">
        <v>2113810.54839949</v>
      </c>
      <c r="AV58" t="n">
        <v>0</v>
      </c>
      <c r="AW58" t="n">
        <v>0</v>
      </c>
      <c r="AX58" t="n">
        <v>3586978.66119327</v>
      </c>
      <c r="AY58" t="n">
        <v>1219987460.19881</v>
      </c>
      <c r="AZ58" t="n">
        <v>0</v>
      </c>
      <c r="BA58" t="n">
        <v>523036.577861659</v>
      </c>
      <c r="BB58" t="n">
        <v>656116.890572022</v>
      </c>
      <c r="BC58" t="n">
        <v>0</v>
      </c>
      <c r="BD58" t="n">
        <v>0</v>
      </c>
      <c r="BE58" t="n">
        <v>0</v>
      </c>
      <c r="BF58" t="n">
        <v>9284.67297979277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3809810.8127083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186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7539.7823816696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1396156583.17852</v>
      </c>
      <c r="BA59" t="n">
        <v>1360930.71989136</v>
      </c>
      <c r="BB59" t="n">
        <v>1021640.51271623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187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34969.1460737888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543964.49448116</v>
      </c>
      <c r="AC60" t="n">
        <v>0</v>
      </c>
      <c r="AD60" t="n">
        <v>0</v>
      </c>
      <c r="AE60" t="n">
        <v>0</v>
      </c>
      <c r="AF60" t="n">
        <v>5800992.78757408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52524554.3318363</v>
      </c>
      <c r="AP60" t="n">
        <v>0</v>
      </c>
      <c r="AQ60" t="n">
        <v>641101.011352796</v>
      </c>
      <c r="AR60" t="n">
        <v>78960331.8346152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508995.348407371</v>
      </c>
      <c r="AZ60" t="n">
        <v>0</v>
      </c>
      <c r="BA60" t="n">
        <v>1836210433.03128</v>
      </c>
      <c r="BB60" t="n">
        <v>52818952.4141206</v>
      </c>
      <c r="BC60" t="n">
        <v>0</v>
      </c>
      <c r="BD60" t="n">
        <v>21894570.9028667</v>
      </c>
      <c r="BE60" t="n">
        <v>0</v>
      </c>
      <c r="BF60" t="n">
        <v>1480360.51712373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16241225.6209375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188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2066510.28359248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25670.9351999065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2076136.88429244</v>
      </c>
      <c r="AF61" t="n">
        <v>6594221.47947599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196366609.944785</v>
      </c>
      <c r="AS61" t="n">
        <v>0</v>
      </c>
      <c r="AT61" t="n">
        <v>1581971.38169424</v>
      </c>
      <c r="AU61" t="n">
        <v>0</v>
      </c>
      <c r="AV61" t="n">
        <v>0</v>
      </c>
      <c r="AW61" t="n">
        <v>0</v>
      </c>
      <c r="AX61" t="n">
        <v>0</v>
      </c>
      <c r="AY61" t="n">
        <v>125145.809099544</v>
      </c>
      <c r="AZ61" t="n">
        <v>0</v>
      </c>
      <c r="BA61" t="n">
        <v>41432889.4126491</v>
      </c>
      <c r="BB61" t="n">
        <v>4786358703.49017</v>
      </c>
      <c r="BC61" t="n">
        <v>0</v>
      </c>
      <c r="BD61" t="n">
        <v>4665692.47258301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6340720.99437691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189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576009.290353122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83581627.1432164</v>
      </c>
      <c r="BB62" t="n">
        <v>42370171.7531843</v>
      </c>
      <c r="BC62" t="n">
        <v>4104575225.23189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190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7711241.83847752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8990045.64514318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7036165.15083856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779356.826379934</v>
      </c>
      <c r="AV63" t="n">
        <v>0</v>
      </c>
      <c r="AW63" t="n">
        <v>0</v>
      </c>
      <c r="AX63" t="n">
        <v>1470898.79908326</v>
      </c>
      <c r="AY63" t="n">
        <v>1311734.3767944</v>
      </c>
      <c r="AZ63" t="n">
        <v>0</v>
      </c>
      <c r="BA63" t="n">
        <v>67990650.4591171</v>
      </c>
      <c r="BB63" t="n">
        <v>252495146.462034</v>
      </c>
      <c r="BC63" t="n">
        <v>0</v>
      </c>
      <c r="BD63" t="n">
        <v>5605397739.88552</v>
      </c>
      <c r="BE63" t="n">
        <v>1597248.42207342</v>
      </c>
      <c r="BF63" t="n">
        <v>142699.137224495</v>
      </c>
      <c r="BG63" t="n">
        <v>0</v>
      </c>
      <c r="BH63" t="n">
        <v>0</v>
      </c>
      <c r="BI63" t="n">
        <v>0</v>
      </c>
      <c r="BJ63" t="n">
        <v>208560.277481954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191</v>
      </c>
      <c r="B64" t="n">
        <v>0</v>
      </c>
      <c r="C64" t="n">
        <v>0</v>
      </c>
      <c r="D64" t="n">
        <v>7445748.75843644</v>
      </c>
      <c r="E64" t="n">
        <v>0</v>
      </c>
      <c r="F64" t="n">
        <v>0</v>
      </c>
      <c r="G64" t="n">
        <v>0</v>
      </c>
      <c r="H64" t="n">
        <v>10209.9776275881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576863.735958728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2501444.51875909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801483.243765666</v>
      </c>
      <c r="AZ64" t="n">
        <v>0</v>
      </c>
      <c r="BA64" t="n">
        <v>112309.753903469</v>
      </c>
      <c r="BB64" t="n">
        <v>796378.254951872</v>
      </c>
      <c r="BC64" t="n">
        <v>0</v>
      </c>
      <c r="BD64" t="n">
        <v>0</v>
      </c>
      <c r="BE64" t="n">
        <v>653772159.001749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4859949.35073194</v>
      </c>
      <c r="BV64" t="n">
        <v>0</v>
      </c>
    </row>
    <row r="65">
      <c r="A65" t="s">
        <v>192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2746303.26440456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3060615.51211896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459681.662282308</v>
      </c>
      <c r="AV65" t="n">
        <v>0</v>
      </c>
      <c r="AW65" t="n">
        <v>0</v>
      </c>
      <c r="AX65" t="n">
        <v>259307.604364379</v>
      </c>
      <c r="AY65" t="n">
        <v>0</v>
      </c>
      <c r="AZ65" t="n">
        <v>0</v>
      </c>
      <c r="BA65" t="n">
        <v>19550221.8078356</v>
      </c>
      <c r="BB65" t="n">
        <v>130144915.069243</v>
      </c>
      <c r="BC65" t="n">
        <v>0</v>
      </c>
      <c r="BD65" t="n">
        <v>0</v>
      </c>
      <c r="BE65" t="n">
        <v>0</v>
      </c>
      <c r="BF65" t="n">
        <v>1179197401.94392</v>
      </c>
      <c r="BG65" t="n">
        <v>0</v>
      </c>
      <c r="BH65" t="n">
        <v>0</v>
      </c>
      <c r="BI65" t="n">
        <v>0</v>
      </c>
      <c r="BJ65" t="n">
        <v>0</v>
      </c>
      <c r="BK65" t="n">
        <v>6777357.84134173</v>
      </c>
      <c r="BL65" t="n">
        <v>0</v>
      </c>
      <c r="BM65" t="n">
        <v>111871586.767747</v>
      </c>
      <c r="BN65" t="n">
        <v>51146460.5093255</v>
      </c>
      <c r="BO65" t="n">
        <v>184658.445532209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193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3083572.7660639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60175830.2071992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2954321.21299536</v>
      </c>
      <c r="AZ66" t="n">
        <v>0</v>
      </c>
      <c r="BA66" t="n">
        <v>5237765.31720635</v>
      </c>
      <c r="BB66" t="n">
        <v>2529637.53862728</v>
      </c>
      <c r="BC66" t="n">
        <v>0</v>
      </c>
      <c r="BD66" t="n">
        <v>0</v>
      </c>
      <c r="BE66" t="n">
        <v>0</v>
      </c>
      <c r="BF66" t="n">
        <v>0</v>
      </c>
      <c r="BG66" t="n">
        <v>7079421458.1932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332361.136461978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</row>
    <row r="67">
      <c r="A67" t="s">
        <v>194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7479334.51688852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10610901.9147688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928307.033517978</v>
      </c>
      <c r="AZ67" t="n">
        <v>0</v>
      </c>
      <c r="BA67" t="n">
        <v>16404007.8327987</v>
      </c>
      <c r="BB67" t="n">
        <v>46897131.2755728</v>
      </c>
      <c r="BC67" t="n">
        <v>0</v>
      </c>
      <c r="BD67" t="n">
        <v>0</v>
      </c>
      <c r="BE67" t="n">
        <v>0</v>
      </c>
      <c r="BF67" t="n">
        <v>0</v>
      </c>
      <c r="BG67" t="n">
        <v>22684768.7114741</v>
      </c>
      <c r="BH67" t="n">
        <v>5355086006.87275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10992800.3779249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195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366078.003631595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221349.490567941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1413231.36285685</v>
      </c>
      <c r="AY68" t="n">
        <v>0</v>
      </c>
      <c r="AZ68" t="n">
        <v>0</v>
      </c>
      <c r="BA68" t="n">
        <v>272430.142237466</v>
      </c>
      <c r="BB68" t="n">
        <v>178782.280843337</v>
      </c>
      <c r="BC68" t="n">
        <v>0</v>
      </c>
      <c r="BD68" t="n">
        <v>0</v>
      </c>
      <c r="BE68" t="n">
        <v>0</v>
      </c>
      <c r="BF68" t="n">
        <v>0</v>
      </c>
      <c r="BG68" t="n">
        <v>1259989.40784828</v>
      </c>
      <c r="BH68" t="n">
        <v>0</v>
      </c>
      <c r="BI68" t="n">
        <v>2209476561.08141</v>
      </c>
      <c r="BJ68" t="n">
        <v>5525223.82225361</v>
      </c>
      <c r="BK68" t="n">
        <v>0</v>
      </c>
      <c r="BL68" t="n">
        <v>0</v>
      </c>
      <c r="BM68" t="n">
        <v>0</v>
      </c>
      <c r="BN68" t="n">
        <v>5448602.84474932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196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863316.179273539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1143756.46680826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681854.816751076</v>
      </c>
      <c r="BB69" t="n">
        <v>120974.241681642</v>
      </c>
      <c r="BC69" t="n">
        <v>0</v>
      </c>
      <c r="BD69" t="n">
        <v>0</v>
      </c>
      <c r="BE69" t="n">
        <v>0</v>
      </c>
      <c r="BF69" t="n">
        <v>0</v>
      </c>
      <c r="BG69" t="n">
        <v>1259231.87932255</v>
      </c>
      <c r="BH69" t="n">
        <v>0</v>
      </c>
      <c r="BI69" t="n">
        <v>10447775.41796</v>
      </c>
      <c r="BJ69" t="n">
        <v>1348373398.95442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s">
        <v>197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1464087.70968408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3316218.17819499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2571080.85603057</v>
      </c>
      <c r="AY70" t="n">
        <v>3854240.65362361</v>
      </c>
      <c r="AZ70" t="n">
        <v>0</v>
      </c>
      <c r="BA70" t="n">
        <v>338049.519959576</v>
      </c>
      <c r="BB70" t="n">
        <v>20649588.2826011</v>
      </c>
      <c r="BC70" t="n">
        <v>0</v>
      </c>
      <c r="BD70" t="n">
        <v>0</v>
      </c>
      <c r="BE70" t="n">
        <v>0</v>
      </c>
      <c r="BF70" t="n">
        <v>745137.322164417</v>
      </c>
      <c r="BG70" t="n">
        <v>0</v>
      </c>
      <c r="BH70" t="n">
        <v>0</v>
      </c>
      <c r="BI70" t="n">
        <v>0</v>
      </c>
      <c r="BJ70" t="n">
        <v>0</v>
      </c>
      <c r="BK70" t="n">
        <v>484477335.971361</v>
      </c>
      <c r="BL70" t="n">
        <v>5137400.45121665</v>
      </c>
      <c r="BM70" t="n">
        <v>19045.0433780043</v>
      </c>
      <c r="BN70" t="n">
        <v>10719978.7913941</v>
      </c>
      <c r="BO70" t="n">
        <v>880833.256232697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198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2336476.65283054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368917.366236401</v>
      </c>
      <c r="AD71" t="n">
        <v>0</v>
      </c>
      <c r="AE71" t="n">
        <v>0</v>
      </c>
      <c r="AF71" t="n">
        <v>11239682.424669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262341.238212552</v>
      </c>
      <c r="AY71" t="n">
        <v>1008374.1343795</v>
      </c>
      <c r="AZ71" t="n">
        <v>0</v>
      </c>
      <c r="BA71" t="n">
        <v>262341.238212552</v>
      </c>
      <c r="BB71" t="n">
        <v>340223.793306903</v>
      </c>
      <c r="BC71" t="n">
        <v>0</v>
      </c>
      <c r="BD71" t="n">
        <v>0</v>
      </c>
      <c r="BE71" t="n">
        <v>0</v>
      </c>
      <c r="BF71" t="n">
        <v>12375128.0963077</v>
      </c>
      <c r="BG71" t="n">
        <v>0</v>
      </c>
      <c r="BH71" t="n">
        <v>0</v>
      </c>
      <c r="BI71" t="n">
        <v>0</v>
      </c>
      <c r="BJ71" t="n">
        <v>2570124.31811359</v>
      </c>
      <c r="BK71" t="n">
        <v>57387.1458589957</v>
      </c>
      <c r="BL71" t="n">
        <v>616128893.351413</v>
      </c>
      <c r="BM71" t="n">
        <v>836212.696802509</v>
      </c>
      <c r="BN71" t="n">
        <v>43729005.1445547</v>
      </c>
      <c r="BO71" t="n">
        <v>14850973.5319387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</row>
    <row r="72">
      <c r="A72" t="s">
        <v>199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5201192.64501362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28640.9286619693</v>
      </c>
      <c r="AD72" t="n">
        <v>810538.281133731</v>
      </c>
      <c r="AE72" t="n">
        <v>1194326.72520412</v>
      </c>
      <c r="AF72" t="n">
        <v>2079331.42085897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452526.672859115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3219240.38160535</v>
      </c>
      <c r="AY72" t="n">
        <v>3030210.25243635</v>
      </c>
      <c r="AZ72" t="n">
        <v>0</v>
      </c>
      <c r="BA72" t="n">
        <v>154661.014774634</v>
      </c>
      <c r="BB72" t="n">
        <v>11456.3714647877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3030210.25243635</v>
      </c>
      <c r="BL72" t="n">
        <v>95082154.9720057</v>
      </c>
      <c r="BM72" t="n">
        <v>620382563.468318</v>
      </c>
      <c r="BN72" t="n">
        <v>137235873.776692</v>
      </c>
      <c r="BO72" t="n">
        <v>5865662.18997131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</row>
    <row r="73">
      <c r="A73" t="s">
        <v>200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4218571.4693726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170346.116340461</v>
      </c>
      <c r="AC73" t="n">
        <v>0</v>
      </c>
      <c r="AD73" t="n">
        <v>2981057.03595807</v>
      </c>
      <c r="AE73" t="n">
        <v>0</v>
      </c>
      <c r="AF73" t="n">
        <v>8016287.82778641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15030.5396770995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6693600.33620166</v>
      </c>
      <c r="BM73" t="n">
        <v>90183.2380625972</v>
      </c>
      <c r="BN73" t="n">
        <v>4532118547.39668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40081.4391389321</v>
      </c>
      <c r="BV73" t="n">
        <v>0</v>
      </c>
    </row>
    <row r="74">
      <c r="A74" t="s">
        <v>201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2906932.72562905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2971531.23064303</v>
      </c>
      <c r="AC74" t="n">
        <v>11199031.732878</v>
      </c>
      <c r="AD74" t="n">
        <v>0</v>
      </c>
      <c r="AE74" t="n">
        <v>857398.339276447</v>
      </c>
      <c r="AF74" t="n">
        <v>27184225.4281553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4439679.07186982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8409550.83454707</v>
      </c>
      <c r="AY74" t="n">
        <v>2331418.77186815</v>
      </c>
      <c r="AZ74" t="n">
        <v>0</v>
      </c>
      <c r="BA74" t="n">
        <v>6612537.87688547</v>
      </c>
      <c r="BB74" t="n">
        <v>6624283.05961529</v>
      </c>
      <c r="BC74" t="n">
        <v>0</v>
      </c>
      <c r="BD74" t="n">
        <v>0</v>
      </c>
      <c r="BE74" t="n">
        <v>0</v>
      </c>
      <c r="BF74" t="n">
        <v>58725.9136490717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19567474.4278707</v>
      </c>
      <c r="BO74" t="n">
        <v>4468419534.00968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</row>
    <row r="75">
      <c r="A75" t="s">
        <v>202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9622.17078676501</v>
      </c>
      <c r="I75" t="n">
        <v>0</v>
      </c>
      <c r="J75" t="n">
        <v>0</v>
      </c>
      <c r="K75" t="n">
        <v>0</v>
      </c>
      <c r="L75" t="n">
        <v>0</v>
      </c>
      <c r="M75" t="n">
        <v>3618.53237075382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1758.83861995344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141125.17153922</v>
      </c>
      <c r="AQ75" t="n">
        <v>0</v>
      </c>
      <c r="AR75" t="n">
        <v>48110.853933825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5933671.98517175</v>
      </c>
      <c r="BB75" t="n">
        <v>74895770.0139166</v>
      </c>
      <c r="BC75" t="n">
        <v>0</v>
      </c>
      <c r="BD75" t="n">
        <v>0</v>
      </c>
      <c r="BE75" t="n">
        <v>0</v>
      </c>
      <c r="BF75" t="n">
        <v>782603.223990221</v>
      </c>
      <c r="BG75" t="n">
        <v>0</v>
      </c>
      <c r="BH75" t="n">
        <v>4984284.46754428</v>
      </c>
      <c r="BI75" t="n">
        <v>0</v>
      </c>
      <c r="BJ75" t="n">
        <v>0</v>
      </c>
      <c r="BK75" t="n">
        <v>70562.5857696101</v>
      </c>
      <c r="BL75" t="n">
        <v>0</v>
      </c>
      <c r="BM75" t="n">
        <v>0</v>
      </c>
      <c r="BN75" t="n">
        <v>0</v>
      </c>
      <c r="BO75" t="n">
        <v>0</v>
      </c>
      <c r="BP75" t="n">
        <v>2165809518.92926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</row>
    <row r="76">
      <c r="A76" t="s">
        <v>203</v>
      </c>
      <c r="B76" t="n">
        <v>0</v>
      </c>
      <c r="C76" t="n">
        <v>212387.091763365</v>
      </c>
      <c r="D76" t="n">
        <v>0</v>
      </c>
      <c r="E76" t="n">
        <v>0</v>
      </c>
      <c r="F76" t="n">
        <v>0</v>
      </c>
      <c r="G76" t="n">
        <v>173195.606052805</v>
      </c>
      <c r="H76" t="n">
        <v>1620933.23613523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47298.371217957</v>
      </c>
      <c r="T76" t="n">
        <v>0</v>
      </c>
      <c r="U76" t="n">
        <v>0</v>
      </c>
      <c r="V76" t="n">
        <v>0</v>
      </c>
      <c r="W76" t="n">
        <v>0</v>
      </c>
      <c r="X76" t="n">
        <v>26645.4778542777</v>
      </c>
      <c r="Y76" t="n">
        <v>0</v>
      </c>
      <c r="Z76" t="n">
        <v>21166.8433577798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512380.981553549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266454.778542777</v>
      </c>
      <c r="AW76" t="n">
        <v>0</v>
      </c>
      <c r="AX76" t="n">
        <v>0</v>
      </c>
      <c r="AY76" t="n">
        <v>0</v>
      </c>
      <c r="AZ76" t="n">
        <v>0</v>
      </c>
      <c r="BA76" t="n">
        <v>9037257.90557585</v>
      </c>
      <c r="BB76" t="n">
        <v>91052038.7410426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4445353.88868866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1829593973.21208</v>
      </c>
      <c r="BR76" t="n">
        <v>1487705.84686384</v>
      </c>
      <c r="BS76" t="n">
        <v>0</v>
      </c>
      <c r="BT76" t="n">
        <v>0</v>
      </c>
      <c r="BU76" t="n">
        <v>0</v>
      </c>
      <c r="BV76" t="n">
        <v>19340176.0092299</v>
      </c>
    </row>
    <row r="77">
      <c r="A77" t="s">
        <v>204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75415041.7601235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12104150.8077946</v>
      </c>
      <c r="AF77" t="n">
        <v>260304.318447196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73210.5895632738</v>
      </c>
      <c r="AQ77" t="n">
        <v>0</v>
      </c>
      <c r="AR77" t="n">
        <v>0</v>
      </c>
      <c r="AS77" t="n">
        <v>0</v>
      </c>
      <c r="AT77" t="n">
        <v>0</v>
      </c>
      <c r="AU77" t="n">
        <v>11050731.7690786</v>
      </c>
      <c r="AV77" t="n">
        <v>0</v>
      </c>
      <c r="AW77" t="n">
        <v>0</v>
      </c>
      <c r="AX77" t="n">
        <v>3420561.43459518</v>
      </c>
      <c r="AY77" t="n">
        <v>0</v>
      </c>
      <c r="AZ77" t="n">
        <v>0</v>
      </c>
      <c r="BA77" t="n">
        <v>2379344.1608064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6206631.09297533</v>
      </c>
      <c r="BO77" t="n">
        <v>0</v>
      </c>
      <c r="BP77" t="n">
        <v>0</v>
      </c>
      <c r="BQ77" t="n">
        <v>0</v>
      </c>
      <c r="BR77" t="n">
        <v>291353742.931975</v>
      </c>
      <c r="BS77" t="n">
        <v>0</v>
      </c>
      <c r="BT77" t="n">
        <v>0</v>
      </c>
      <c r="BU77" t="n">
        <v>0</v>
      </c>
      <c r="BV77" t="n">
        <v>0</v>
      </c>
    </row>
    <row r="78">
      <c r="A78" t="s">
        <v>205</v>
      </c>
      <c r="B78" t="n">
        <v>5902386.82835719</v>
      </c>
      <c r="C78" t="n">
        <v>20082193.0353977</v>
      </c>
      <c r="D78" t="n">
        <v>0</v>
      </c>
      <c r="E78" t="n">
        <v>5783045.54368975</v>
      </c>
      <c r="F78" t="n">
        <v>0</v>
      </c>
      <c r="G78" t="n">
        <v>10012986.2831433</v>
      </c>
      <c r="H78" t="n">
        <v>172053259.283786</v>
      </c>
      <c r="I78" t="n">
        <v>1303015.17722223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2567431.68190282</v>
      </c>
      <c r="T78" t="n">
        <v>18619096.6254165</v>
      </c>
      <c r="U78" t="n">
        <v>0</v>
      </c>
      <c r="V78" t="n">
        <v>5067744.01122299</v>
      </c>
      <c r="W78" t="n">
        <v>8163723.75735614</v>
      </c>
      <c r="X78" t="n">
        <v>14366122.4046951</v>
      </c>
      <c r="Y78" t="n">
        <v>0</v>
      </c>
      <c r="Z78" t="n">
        <v>814038.132563986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3537297.83402869</v>
      </c>
      <c r="AP78" t="n">
        <v>7732.03573987896</v>
      </c>
      <c r="AQ78" t="n">
        <v>0</v>
      </c>
      <c r="AR78" t="n">
        <v>19693495.0294717</v>
      </c>
      <c r="AS78" t="n">
        <v>0</v>
      </c>
      <c r="AT78" t="n">
        <v>0</v>
      </c>
      <c r="AU78" t="n">
        <v>0</v>
      </c>
      <c r="AV78" t="n">
        <v>257399469.78057</v>
      </c>
      <c r="AW78" t="n">
        <v>0</v>
      </c>
      <c r="AX78" t="n">
        <v>0</v>
      </c>
      <c r="AY78" t="n">
        <v>0</v>
      </c>
      <c r="AZ78" t="n">
        <v>0</v>
      </c>
      <c r="BA78" t="n">
        <v>38180792.4835223</v>
      </c>
      <c r="BB78" t="n">
        <v>458610235.83944</v>
      </c>
      <c r="BC78" t="n">
        <v>0</v>
      </c>
      <c r="BD78" t="n">
        <v>75108995.1771842</v>
      </c>
      <c r="BE78" t="n">
        <v>81486858.7724219</v>
      </c>
      <c r="BF78" t="n">
        <v>784244921.024443</v>
      </c>
      <c r="BG78" t="n">
        <v>284229633.79795</v>
      </c>
      <c r="BH78" t="n">
        <v>1782528055.40022</v>
      </c>
      <c r="BI78" t="n">
        <v>0</v>
      </c>
      <c r="BJ78" t="n">
        <v>30912678.8880361</v>
      </c>
      <c r="BK78" t="n">
        <v>26397170.0159467</v>
      </c>
      <c r="BL78" t="n">
        <v>21912589.286817</v>
      </c>
      <c r="BM78" t="n">
        <v>87433860.1465512</v>
      </c>
      <c r="BN78" t="n">
        <v>156929397.376583</v>
      </c>
      <c r="BO78" t="n">
        <v>9525868.03153087</v>
      </c>
      <c r="BP78" t="n">
        <v>0</v>
      </c>
      <c r="BQ78" t="n">
        <v>0</v>
      </c>
      <c r="BR78" t="n">
        <v>0</v>
      </c>
      <c r="BS78" t="n">
        <v>14882730640.6194</v>
      </c>
      <c r="BT78" t="n">
        <v>0</v>
      </c>
      <c r="BU78" t="n">
        <v>34399827.0067215</v>
      </c>
      <c r="BV78" t="n">
        <v>0</v>
      </c>
    </row>
    <row r="79">
      <c r="A79" t="s">
        <v>206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677392125.457688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26483040.9446012</v>
      </c>
      <c r="AE79" t="n">
        <v>0</v>
      </c>
      <c r="AF79" t="n">
        <v>0</v>
      </c>
      <c r="AG79" t="n">
        <v>0</v>
      </c>
      <c r="AH79" t="n">
        <v>605851.196652922</v>
      </c>
      <c r="AI79" t="n">
        <v>2111299.62469958</v>
      </c>
      <c r="AJ79" t="n">
        <v>0</v>
      </c>
      <c r="AK79" t="n">
        <v>79761227.9957157</v>
      </c>
      <c r="AL79" t="n">
        <v>0</v>
      </c>
      <c r="AM79" t="n">
        <v>72885734.8700636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96385.4176493285</v>
      </c>
      <c r="AT79" t="n">
        <v>0</v>
      </c>
      <c r="AU79" t="n">
        <v>2001144.86167177</v>
      </c>
      <c r="AV79" t="n">
        <v>0</v>
      </c>
      <c r="AW79" t="n">
        <v>39155428.4745915</v>
      </c>
      <c r="AX79" t="n">
        <v>132786977.048225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454388.397489691</v>
      </c>
      <c r="BL79" t="n">
        <v>200348565.038611</v>
      </c>
      <c r="BM79" t="n">
        <v>0</v>
      </c>
      <c r="BN79" t="n">
        <v>0</v>
      </c>
      <c r="BO79" t="n">
        <v>15219716.4250083</v>
      </c>
      <c r="BP79" t="n">
        <v>0</v>
      </c>
      <c r="BQ79" t="n">
        <v>0</v>
      </c>
      <c r="BR79" t="n">
        <v>0</v>
      </c>
      <c r="BS79" t="n">
        <v>0</v>
      </c>
      <c r="BT79" t="n">
        <v>505826082.041883</v>
      </c>
      <c r="BU79" t="n">
        <v>0</v>
      </c>
      <c r="BV7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215</v>
      </c>
    </row>
    <row r="2">
      <c r="A2" t="s">
        <v>216</v>
      </c>
    </row>
    <row r="3">
      <c r="A3" t="s">
        <v>217</v>
      </c>
    </row>
    <row r="4">
      <c r="A4" t="s">
        <v>91</v>
      </c>
    </row>
    <row r="5">
      <c r="A5" t="s">
        <v>1</v>
      </c>
    </row>
    <row r="6">
      <c r="A6" t="s">
        <v>218</v>
      </c>
    </row>
    <row r="7">
      <c r="A7" t="s">
        <v>1</v>
      </c>
    </row>
    <row r="9">
      <c r="A9" t="s">
        <v>219</v>
      </c>
      <c r="B9" t="s">
        <v>220</v>
      </c>
      <c r="C9" t="s">
        <v>221</v>
      </c>
      <c r="D9" t="s">
        <v>222</v>
      </c>
      <c r="E9" t="s">
        <v>223</v>
      </c>
    </row>
    <row r="10">
      <c r="A10" t="s">
        <v>224</v>
      </c>
      <c r="B10" t="n">
        <v>12031000</v>
      </c>
      <c r="C10" t="s">
        <v>225</v>
      </c>
      <c r="D10" t="n">
        <v>600000000</v>
      </c>
      <c r="E10" t="s">
        <v>226</v>
      </c>
    </row>
    <row r="11">
      <c r="A11" t="s">
        <v>227</v>
      </c>
      <c r="B11" t="n">
        <v>1000000</v>
      </c>
      <c r="C11" t="s">
        <v>225</v>
      </c>
      <c r="D11" t="n">
        <v>40000000</v>
      </c>
      <c r="E11" t="s">
        <v>228</v>
      </c>
    </row>
    <row r="12">
      <c r="A12" t="s">
        <v>229</v>
      </c>
      <c r="B12" t="n">
        <v>4220000</v>
      </c>
      <c r="C12" t="s">
        <v>225</v>
      </c>
      <c r="D12" t="n">
        <v>125000000</v>
      </c>
      <c r="E12" t="s">
        <v>230</v>
      </c>
    </row>
    <row r="13">
      <c r="A13" t="s">
        <v>231</v>
      </c>
      <c r="B13" t="n">
        <v>0</v>
      </c>
      <c r="C13" t="s">
        <v>225</v>
      </c>
      <c r="D13" t="n">
        <v>0</v>
      </c>
      <c r="E13"/>
    </row>
    <row r="14">
      <c r="A14" t="s">
        <v>232</v>
      </c>
      <c r="B14" t="n">
        <v>0</v>
      </c>
      <c r="C14" t="s">
        <v>225</v>
      </c>
      <c r="D14" t="n">
        <v>0</v>
      </c>
      <c r="E14"/>
    </row>
    <row r="15">
      <c r="A15" t="s">
        <v>233</v>
      </c>
      <c r="B15" t="n">
        <v>10710000</v>
      </c>
      <c r="C15" t="s">
        <v>225</v>
      </c>
      <c r="D15" t="n">
        <v>330000000</v>
      </c>
      <c r="E15" t="s">
        <v>234</v>
      </c>
    </row>
    <row r="16">
      <c r="A16" t="s">
        <v>235</v>
      </c>
      <c r="B16" t="n">
        <v>0</v>
      </c>
      <c r="C16" t="s">
        <v>225</v>
      </c>
      <c r="D16" t="n">
        <v>0</v>
      </c>
      <c r="E16"/>
    </row>
    <row r="17">
      <c r="A17" t="s">
        <v>236</v>
      </c>
      <c r="B17" t="n">
        <v>0</v>
      </c>
      <c r="C17" t="s">
        <v>225</v>
      </c>
      <c r="D17" t="n">
        <v>0</v>
      </c>
      <c r="E17"/>
    </row>
    <row r="18">
      <c r="A18" t="s">
        <v>237</v>
      </c>
      <c r="B18" t="n">
        <v>0</v>
      </c>
      <c r="C18" t="s">
        <v>225</v>
      </c>
      <c r="D18" t="n">
        <v>0</v>
      </c>
      <c r="E18"/>
    </row>
    <row r="19">
      <c r="A19" t="s">
        <v>238</v>
      </c>
      <c r="B19" t="n">
        <v>0</v>
      </c>
      <c r="C19" t="s">
        <v>225</v>
      </c>
      <c r="D19" t="n">
        <v>0</v>
      </c>
      <c r="E19"/>
    </row>
    <row r="20">
      <c r="A20" t="s">
        <v>239</v>
      </c>
      <c r="B20" t="n">
        <v>0</v>
      </c>
      <c r="C20" t="s">
        <v>225</v>
      </c>
      <c r="D20" t="n">
        <v>0</v>
      </c>
      <c r="E20"/>
    </row>
    <row r="21">
      <c r="A21" t="s">
        <v>240</v>
      </c>
      <c r="B21" t="n">
        <v>0</v>
      </c>
      <c r="C21" t="s">
        <v>225</v>
      </c>
      <c r="D21" t="n">
        <v>0</v>
      </c>
      <c r="E21"/>
    </row>
    <row r="22">
      <c r="A22" t="s">
        <v>241</v>
      </c>
      <c r="B22" t="n">
        <v>0</v>
      </c>
      <c r="C22" t="s">
        <v>225</v>
      </c>
      <c r="D22" t="n">
        <v>0</v>
      </c>
      <c r="E22"/>
    </row>
    <row r="23">
      <c r="A23" t="s">
        <v>242</v>
      </c>
      <c r="B23" t="n">
        <v>45919000</v>
      </c>
      <c r="C23" t="s">
        <v>225</v>
      </c>
      <c r="D23" t="n">
        <v>1950000000</v>
      </c>
      <c r="E23" t="s">
        <v>243</v>
      </c>
    </row>
    <row r="24">
      <c r="A24" t="s">
        <v>244</v>
      </c>
      <c r="B24" t="n">
        <v>28820000</v>
      </c>
      <c r="C24" t="s">
        <v>225</v>
      </c>
      <c r="D24" t="n">
        <v>1210000000</v>
      </c>
      <c r="E24" t="s">
        <v>243</v>
      </c>
    </row>
    <row r="25">
      <c r="A25" t="s">
        <v>245</v>
      </c>
      <c r="B25" t="n">
        <v>0</v>
      </c>
      <c r="C25" t="s">
        <v>225</v>
      </c>
      <c r="D25" t="n">
        <v>0</v>
      </c>
      <c r="E25"/>
    </row>
    <row r="26">
      <c r="A26" t="s">
        <v>246</v>
      </c>
      <c r="B26" t="n">
        <v>0</v>
      </c>
      <c r="C26" t="s">
        <v>225</v>
      </c>
      <c r="D26" t="n">
        <v>0</v>
      </c>
      <c r="E26"/>
    </row>
    <row r="27">
      <c r="A27" t="s">
        <v>247</v>
      </c>
      <c r="B27" t="n">
        <v>36140000</v>
      </c>
      <c r="C27" t="s">
        <v>225</v>
      </c>
      <c r="D27" t="n">
        <v>1730000000</v>
      </c>
      <c r="E27" t="s">
        <v>248</v>
      </c>
    </row>
    <row r="28">
      <c r="A28" t="s">
        <v>249</v>
      </c>
      <c r="B28" t="n">
        <v>2720000</v>
      </c>
      <c r="C28" t="s">
        <v>225</v>
      </c>
      <c r="D28" t="n">
        <v>60000000</v>
      </c>
      <c r="E28" t="s">
        <v>250</v>
      </c>
    </row>
    <row r="29">
      <c r="A29" t="s">
        <v>251</v>
      </c>
      <c r="B29" t="n">
        <v>0</v>
      </c>
      <c r="C29" t="s">
        <v>225</v>
      </c>
      <c r="D29" t="n">
        <v>0</v>
      </c>
      <c r="E29"/>
    </row>
    <row r="30">
      <c r="A30" t="s">
        <v>252</v>
      </c>
      <c r="B30" t="n">
        <v>1320000</v>
      </c>
      <c r="C30" t="s">
        <v>225</v>
      </c>
      <c r="D30" t="n">
        <v>70000000</v>
      </c>
      <c r="E30" t="s">
        <v>253</v>
      </c>
    </row>
    <row r="31">
      <c r="A31" t="s">
        <v>254</v>
      </c>
      <c r="B31" t="n">
        <v>0</v>
      </c>
      <c r="C31" t="s">
        <v>225</v>
      </c>
      <c r="D31" t="n">
        <v>0</v>
      </c>
      <c r="E31"/>
    </row>
    <row r="32">
      <c r="A32" t="s">
        <v>255</v>
      </c>
      <c r="B32" t="n">
        <v>0</v>
      </c>
      <c r="C32" t="s">
        <v>225</v>
      </c>
      <c r="D32" t="n">
        <v>0</v>
      </c>
      <c r="E32"/>
    </row>
    <row r="33">
      <c r="A33" t="s">
        <v>256</v>
      </c>
      <c r="B33" t="n">
        <v>0</v>
      </c>
      <c r="C33" t="s">
        <v>225</v>
      </c>
      <c r="D33" t="n">
        <v>0</v>
      </c>
      <c r="E33"/>
    </row>
    <row r="34">
      <c r="A34" t="s">
        <v>257</v>
      </c>
      <c r="B34" t="n">
        <v>2800000</v>
      </c>
      <c r="C34" t="s">
        <v>225</v>
      </c>
      <c r="D34" t="n">
        <v>65000000</v>
      </c>
      <c r="E34" t="s">
        <v>258</v>
      </c>
    </row>
    <row r="35">
      <c r="A35" t="s">
        <v>259</v>
      </c>
      <c r="B35" t="n">
        <v>264000</v>
      </c>
      <c r="C35" t="s">
        <v>225</v>
      </c>
      <c r="D35" t="n">
        <v>12000000</v>
      </c>
      <c r="E35"/>
    </row>
    <row r="36">
      <c r="A36" t="s">
        <v>260</v>
      </c>
      <c r="B36" t="n">
        <v>38660000</v>
      </c>
      <c r="C36" t="s">
        <v>225</v>
      </c>
      <c r="D36" t="n">
        <v>590000000</v>
      </c>
      <c r="E36" t="s">
        <v>261</v>
      </c>
    </row>
    <row r="37">
      <c r="A37" t="s">
        <v>262</v>
      </c>
      <c r="B37" t="n">
        <v>0</v>
      </c>
      <c r="C37" t="s">
        <v>225</v>
      </c>
      <c r="D37" t="n">
        <v>0</v>
      </c>
      <c r="E37"/>
    </row>
    <row r="38">
      <c r="A38" t="s">
        <v>263</v>
      </c>
      <c r="B38" t="n">
        <v>0</v>
      </c>
      <c r="C38" t="s">
        <v>225</v>
      </c>
      <c r="D38" t="n">
        <v>0</v>
      </c>
      <c r="E38"/>
    </row>
    <row r="39">
      <c r="A39" t="s">
        <v>264</v>
      </c>
      <c r="B39" t="n">
        <v>0</v>
      </c>
      <c r="C39" t="s">
        <v>225</v>
      </c>
      <c r="D39" t="n">
        <v>0</v>
      </c>
      <c r="E39"/>
    </row>
    <row r="40">
      <c r="A40" t="s">
        <v>265</v>
      </c>
      <c r="B40" t="n">
        <v>0</v>
      </c>
      <c r="C40" t="s">
        <v>225</v>
      </c>
      <c r="D40" t="n">
        <v>0</v>
      </c>
      <c r="E40"/>
    </row>
    <row r="41">
      <c r="A41" t="s">
        <v>266</v>
      </c>
      <c r="B41" t="n">
        <v>10720000</v>
      </c>
      <c r="C41" t="s">
        <v>225</v>
      </c>
      <c r="D41" t="n">
        <v>260000000</v>
      </c>
      <c r="E41" t="s">
        <v>267</v>
      </c>
    </row>
    <row r="42">
      <c r="A42" t="s">
        <v>268</v>
      </c>
      <c r="B42" t="n">
        <v>0</v>
      </c>
      <c r="C42" t="s">
        <v>225</v>
      </c>
      <c r="D42" t="n">
        <v>0</v>
      </c>
      <c r="E42"/>
    </row>
    <row r="43">
      <c r="A43" t="s">
        <v>269</v>
      </c>
      <c r="B43" t="n">
        <v>0</v>
      </c>
      <c r="C43" t="s">
        <v>225</v>
      </c>
      <c r="D43" t="n">
        <v>0</v>
      </c>
      <c r="E43"/>
    </row>
    <row r="44">
      <c r="A44" t="s">
        <v>270</v>
      </c>
      <c r="B44" t="n">
        <v>27870000</v>
      </c>
      <c r="C44" t="s">
        <v>225</v>
      </c>
      <c r="D44" t="n">
        <v>560000000</v>
      </c>
      <c r="E44" t="s">
        <v>271</v>
      </c>
    </row>
    <row r="45">
      <c r="A45" t="s">
        <v>272</v>
      </c>
      <c r="B45" t="n">
        <v>8220000</v>
      </c>
      <c r="C45" t="s">
        <v>225</v>
      </c>
      <c r="D45" t="n">
        <v>430000000</v>
      </c>
      <c r="E45" t="s">
        <v>273</v>
      </c>
    </row>
    <row r="46">
      <c r="A46" t="s">
        <v>274</v>
      </c>
      <c r="B46" t="n">
        <v>930000</v>
      </c>
      <c r="C46" t="s">
        <v>225</v>
      </c>
      <c r="D46" t="n">
        <v>40000000</v>
      </c>
      <c r="E46"/>
    </row>
    <row r="47">
      <c r="A47" t="s">
        <v>275</v>
      </c>
      <c r="B47" t="n">
        <v>0</v>
      </c>
      <c r="C47" t="s">
        <v>225</v>
      </c>
      <c r="D47" t="n">
        <v>0</v>
      </c>
      <c r="E47"/>
    </row>
    <row r="48">
      <c r="A48" t="s">
        <v>276</v>
      </c>
      <c r="B48" t="n">
        <v>50110000</v>
      </c>
      <c r="C48" t="s">
        <v>225</v>
      </c>
      <c r="D48" t="n">
        <v>3000000000</v>
      </c>
      <c r="E48" t="s">
        <v>277</v>
      </c>
    </row>
    <row r="49">
      <c r="A49" t="s">
        <v>278</v>
      </c>
      <c r="B49" t="n">
        <v>0</v>
      </c>
      <c r="C49" t="s">
        <v>225</v>
      </c>
      <c r="D49" t="n">
        <v>0</v>
      </c>
      <c r="E49"/>
    </row>
    <row r="50">
      <c r="A50" t="s">
        <v>279</v>
      </c>
      <c r="B50" t="n">
        <v>0</v>
      </c>
      <c r="C50" t="s">
        <v>225</v>
      </c>
      <c r="D50" t="n">
        <v>0</v>
      </c>
      <c r="E50"/>
    </row>
    <row r="51">
      <c r="A51" t="s">
        <v>280</v>
      </c>
      <c r="B51" t="n">
        <v>0</v>
      </c>
      <c r="C51" t="s">
        <v>225</v>
      </c>
      <c r="D51" t="n">
        <v>0</v>
      </c>
      <c r="E51"/>
    </row>
    <row r="52">
      <c r="A52" t="s">
        <v>281</v>
      </c>
      <c r="B52" t="n">
        <v>400000</v>
      </c>
      <c r="C52" t="s">
        <v>225</v>
      </c>
      <c r="D52" t="n">
        <v>22000000</v>
      </c>
      <c r="E52" t="s">
        <v>282</v>
      </c>
    </row>
    <row r="53">
      <c r="A53" t="s">
        <v>283</v>
      </c>
      <c r="B53" t="n">
        <v>22820000</v>
      </c>
      <c r="C53" t="s">
        <v>225</v>
      </c>
      <c r="D53" t="n">
        <v>500000000</v>
      </c>
      <c r="E53" t="s">
        <v>250</v>
      </c>
    </row>
    <row r="54">
      <c r="A54" t="s">
        <v>284</v>
      </c>
      <c r="B54" t="n">
        <v>12810000</v>
      </c>
      <c r="C54" t="s">
        <v>225</v>
      </c>
      <c r="D54" t="n">
        <v>380000000</v>
      </c>
      <c r="E54" t="s">
        <v>285</v>
      </c>
    </row>
    <row r="55">
      <c r="A55" t="s">
        <v>286</v>
      </c>
      <c r="B55" t="n">
        <v>0</v>
      </c>
      <c r="C55" t="s">
        <v>225</v>
      </c>
      <c r="D55" t="n">
        <v>0</v>
      </c>
      <c r="E55"/>
    </row>
    <row r="56">
      <c r="A56" t="s">
        <v>287</v>
      </c>
      <c r="B56" t="n">
        <v>11480000</v>
      </c>
      <c r="C56" t="s">
        <v>225</v>
      </c>
      <c r="D56" t="n">
        <v>620000000</v>
      </c>
      <c r="E56" t="s">
        <v>288</v>
      </c>
    </row>
    <row r="57">
      <c r="A57" t="s">
        <v>289</v>
      </c>
      <c r="B57" t="n">
        <v>3050000</v>
      </c>
      <c r="C57" t="s">
        <v>225</v>
      </c>
      <c r="D57" t="n">
        <v>90000000</v>
      </c>
      <c r="E57" t="s">
        <v>290</v>
      </c>
    </row>
    <row r="58">
      <c r="A58" t="s">
        <v>291</v>
      </c>
      <c r="B58" t="n">
        <v>93320000</v>
      </c>
      <c r="C58" t="s">
        <v>225</v>
      </c>
      <c r="D58" t="n">
        <v>5050000000</v>
      </c>
      <c r="E58" t="s">
        <v>292</v>
      </c>
    </row>
    <row r="59">
      <c r="A59" t="s">
        <v>293</v>
      </c>
      <c r="B59" t="n">
        <v>0</v>
      </c>
      <c r="C59" t="s">
        <v>225</v>
      </c>
      <c r="D59" t="n">
        <v>0</v>
      </c>
      <c r="E59"/>
    </row>
    <row r="60">
      <c r="A60" t="s">
        <v>294</v>
      </c>
      <c r="B60" t="n">
        <v>276040000</v>
      </c>
      <c r="C60" t="s">
        <v>225</v>
      </c>
      <c r="D60" t="n">
        <v>3690000000</v>
      </c>
      <c r="E60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296</v>
      </c>
    </row>
    <row r="2">
      <c r="A2" t="s">
        <v>297</v>
      </c>
    </row>
    <row r="3">
      <c r="A3" t="s">
        <v>298</v>
      </c>
    </row>
    <row r="4">
      <c r="A4" t="s">
        <v>1</v>
      </c>
    </row>
    <row r="5">
      <c r="A5" t="s">
        <v>299</v>
      </c>
    </row>
    <row r="6">
      <c r="A6" t="s">
        <v>300</v>
      </c>
    </row>
    <row r="7">
      <c r="A7" t="s">
        <v>301</v>
      </c>
    </row>
    <row r="8">
      <c r="A8" t="s">
        <v>302</v>
      </c>
    </row>
    <row r="9">
      <c r="A9" t="s">
        <v>303</v>
      </c>
    </row>
    <row r="10">
      <c r="A10" t="s">
        <v>304</v>
      </c>
    </row>
    <row r="11">
      <c r="A11" t="s">
        <v>305</v>
      </c>
    </row>
    <row r="12">
      <c r="A12" t="s">
        <v>306</v>
      </c>
    </row>
    <row r="13">
      <c r="A13" t="s">
        <v>1</v>
      </c>
    </row>
    <row r="14">
      <c r="A14" t="s">
        <v>307</v>
      </c>
    </row>
    <row r="15">
      <c r="A15" t="s">
        <v>1</v>
      </c>
    </row>
    <row r="17">
      <c r="A17" t="s">
        <v>308</v>
      </c>
    </row>
    <row r="18">
      <c r="A18" t="s">
        <v>309</v>
      </c>
    </row>
    <row r="20">
      <c r="A20" t="s">
        <v>310</v>
      </c>
    </row>
    <row r="21">
      <c r="A21" t="s">
        <v>311</v>
      </c>
    </row>
    <row r="23">
      <c r="A23" t="s">
        <v>312</v>
      </c>
    </row>
    <row r="25">
      <c r="A25" t="s">
        <v>219</v>
      </c>
      <c r="B25" t="s">
        <v>313</v>
      </c>
      <c r="C25" t="s">
        <v>314</v>
      </c>
      <c r="D25" t="s">
        <v>315</v>
      </c>
      <c r="E25" t="s">
        <v>316</v>
      </c>
    </row>
    <row r="26">
      <c r="A26" t="s">
        <v>227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224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231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229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232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233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235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237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236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238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239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240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245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241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242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244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246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247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249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254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252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251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255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256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259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257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260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269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270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262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264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265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266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263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268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272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274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275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276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278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279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280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281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283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284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287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286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289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293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291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294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317</v>
      </c>
    </row>
    <row r="2">
      <c r="A2" t="s">
        <v>1</v>
      </c>
    </row>
    <row r="3">
      <c r="A3" t="s">
        <v>318</v>
      </c>
    </row>
    <row r="4">
      <c r="A4" t="s">
        <v>319</v>
      </c>
    </row>
    <row r="5">
      <c r="A5" t="s">
        <v>320</v>
      </c>
    </row>
    <row r="6">
      <c r="A6" t="s">
        <v>1</v>
      </c>
    </row>
    <row r="8">
      <c r="A8" t="s">
        <v>321</v>
      </c>
      <c r="B8" t="s">
        <v>322</v>
      </c>
      <c r="C8" t="s">
        <v>323</v>
      </c>
      <c r="D8" t="s">
        <v>324</v>
      </c>
      <c r="E8" t="s">
        <v>325</v>
      </c>
      <c r="F8" t="s">
        <v>326</v>
      </c>
      <c r="G8" t="s">
        <v>327</v>
      </c>
    </row>
    <row r="9">
      <c r="A9" t="s">
        <v>136</v>
      </c>
      <c r="B9" t="s">
        <v>328</v>
      </c>
      <c r="C9" t="s">
        <v>329</v>
      </c>
      <c r="D9" t="s">
        <v>330</v>
      </c>
      <c r="E9" t="n">
        <v>1</v>
      </c>
      <c r="F9"/>
      <c r="G9"/>
    </row>
    <row r="10">
      <c r="A10" t="s">
        <v>137</v>
      </c>
      <c r="B10" t="s">
        <v>331</v>
      </c>
      <c r="C10" t="s">
        <v>329</v>
      </c>
      <c r="D10" t="s">
        <v>330</v>
      </c>
      <c r="E10" t="n">
        <v>1</v>
      </c>
      <c r="F10"/>
      <c r="G10"/>
    </row>
    <row r="11">
      <c r="A11" t="s">
        <v>138</v>
      </c>
      <c r="B11" t="s">
        <v>332</v>
      </c>
      <c r="C11" t="s">
        <v>333</v>
      </c>
      <c r="D11" t="s">
        <v>334</v>
      </c>
      <c r="E11" t="n">
        <v>1</v>
      </c>
      <c r="F11"/>
      <c r="G11"/>
    </row>
    <row r="12">
      <c r="A12" t="s">
        <v>140</v>
      </c>
      <c r="B12" t="s">
        <v>335</v>
      </c>
      <c r="C12" t="s">
        <v>336</v>
      </c>
      <c r="D12" t="s">
        <v>337</v>
      </c>
      <c r="E12" t="n">
        <v>1</v>
      </c>
      <c r="F12"/>
      <c r="G12"/>
    </row>
    <row r="13">
      <c r="A13" t="s">
        <v>141</v>
      </c>
      <c r="B13" t="s">
        <v>338</v>
      </c>
      <c r="C13" t="s">
        <v>339</v>
      </c>
      <c r="D13" t="s">
        <v>340</v>
      </c>
      <c r="E13" t="n">
        <v>0.72</v>
      </c>
      <c r="F13" t="s">
        <v>341</v>
      </c>
      <c r="G13"/>
    </row>
    <row r="14">
      <c r="A14" t="s">
        <v>141</v>
      </c>
      <c r="B14" t="s">
        <v>338</v>
      </c>
      <c r="C14" t="s">
        <v>342</v>
      </c>
      <c r="D14" t="s">
        <v>343</v>
      </c>
      <c r="E14" t="n">
        <v>0.2</v>
      </c>
      <c r="F14" t="s">
        <v>344</v>
      </c>
      <c r="G14"/>
    </row>
    <row r="15">
      <c r="A15" t="s">
        <v>141</v>
      </c>
      <c r="B15" t="s">
        <v>338</v>
      </c>
      <c r="C15" t="s">
        <v>345</v>
      </c>
      <c r="D15" t="s">
        <v>346</v>
      </c>
      <c r="E15" t="n">
        <v>0.08</v>
      </c>
      <c r="F15" t="s">
        <v>347</v>
      </c>
      <c r="G15"/>
    </row>
    <row r="16">
      <c r="A16" t="s">
        <v>142</v>
      </c>
      <c r="B16" t="s">
        <v>348</v>
      </c>
      <c r="C16" t="s">
        <v>349</v>
      </c>
      <c r="D16" t="s">
        <v>348</v>
      </c>
      <c r="E16" t="n">
        <v>1</v>
      </c>
      <c r="F16"/>
      <c r="G16"/>
    </row>
    <row r="17">
      <c r="A17" t="s">
        <v>154</v>
      </c>
      <c r="B17" t="s">
        <v>350</v>
      </c>
      <c r="C17" t="s">
        <v>351</v>
      </c>
      <c r="D17" t="s">
        <v>352</v>
      </c>
      <c r="E17" t="n">
        <v>1</v>
      </c>
      <c r="F17"/>
      <c r="G17"/>
    </row>
    <row r="18">
      <c r="A18" t="s">
        <v>155</v>
      </c>
      <c r="B18" t="s">
        <v>353</v>
      </c>
      <c r="C18" t="s">
        <v>354</v>
      </c>
      <c r="D18" t="s">
        <v>355</v>
      </c>
      <c r="E18" t="n">
        <v>1</v>
      </c>
      <c r="F18"/>
      <c r="G18"/>
    </row>
    <row r="19">
      <c r="A19" t="s">
        <v>156</v>
      </c>
      <c r="B19" t="s">
        <v>356</v>
      </c>
      <c r="C19" t="s">
        <v>354</v>
      </c>
      <c r="D19" t="s">
        <v>355</v>
      </c>
      <c r="E19" t="n">
        <v>1</v>
      </c>
      <c r="F19"/>
      <c r="G19"/>
    </row>
    <row r="20">
      <c r="A20" t="s">
        <v>143</v>
      </c>
      <c r="B20" t="s">
        <v>357</v>
      </c>
      <c r="C20" t="s">
        <v>358</v>
      </c>
      <c r="D20" t="s">
        <v>359</v>
      </c>
      <c r="E20" t="n">
        <v>1</v>
      </c>
      <c r="F20"/>
      <c r="G20"/>
    </row>
    <row r="21">
      <c r="A21" t="s">
        <v>157</v>
      </c>
      <c r="B21" t="s">
        <v>360</v>
      </c>
      <c r="C21" t="s">
        <v>361</v>
      </c>
      <c r="D21" t="s">
        <v>362</v>
      </c>
      <c r="E21" t="n">
        <v>1</v>
      </c>
      <c r="F21"/>
      <c r="G21"/>
    </row>
    <row r="22">
      <c r="A22" t="s">
        <v>158</v>
      </c>
      <c r="B22" t="s">
        <v>363</v>
      </c>
      <c r="C22" t="s">
        <v>361</v>
      </c>
      <c r="D22" t="s">
        <v>362</v>
      </c>
      <c r="E22" t="n">
        <v>1</v>
      </c>
      <c r="F22"/>
      <c r="G22"/>
    </row>
    <row r="23">
      <c r="A23" t="s">
        <v>159</v>
      </c>
      <c r="B23" t="s">
        <v>364</v>
      </c>
      <c r="C23" t="s">
        <v>365</v>
      </c>
      <c r="D23" t="s">
        <v>366</v>
      </c>
      <c r="E23" t="n">
        <v>0.961</v>
      </c>
      <c r="F23" t="s">
        <v>367</v>
      </c>
      <c r="G23"/>
    </row>
    <row r="24">
      <c r="A24" t="s">
        <v>159</v>
      </c>
      <c r="B24" t="s">
        <v>364</v>
      </c>
      <c r="C24" t="s">
        <v>368</v>
      </c>
      <c r="D24" t="s">
        <v>369</v>
      </c>
      <c r="E24" t="n">
        <v>0.039</v>
      </c>
      <c r="F24" t="s">
        <v>370</v>
      </c>
      <c r="G24"/>
    </row>
    <row r="25">
      <c r="A25" t="s">
        <v>161</v>
      </c>
      <c r="B25" t="s">
        <v>371</v>
      </c>
      <c r="C25" t="s">
        <v>141</v>
      </c>
      <c r="D25" t="s">
        <v>372</v>
      </c>
      <c r="E25" t="n">
        <v>1</v>
      </c>
      <c r="F25"/>
      <c r="G25"/>
    </row>
    <row r="26">
      <c r="A26" t="s">
        <v>146</v>
      </c>
      <c r="B26" t="s">
        <v>373</v>
      </c>
      <c r="C26" t="s">
        <v>374</v>
      </c>
      <c r="D26" t="s">
        <v>373</v>
      </c>
      <c r="E26" t="n">
        <v>1</v>
      </c>
      <c r="F26"/>
      <c r="G26"/>
    </row>
    <row r="27">
      <c r="A27" t="s">
        <v>147</v>
      </c>
      <c r="B27" t="s">
        <v>375</v>
      </c>
      <c r="C27" t="s">
        <v>376</v>
      </c>
      <c r="D27" t="s">
        <v>377</v>
      </c>
      <c r="E27" t="n">
        <v>1</v>
      </c>
      <c r="F27"/>
      <c r="G27"/>
    </row>
    <row r="28">
      <c r="A28" t="s">
        <v>148</v>
      </c>
      <c r="B28" t="s">
        <v>378</v>
      </c>
      <c r="C28" t="s">
        <v>379</v>
      </c>
      <c r="D28" t="s">
        <v>380</v>
      </c>
      <c r="E28" t="n">
        <v>1</v>
      </c>
      <c r="F28"/>
      <c r="G28"/>
    </row>
    <row r="29">
      <c r="A29" t="s">
        <v>149</v>
      </c>
      <c r="B29" t="s">
        <v>381</v>
      </c>
      <c r="C29" t="s">
        <v>382</v>
      </c>
      <c r="D29" t="s">
        <v>383</v>
      </c>
      <c r="E29" t="n">
        <v>1</v>
      </c>
      <c r="F29"/>
      <c r="G29"/>
    </row>
    <row r="30">
      <c r="A30" t="s">
        <v>150</v>
      </c>
      <c r="B30" t="s">
        <v>384</v>
      </c>
      <c r="C30" t="s">
        <v>385</v>
      </c>
      <c r="D30" t="s">
        <v>386</v>
      </c>
      <c r="E30" t="n">
        <v>1</v>
      </c>
      <c r="F30"/>
      <c r="G30"/>
    </row>
    <row r="31">
      <c r="A31" t="s">
        <v>151</v>
      </c>
      <c r="B31" t="s">
        <v>387</v>
      </c>
      <c r="C31" t="s">
        <v>388</v>
      </c>
      <c r="D31" t="s">
        <v>389</v>
      </c>
      <c r="E31" t="n">
        <v>1</v>
      </c>
      <c r="F31"/>
      <c r="G31"/>
    </row>
    <row r="32">
      <c r="A32" t="s">
        <v>152</v>
      </c>
      <c r="B32" t="s">
        <v>390</v>
      </c>
      <c r="C32" t="s">
        <v>391</v>
      </c>
      <c r="D32" t="s">
        <v>392</v>
      </c>
      <c r="E32" t="n">
        <v>1</v>
      </c>
      <c r="F32"/>
      <c r="G32"/>
    </row>
    <row r="33">
      <c r="A33" t="s">
        <v>153</v>
      </c>
      <c r="B33" t="s">
        <v>393</v>
      </c>
      <c r="C33" t="s">
        <v>391</v>
      </c>
      <c r="D33" t="s">
        <v>392</v>
      </c>
      <c r="E33" t="n">
        <v>1</v>
      </c>
      <c r="F33"/>
      <c r="G33"/>
    </row>
    <row r="34">
      <c r="A34" t="s">
        <v>162</v>
      </c>
      <c r="B34" t="s">
        <v>394</v>
      </c>
      <c r="C34" t="s">
        <v>395</v>
      </c>
      <c r="D34" t="s">
        <v>396</v>
      </c>
      <c r="E34" t="n">
        <v>1</v>
      </c>
      <c r="F34"/>
      <c r="G34"/>
    </row>
    <row r="35">
      <c r="A35" t="s">
        <v>163</v>
      </c>
      <c r="B35" t="s">
        <v>397</v>
      </c>
      <c r="C35" t="s">
        <v>395</v>
      </c>
      <c r="D35" t="s">
        <v>396</v>
      </c>
      <c r="E35" t="n">
        <v>1</v>
      </c>
      <c r="F35"/>
      <c r="G35"/>
    </row>
    <row r="36">
      <c r="A36" t="s">
        <v>164</v>
      </c>
      <c r="B36" t="s">
        <v>398</v>
      </c>
      <c r="C36" t="s">
        <v>395</v>
      </c>
      <c r="D36" t="s">
        <v>396</v>
      </c>
      <c r="E36" t="n">
        <v>1</v>
      </c>
      <c r="F36"/>
      <c r="G36"/>
    </row>
    <row r="37">
      <c r="A37" t="s">
        <v>165</v>
      </c>
      <c r="B37" t="s">
        <v>399</v>
      </c>
      <c r="C37" t="s">
        <v>395</v>
      </c>
      <c r="D37" t="s">
        <v>396</v>
      </c>
      <c r="E37" t="n">
        <v>1</v>
      </c>
      <c r="F37"/>
      <c r="G37"/>
    </row>
    <row r="38">
      <c r="A38" t="s">
        <v>166</v>
      </c>
      <c r="B38" t="s">
        <v>400</v>
      </c>
      <c r="C38" t="s">
        <v>395</v>
      </c>
      <c r="D38" t="s">
        <v>396</v>
      </c>
      <c r="E38" t="n">
        <v>1</v>
      </c>
      <c r="F38"/>
      <c r="G38"/>
    </row>
    <row r="39">
      <c r="A39" t="s">
        <v>167</v>
      </c>
      <c r="B39" t="s">
        <v>401</v>
      </c>
      <c r="C39" t="s">
        <v>402</v>
      </c>
      <c r="D39" t="s">
        <v>403</v>
      </c>
      <c r="E39" t="n">
        <v>1</v>
      </c>
      <c r="F39"/>
      <c r="G39"/>
    </row>
    <row r="40">
      <c r="A40" t="s">
        <v>168</v>
      </c>
      <c r="B40" t="s">
        <v>404</v>
      </c>
      <c r="C40" t="s">
        <v>402</v>
      </c>
      <c r="D40" t="s">
        <v>403</v>
      </c>
      <c r="E40" t="n">
        <v>1</v>
      </c>
      <c r="F40"/>
      <c r="G40"/>
    </row>
    <row r="41">
      <c r="A41" t="s">
        <v>169</v>
      </c>
      <c r="B41" t="s">
        <v>405</v>
      </c>
      <c r="C41" t="s">
        <v>402</v>
      </c>
      <c r="D41" t="s">
        <v>403</v>
      </c>
      <c r="E41" t="n">
        <v>1</v>
      </c>
      <c r="F41"/>
      <c r="G41"/>
    </row>
    <row r="42">
      <c r="A42" t="s">
        <v>170</v>
      </c>
      <c r="B42" t="s">
        <v>406</v>
      </c>
      <c r="C42" t="s">
        <v>402</v>
      </c>
      <c r="D42" t="s">
        <v>403</v>
      </c>
      <c r="E42" t="n">
        <v>1</v>
      </c>
      <c r="F42"/>
      <c r="G42"/>
    </row>
    <row r="43">
      <c r="A43" t="s">
        <v>171</v>
      </c>
      <c r="B43" t="s">
        <v>407</v>
      </c>
      <c r="C43" t="s">
        <v>402</v>
      </c>
      <c r="D43" t="s">
        <v>403</v>
      </c>
      <c r="E43" t="n">
        <v>1</v>
      </c>
      <c r="F43"/>
      <c r="G43"/>
    </row>
    <row r="44">
      <c r="A44" t="s">
        <v>172</v>
      </c>
      <c r="B44" t="s">
        <v>408</v>
      </c>
      <c r="C44" t="s">
        <v>342</v>
      </c>
      <c r="D44" t="s">
        <v>409</v>
      </c>
      <c r="E44" t="n">
        <v>1</v>
      </c>
      <c r="F44" t="s">
        <v>410</v>
      </c>
      <c r="G44"/>
    </row>
    <row r="45">
      <c r="A45" t="s">
        <v>173</v>
      </c>
      <c r="B45" t="s">
        <v>411</v>
      </c>
      <c r="C45" t="s">
        <v>402</v>
      </c>
      <c r="D45" t="s">
        <v>403</v>
      </c>
      <c r="E45" t="n">
        <v>1</v>
      </c>
      <c r="F45"/>
      <c r="G45"/>
    </row>
    <row r="46">
      <c r="A46" t="s">
        <v>174</v>
      </c>
      <c r="B46" t="s">
        <v>412</v>
      </c>
      <c r="C46" t="s">
        <v>402</v>
      </c>
      <c r="D46" t="s">
        <v>403</v>
      </c>
      <c r="E46" t="n">
        <v>1</v>
      </c>
      <c r="F46"/>
      <c r="G46"/>
    </row>
    <row r="47">
      <c r="A47" t="s">
        <v>175</v>
      </c>
      <c r="B47" t="s">
        <v>413</v>
      </c>
      <c r="C47" t="s">
        <v>414</v>
      </c>
      <c r="D47" t="s">
        <v>415</v>
      </c>
      <c r="E47" t="n">
        <v>1</v>
      </c>
      <c r="F47"/>
      <c r="G47"/>
    </row>
    <row r="48">
      <c r="A48" t="s">
        <v>176</v>
      </c>
      <c r="B48" t="s">
        <v>416</v>
      </c>
      <c r="C48" t="s">
        <v>414</v>
      </c>
      <c r="D48" t="s">
        <v>415</v>
      </c>
      <c r="E48" t="n">
        <v>1</v>
      </c>
      <c r="F48"/>
      <c r="G48"/>
    </row>
    <row r="49">
      <c r="A49" t="s">
        <v>177</v>
      </c>
      <c r="B49" t="s">
        <v>417</v>
      </c>
      <c r="C49" t="s">
        <v>414</v>
      </c>
      <c r="D49" t="s">
        <v>415</v>
      </c>
      <c r="E49" t="n">
        <v>0.25</v>
      </c>
      <c r="F49" t="s">
        <v>418</v>
      </c>
      <c r="G49"/>
    </row>
    <row r="50">
      <c r="A50" t="s">
        <v>177</v>
      </c>
      <c r="B50" t="s">
        <v>417</v>
      </c>
      <c r="C50" t="s">
        <v>192</v>
      </c>
      <c r="D50" t="s">
        <v>419</v>
      </c>
      <c r="E50" t="n">
        <v>0.75</v>
      </c>
      <c r="F50"/>
      <c r="G50"/>
    </row>
    <row r="51">
      <c r="A51" t="s">
        <v>178</v>
      </c>
      <c r="B51" t="s">
        <v>420</v>
      </c>
      <c r="C51" t="s">
        <v>421</v>
      </c>
      <c r="D51" t="s">
        <v>422</v>
      </c>
      <c r="E51" t="n">
        <v>1</v>
      </c>
      <c r="F51"/>
      <c r="G51"/>
    </row>
    <row r="52">
      <c r="A52" t="s">
        <v>179</v>
      </c>
      <c r="B52" t="s">
        <v>423</v>
      </c>
      <c r="C52" t="s">
        <v>424</v>
      </c>
      <c r="D52" t="s">
        <v>425</v>
      </c>
      <c r="E52" t="n">
        <v>1</v>
      </c>
      <c r="F52"/>
      <c r="G52"/>
    </row>
    <row r="53">
      <c r="A53" t="s">
        <v>180</v>
      </c>
      <c r="B53" t="s">
        <v>426</v>
      </c>
      <c r="C53" t="s">
        <v>424</v>
      </c>
      <c r="D53" t="s">
        <v>425</v>
      </c>
      <c r="E53" t="n">
        <v>1</v>
      </c>
      <c r="F53"/>
      <c r="G53"/>
    </row>
    <row r="54">
      <c r="A54" t="s">
        <v>181</v>
      </c>
      <c r="B54" t="s">
        <v>427</v>
      </c>
      <c r="C54" t="s">
        <v>424</v>
      </c>
      <c r="D54" t="s">
        <v>425</v>
      </c>
      <c r="E54" t="n">
        <v>1</v>
      </c>
      <c r="F54"/>
      <c r="G54"/>
    </row>
    <row r="55">
      <c r="A55" t="s">
        <v>182</v>
      </c>
      <c r="B55" t="s">
        <v>428</v>
      </c>
      <c r="C55" t="s">
        <v>424</v>
      </c>
      <c r="D55" t="s">
        <v>425</v>
      </c>
      <c r="E55" t="n">
        <v>1</v>
      </c>
      <c r="F55"/>
      <c r="G55"/>
    </row>
    <row r="56">
      <c r="A56" t="s">
        <v>183</v>
      </c>
      <c r="B56" t="s">
        <v>429</v>
      </c>
      <c r="C56" t="s">
        <v>430</v>
      </c>
      <c r="D56" t="s">
        <v>431</v>
      </c>
      <c r="E56" t="n">
        <v>1</v>
      </c>
      <c r="F56"/>
      <c r="G56"/>
    </row>
    <row r="57">
      <c r="A57" t="s">
        <v>184</v>
      </c>
      <c r="B57" t="s">
        <v>432</v>
      </c>
      <c r="C57" t="s">
        <v>430</v>
      </c>
      <c r="D57" t="s">
        <v>431</v>
      </c>
      <c r="E57" t="n">
        <v>1</v>
      </c>
      <c r="F57"/>
      <c r="G57"/>
    </row>
    <row r="58">
      <c r="A58" t="s">
        <v>185</v>
      </c>
      <c r="B58" t="s">
        <v>433</v>
      </c>
      <c r="C58" t="s">
        <v>434</v>
      </c>
      <c r="D58" t="s">
        <v>435</v>
      </c>
      <c r="E58" t="n">
        <v>1</v>
      </c>
      <c r="F58" t="s">
        <v>436</v>
      </c>
      <c r="G58"/>
    </row>
    <row r="59">
      <c r="A59" t="s">
        <v>186</v>
      </c>
      <c r="B59" t="s">
        <v>437</v>
      </c>
      <c r="C59" t="s">
        <v>434</v>
      </c>
      <c r="D59" t="s">
        <v>435</v>
      </c>
      <c r="E59" t="n">
        <v>1</v>
      </c>
      <c r="F59"/>
      <c r="G59"/>
    </row>
    <row r="60">
      <c r="A60" t="s">
        <v>188</v>
      </c>
      <c r="B60" t="s">
        <v>438</v>
      </c>
      <c r="C60" t="s">
        <v>434</v>
      </c>
      <c r="D60" t="s">
        <v>435</v>
      </c>
      <c r="E60" t="n">
        <v>1</v>
      </c>
      <c r="F60"/>
      <c r="G60"/>
    </row>
    <row r="61">
      <c r="A61" t="s">
        <v>187</v>
      </c>
      <c r="B61" t="s">
        <v>439</v>
      </c>
      <c r="C61" t="s">
        <v>421</v>
      </c>
      <c r="D61" t="s">
        <v>422</v>
      </c>
      <c r="E61" t="n">
        <v>1</v>
      </c>
      <c r="F61" t="s">
        <v>440</v>
      </c>
      <c r="G61"/>
    </row>
    <row r="62">
      <c r="A62" t="s">
        <v>189</v>
      </c>
      <c r="B62" t="s">
        <v>441</v>
      </c>
      <c r="C62" t="s">
        <v>434</v>
      </c>
      <c r="D62" t="s">
        <v>435</v>
      </c>
      <c r="E62" t="n">
        <v>1</v>
      </c>
      <c r="F62"/>
      <c r="G62"/>
    </row>
    <row r="63">
      <c r="A63" t="s">
        <v>190</v>
      </c>
      <c r="B63" t="s">
        <v>442</v>
      </c>
      <c r="C63" t="s">
        <v>434</v>
      </c>
      <c r="D63" t="s">
        <v>435</v>
      </c>
      <c r="E63" t="n">
        <v>1</v>
      </c>
      <c r="F63"/>
      <c r="G63"/>
    </row>
    <row r="64">
      <c r="A64" t="s">
        <v>191</v>
      </c>
      <c r="B64" t="s">
        <v>443</v>
      </c>
      <c r="C64" t="s">
        <v>345</v>
      </c>
      <c r="D64" t="s">
        <v>444</v>
      </c>
      <c r="E64" t="n">
        <v>1</v>
      </c>
      <c r="F64"/>
      <c r="G64"/>
    </row>
    <row r="65">
      <c r="A65" t="s">
        <v>192</v>
      </c>
      <c r="B65" t="s">
        <v>445</v>
      </c>
      <c r="C65" t="s">
        <v>446</v>
      </c>
      <c r="D65" t="s">
        <v>447</v>
      </c>
      <c r="E65" t="n">
        <v>1</v>
      </c>
      <c r="F65"/>
      <c r="G65"/>
    </row>
    <row r="66">
      <c r="A66" t="s">
        <v>193</v>
      </c>
      <c r="B66" t="s">
        <v>448</v>
      </c>
      <c r="C66" t="s">
        <v>449</v>
      </c>
      <c r="D66" t="s">
        <v>450</v>
      </c>
      <c r="E66" t="n">
        <v>1</v>
      </c>
      <c r="F66"/>
      <c r="G66"/>
    </row>
    <row r="67">
      <c r="A67" t="s">
        <v>194</v>
      </c>
      <c r="B67" t="s">
        <v>451</v>
      </c>
      <c r="C67" t="s">
        <v>449</v>
      </c>
      <c r="D67" t="s">
        <v>450</v>
      </c>
      <c r="E67" t="n">
        <v>1</v>
      </c>
      <c r="F67"/>
      <c r="G67"/>
    </row>
    <row r="68">
      <c r="A68" t="s">
        <v>195</v>
      </c>
      <c r="B68" t="s">
        <v>452</v>
      </c>
      <c r="C68" t="s">
        <v>449</v>
      </c>
      <c r="D68" t="s">
        <v>450</v>
      </c>
      <c r="E68" t="n">
        <v>1</v>
      </c>
      <c r="F68"/>
      <c r="G68"/>
    </row>
    <row r="69">
      <c r="A69" t="s">
        <v>196</v>
      </c>
      <c r="B69" t="s">
        <v>453</v>
      </c>
      <c r="C69" t="s">
        <v>449</v>
      </c>
      <c r="D69" t="s">
        <v>450</v>
      </c>
      <c r="E69" t="n">
        <v>1</v>
      </c>
      <c r="F69"/>
      <c r="G69"/>
    </row>
    <row r="70">
      <c r="A70" t="s">
        <v>197</v>
      </c>
      <c r="B70" t="s">
        <v>454</v>
      </c>
      <c r="C70" t="s">
        <v>455</v>
      </c>
      <c r="D70" t="s">
        <v>456</v>
      </c>
      <c r="E70" t="n">
        <v>1</v>
      </c>
      <c r="F70"/>
      <c r="G70"/>
    </row>
    <row r="71">
      <c r="A71" t="s">
        <v>198</v>
      </c>
      <c r="B71" t="s">
        <v>457</v>
      </c>
      <c r="C71" t="s">
        <v>455</v>
      </c>
      <c r="D71" t="s">
        <v>456</v>
      </c>
      <c r="E71" t="n">
        <v>1</v>
      </c>
      <c r="F71"/>
      <c r="G71"/>
    </row>
    <row r="72">
      <c r="A72" t="s">
        <v>199</v>
      </c>
      <c r="B72" t="s">
        <v>458</v>
      </c>
      <c r="C72" t="s">
        <v>459</v>
      </c>
      <c r="D72" t="s">
        <v>460</v>
      </c>
      <c r="E72" t="n">
        <v>1</v>
      </c>
      <c r="F72"/>
      <c r="G72"/>
    </row>
    <row r="73">
      <c r="A73" t="s">
        <v>200</v>
      </c>
      <c r="B73" t="s">
        <v>461</v>
      </c>
      <c r="C73" t="s">
        <v>459</v>
      </c>
      <c r="D73" t="s">
        <v>460</v>
      </c>
      <c r="E73" t="n">
        <v>1</v>
      </c>
      <c r="F73"/>
      <c r="G73"/>
    </row>
    <row r="74">
      <c r="A74" t="s">
        <v>201</v>
      </c>
      <c r="B74" t="s">
        <v>462</v>
      </c>
      <c r="C74" t="s">
        <v>455</v>
      </c>
      <c r="D74" t="s">
        <v>456</v>
      </c>
      <c r="E74" t="n">
        <v>1</v>
      </c>
      <c r="F74"/>
      <c r="G74"/>
    </row>
    <row r="75">
      <c r="A75" t="s">
        <v>202</v>
      </c>
      <c r="B75" t="s">
        <v>463</v>
      </c>
      <c r="C75" t="s">
        <v>464</v>
      </c>
      <c r="D75" t="s">
        <v>465</v>
      </c>
      <c r="E75" t="n">
        <v>1</v>
      </c>
      <c r="F75"/>
      <c r="G75"/>
    </row>
    <row r="76">
      <c r="A76" t="s">
        <v>203</v>
      </c>
      <c r="B76" t="s">
        <v>466</v>
      </c>
      <c r="C76" t="s">
        <v>464</v>
      </c>
      <c r="D76" t="s">
        <v>465</v>
      </c>
      <c r="E76" t="n">
        <v>1</v>
      </c>
      <c r="F76"/>
      <c r="G76"/>
    </row>
    <row r="77">
      <c r="A77" t="s">
        <v>204</v>
      </c>
      <c r="B77" t="s">
        <v>467</v>
      </c>
      <c r="C77" t="s">
        <v>464</v>
      </c>
      <c r="D77" t="s">
        <v>465</v>
      </c>
      <c r="E77" t="n">
        <v>1</v>
      </c>
      <c r="F77"/>
      <c r="G77"/>
    </row>
    <row r="78">
      <c r="A78" t="s">
        <v>205</v>
      </c>
      <c r="B78" t="s">
        <v>468</v>
      </c>
      <c r="C78" t="s">
        <v>464</v>
      </c>
      <c r="D78" t="s">
        <v>465</v>
      </c>
      <c r="E78" t="n">
        <v>1</v>
      </c>
      <c r="F78"/>
      <c r="G78"/>
    </row>
    <row r="79">
      <c r="A79" t="s">
        <v>206</v>
      </c>
      <c r="B79" t="s">
        <v>469</v>
      </c>
      <c r="C79" t="s">
        <v>464</v>
      </c>
      <c r="D79" t="s">
        <v>465</v>
      </c>
      <c r="E79" t="n">
        <v>1</v>
      </c>
      <c r="F79"/>
      <c r="G79"/>
    </row>
    <row r="80">
      <c r="A80" t="s">
        <v>139</v>
      </c>
      <c r="B80" t="s">
        <v>470</v>
      </c>
      <c r="C80" t="s">
        <v>471</v>
      </c>
      <c r="D80" t="s">
        <v>472</v>
      </c>
      <c r="E80" t="n">
        <v>0</v>
      </c>
      <c r="F80"/>
      <c r="G80" t="s">
        <v>473</v>
      </c>
    </row>
    <row r="81">
      <c r="A81" t="s">
        <v>139</v>
      </c>
      <c r="B81" t="s">
        <v>470</v>
      </c>
      <c r="C81" t="s">
        <v>474</v>
      </c>
      <c r="D81" t="s">
        <v>475</v>
      </c>
      <c r="E81" t="n">
        <v>1</v>
      </c>
      <c r="F81"/>
      <c r="G81" t="s">
        <v>473</v>
      </c>
    </row>
    <row r="82">
      <c r="A82" t="s">
        <v>144</v>
      </c>
      <c r="B82" t="s">
        <v>476</v>
      </c>
      <c r="C82" t="s">
        <v>477</v>
      </c>
      <c r="D82" t="s">
        <v>478</v>
      </c>
      <c r="E82" t="n">
        <v>0.25</v>
      </c>
      <c r="F82"/>
      <c r="G82" t="s">
        <v>479</v>
      </c>
    </row>
    <row r="83">
      <c r="A83" t="s">
        <v>144</v>
      </c>
      <c r="B83" t="s">
        <v>476</v>
      </c>
      <c r="C83" t="s">
        <v>480</v>
      </c>
      <c r="D83" t="s">
        <v>481</v>
      </c>
      <c r="E83" t="n">
        <v>0.75</v>
      </c>
      <c r="F83"/>
      <c r="G83" t="s">
        <v>479</v>
      </c>
    </row>
    <row r="84">
      <c r="A84" t="s">
        <v>145</v>
      </c>
      <c r="B84" t="s">
        <v>482</v>
      </c>
      <c r="C84" t="s">
        <v>368</v>
      </c>
      <c r="D84" t="s">
        <v>369</v>
      </c>
      <c r="E84" t="n">
        <v>0.55</v>
      </c>
      <c r="F84"/>
      <c r="G84" t="s">
        <v>483</v>
      </c>
    </row>
    <row r="85">
      <c r="A85" t="s">
        <v>145</v>
      </c>
      <c r="B85" t="s">
        <v>482</v>
      </c>
      <c r="C85" t="s">
        <v>484</v>
      </c>
      <c r="D85" t="s">
        <v>485</v>
      </c>
      <c r="E85" t="n">
        <v>0.45</v>
      </c>
      <c r="F85"/>
      <c r="G85" t="s">
        <v>483</v>
      </c>
    </row>
    <row r="86">
      <c r="A86" t="s">
        <v>160</v>
      </c>
      <c r="B86" t="s">
        <v>486</v>
      </c>
      <c r="C86" t="s">
        <v>487</v>
      </c>
      <c r="D86" t="s">
        <v>488</v>
      </c>
      <c r="E86" t="n">
        <v>0.75</v>
      </c>
      <c r="F86"/>
      <c r="G86" t="s">
        <v>489</v>
      </c>
    </row>
    <row r="87">
      <c r="A87" t="s">
        <v>160</v>
      </c>
      <c r="B87" t="s">
        <v>486</v>
      </c>
      <c r="C87" t="s">
        <v>490</v>
      </c>
      <c r="D87" t="s">
        <v>491</v>
      </c>
      <c r="E87" t="n">
        <v>0.25</v>
      </c>
      <c r="F87"/>
      <c r="G87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492</v>
      </c>
    </row>
    <row r="2">
      <c r="A2" t="s">
        <v>1</v>
      </c>
    </row>
    <row r="3">
      <c r="A3" t="s">
        <v>493</v>
      </c>
    </row>
    <row r="4">
      <c r="A4" t="s">
        <v>494</v>
      </c>
    </row>
    <row r="5">
      <c r="A5" t="s">
        <v>495</v>
      </c>
    </row>
    <row r="6">
      <c r="A6" t="s">
        <v>496</v>
      </c>
    </row>
    <row r="7">
      <c r="A7" t="s">
        <v>497</v>
      </c>
    </row>
    <row r="8">
      <c r="A8" t="s">
        <v>498</v>
      </c>
    </row>
    <row r="9">
      <c r="A9" t="s">
        <v>1</v>
      </c>
    </row>
    <row r="11">
      <c r="A11" t="s">
        <v>321</v>
      </c>
      <c r="B11" t="s">
        <v>323</v>
      </c>
      <c r="C11" t="s">
        <v>325</v>
      </c>
      <c r="D11" t="s">
        <v>327</v>
      </c>
    </row>
    <row r="12">
      <c r="A12" t="n">
        <v>212</v>
      </c>
      <c r="B12" t="s">
        <v>471</v>
      </c>
      <c r="C12" t="n">
        <v>0</v>
      </c>
      <c r="D12" t="s">
        <v>473</v>
      </c>
    </row>
    <row r="13">
      <c r="A13" t="n">
        <v>212</v>
      </c>
      <c r="B13" t="s">
        <v>474</v>
      </c>
      <c r="C13" t="n">
        <v>1</v>
      </c>
      <c r="D13" t="s">
        <v>473</v>
      </c>
    </row>
    <row r="14">
      <c r="A14" t="n">
        <v>327</v>
      </c>
      <c r="B14" t="s">
        <v>477</v>
      </c>
      <c r="C14" t="n">
        <v>0.25</v>
      </c>
      <c r="D14" t="s">
        <v>479</v>
      </c>
    </row>
    <row r="15">
      <c r="A15" t="n">
        <v>327</v>
      </c>
      <c r="B15" t="s">
        <v>480</v>
      </c>
      <c r="C15" t="n">
        <v>0.75</v>
      </c>
      <c r="D15" t="s">
        <v>479</v>
      </c>
    </row>
    <row r="16">
      <c r="A16" t="n">
        <v>331</v>
      </c>
      <c r="B16" t="s">
        <v>368</v>
      </c>
      <c r="C16" t="n">
        <v>0.55</v>
      </c>
      <c r="D16" t="s">
        <v>483</v>
      </c>
    </row>
    <row r="17">
      <c r="A17" t="n">
        <v>331</v>
      </c>
      <c r="B17" t="s">
        <v>484</v>
      </c>
      <c r="C17" t="n">
        <v>0.45</v>
      </c>
      <c r="D17" t="s">
        <v>483</v>
      </c>
    </row>
    <row r="18">
      <c r="A18" t="n">
        <v>325</v>
      </c>
      <c r="B18" t="s">
        <v>487</v>
      </c>
      <c r="C18" t="n">
        <v>0.75</v>
      </c>
      <c r="D18" t="s">
        <v>489</v>
      </c>
    </row>
    <row r="19">
      <c r="A19" t="n">
        <v>325</v>
      </c>
      <c r="B19" t="s">
        <v>490</v>
      </c>
      <c r="C19" t="n">
        <v>0.25</v>
      </c>
      <c r="D19" t="s">
        <v>489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499</v>
      </c>
    </row>
    <row r="2">
      <c r="A2" t="s">
        <v>500</v>
      </c>
    </row>
    <row r="3">
      <c r="A3" t="s">
        <v>501</v>
      </c>
    </row>
    <row r="4">
      <c r="A4" t="s">
        <v>502</v>
      </c>
    </row>
    <row r="5">
      <c r="A5" t="s">
        <v>1</v>
      </c>
    </row>
    <row r="7">
      <c r="A7" t="s">
        <v>503</v>
      </c>
      <c r="B7" t="s">
        <v>504</v>
      </c>
      <c r="C7" t="s">
        <v>505</v>
      </c>
    </row>
    <row r="8">
      <c r="A8" t="s">
        <v>329</v>
      </c>
      <c r="B8" t="s">
        <v>506</v>
      </c>
      <c r="C8" t="s">
        <v>507</v>
      </c>
    </row>
    <row r="9">
      <c r="A9" t="s">
        <v>471</v>
      </c>
      <c r="B9" t="s">
        <v>472</v>
      </c>
      <c r="C9" t="s">
        <v>508</v>
      </c>
    </row>
    <row r="10">
      <c r="A10" t="s">
        <v>333</v>
      </c>
      <c r="B10" t="s">
        <v>334</v>
      </c>
      <c r="C10" t="s">
        <v>509</v>
      </c>
    </row>
    <row r="11">
      <c r="A11" t="s">
        <v>474</v>
      </c>
      <c r="B11" t="s">
        <v>510</v>
      </c>
      <c r="C11" t="s">
        <v>511</v>
      </c>
    </row>
    <row r="12">
      <c r="A12" t="s">
        <v>336</v>
      </c>
      <c r="B12" t="s">
        <v>337</v>
      </c>
      <c r="C12" t="s">
        <v>512</v>
      </c>
    </row>
    <row r="13">
      <c r="A13" t="s">
        <v>351</v>
      </c>
      <c r="B13" t="s">
        <v>513</v>
      </c>
      <c r="C13" t="s">
        <v>514</v>
      </c>
    </row>
    <row r="14">
      <c r="A14" t="s">
        <v>354</v>
      </c>
      <c r="B14" t="s">
        <v>515</v>
      </c>
      <c r="C14" t="s">
        <v>516</v>
      </c>
    </row>
    <row r="15">
      <c r="A15" t="s">
        <v>358</v>
      </c>
      <c r="B15" t="s">
        <v>517</v>
      </c>
      <c r="C15" t="s">
        <v>518</v>
      </c>
    </row>
    <row r="16">
      <c r="A16" t="s">
        <v>361</v>
      </c>
      <c r="B16" t="s">
        <v>362</v>
      </c>
      <c r="C16" t="s">
        <v>519</v>
      </c>
    </row>
    <row r="17">
      <c r="A17" t="s">
        <v>365</v>
      </c>
      <c r="B17" t="s">
        <v>366</v>
      </c>
      <c r="C17" t="s">
        <v>520</v>
      </c>
    </row>
    <row r="18">
      <c r="A18" t="s">
        <v>487</v>
      </c>
      <c r="B18" t="s">
        <v>521</v>
      </c>
      <c r="C18" t="s">
        <v>522</v>
      </c>
    </row>
    <row r="19">
      <c r="A19" t="s">
        <v>490</v>
      </c>
      <c r="B19" t="s">
        <v>523</v>
      </c>
      <c r="C19" t="s">
        <v>524</v>
      </c>
    </row>
    <row r="20">
      <c r="A20" t="s">
        <v>141</v>
      </c>
      <c r="B20" t="s">
        <v>372</v>
      </c>
      <c r="C20" t="s">
        <v>525</v>
      </c>
    </row>
    <row r="21">
      <c r="A21" t="s">
        <v>477</v>
      </c>
      <c r="B21" t="s">
        <v>526</v>
      </c>
      <c r="C21" t="s">
        <v>527</v>
      </c>
    </row>
    <row r="22">
      <c r="A22" t="s">
        <v>480</v>
      </c>
      <c r="B22" t="s">
        <v>528</v>
      </c>
      <c r="C22" t="s">
        <v>529</v>
      </c>
    </row>
    <row r="23">
      <c r="A23" t="s">
        <v>368</v>
      </c>
      <c r="B23" t="s">
        <v>530</v>
      </c>
      <c r="C23" t="s">
        <v>531</v>
      </c>
    </row>
    <row r="24">
      <c r="A24" t="s">
        <v>484</v>
      </c>
      <c r="B24" t="s">
        <v>532</v>
      </c>
      <c r="C24" t="s">
        <v>533</v>
      </c>
    </row>
    <row r="25">
      <c r="A25" t="s">
        <v>374</v>
      </c>
      <c r="B25" t="s">
        <v>534</v>
      </c>
      <c r="C25" t="s">
        <v>535</v>
      </c>
    </row>
    <row r="26">
      <c r="A26" t="s">
        <v>379</v>
      </c>
      <c r="B26" t="s">
        <v>380</v>
      </c>
      <c r="C26" t="s">
        <v>536</v>
      </c>
    </row>
    <row r="27">
      <c r="A27" t="s">
        <v>382</v>
      </c>
      <c r="B27" t="s">
        <v>383</v>
      </c>
      <c r="C27" t="s">
        <v>537</v>
      </c>
    </row>
    <row r="28">
      <c r="A28" t="s">
        <v>376</v>
      </c>
      <c r="B28" t="s">
        <v>377</v>
      </c>
      <c r="C28" t="s">
        <v>538</v>
      </c>
    </row>
    <row r="29">
      <c r="A29" t="s">
        <v>385</v>
      </c>
      <c r="B29" t="s">
        <v>539</v>
      </c>
      <c r="C29" t="s">
        <v>540</v>
      </c>
    </row>
    <row r="30">
      <c r="A30" t="s">
        <v>388</v>
      </c>
      <c r="B30" t="s">
        <v>389</v>
      </c>
      <c r="C30" t="s">
        <v>541</v>
      </c>
    </row>
    <row r="31">
      <c r="A31" t="s">
        <v>391</v>
      </c>
      <c r="B31" t="s">
        <v>542</v>
      </c>
      <c r="C31" t="s">
        <v>543</v>
      </c>
    </row>
    <row r="32">
      <c r="A32" t="s">
        <v>339</v>
      </c>
      <c r="B32" t="s">
        <v>544</v>
      </c>
      <c r="C32" t="s">
        <v>545</v>
      </c>
    </row>
    <row r="33">
      <c r="A33" t="s">
        <v>342</v>
      </c>
      <c r="B33" t="s">
        <v>546</v>
      </c>
      <c r="C33" t="s">
        <v>547</v>
      </c>
    </row>
    <row r="34">
      <c r="A34" t="s">
        <v>345</v>
      </c>
      <c r="B34" t="s">
        <v>548</v>
      </c>
      <c r="C34" t="s">
        <v>549</v>
      </c>
    </row>
    <row r="35">
      <c r="A35" t="s">
        <v>349</v>
      </c>
      <c r="B35" t="s">
        <v>348</v>
      </c>
      <c r="C35" t="s">
        <v>550</v>
      </c>
    </row>
    <row r="36">
      <c r="A36" t="s">
        <v>395</v>
      </c>
      <c r="B36" t="s">
        <v>551</v>
      </c>
      <c r="C36" t="s">
        <v>552</v>
      </c>
    </row>
    <row r="37">
      <c r="A37" t="s">
        <v>402</v>
      </c>
      <c r="B37" t="s">
        <v>403</v>
      </c>
      <c r="C37" t="s">
        <v>553</v>
      </c>
    </row>
    <row r="38">
      <c r="A38" t="s">
        <v>459</v>
      </c>
      <c r="B38" t="s">
        <v>554</v>
      </c>
      <c r="C38" t="s">
        <v>555</v>
      </c>
    </row>
    <row r="39">
      <c r="A39" t="s">
        <v>414</v>
      </c>
      <c r="B39" t="s">
        <v>556</v>
      </c>
      <c r="C39" t="s">
        <v>557</v>
      </c>
    </row>
    <row r="40">
      <c r="A40" t="s">
        <v>192</v>
      </c>
      <c r="B40" t="s">
        <v>419</v>
      </c>
      <c r="C40" t="s">
        <v>558</v>
      </c>
    </row>
    <row r="41">
      <c r="A41" t="s">
        <v>421</v>
      </c>
      <c r="B41" t="s">
        <v>422</v>
      </c>
      <c r="C41" t="s">
        <v>559</v>
      </c>
    </row>
    <row r="42">
      <c r="A42" t="s">
        <v>424</v>
      </c>
      <c r="B42" t="s">
        <v>560</v>
      </c>
      <c r="C42" t="s">
        <v>561</v>
      </c>
    </row>
    <row r="43">
      <c r="A43" t="s">
        <v>430</v>
      </c>
      <c r="B43" t="s">
        <v>431</v>
      </c>
      <c r="C43" t="s">
        <v>562</v>
      </c>
    </row>
    <row r="44">
      <c r="A44" t="s">
        <v>434</v>
      </c>
      <c r="B44" t="s">
        <v>563</v>
      </c>
      <c r="C44" t="s">
        <v>564</v>
      </c>
    </row>
    <row r="45">
      <c r="A45" t="s">
        <v>464</v>
      </c>
      <c r="B45" t="s">
        <v>565</v>
      </c>
      <c r="C45" t="s">
        <v>566</v>
      </c>
    </row>
    <row r="46">
      <c r="A46" t="s">
        <v>446</v>
      </c>
      <c r="B46" t="s">
        <v>447</v>
      </c>
      <c r="C46" t="s">
        <v>567</v>
      </c>
    </row>
    <row r="47">
      <c r="A47" t="s">
        <v>449</v>
      </c>
      <c r="B47" t="s">
        <v>568</v>
      </c>
      <c r="C47" t="s">
        <v>569</v>
      </c>
    </row>
    <row r="48">
      <c r="A48" t="s">
        <v>455</v>
      </c>
      <c r="B48" t="s">
        <v>570</v>
      </c>
      <c r="C48" t="s">
        <v>571</v>
      </c>
    </row>
    <row r="49">
      <c r="A49" t="s">
        <v>572</v>
      </c>
      <c r="B49" t="s">
        <v>573</v>
      </c>
      <c r="C49" t="s">
        <v>574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575</v>
      </c>
    </row>
    <row r="2">
      <c r="A2" t="s">
        <v>321</v>
      </c>
      <c r="B2" t="s">
        <v>323</v>
      </c>
      <c r="C2" t="s">
        <v>325</v>
      </c>
      <c r="D2" t="s">
        <v>576</v>
      </c>
      <c r="E2" t="s">
        <v>577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IFERROR(INDEX('1_Source_IndustryOutput'!$B$2:$B$72, MATCH($A3, '1_Source_IndustryOutput'!$A$2:$A$72,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IFERROR(INDEX('1_Source_IndustryOutput'!$B$2:$B$72, MATCH($A4, '1_Source_IndustryOutput'!$A$2:$A$72,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IFERROR(INDEX('1_Source_IndustryOutput'!$B$2:$B$72, MATCH($A5, '1_Source_IndustryOutput'!$A$2:$A$72,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IFERROR(INDEX('1_Source_IndustryOutput'!$B$2:$B$72, MATCH($A6, '1_Source_IndustryOutput'!$A$2:$A$72,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IFERROR(INDEX('1_Source_IndustryOutput'!$B$2:$B$72, MATCH($A7, '1_Source_IndustryOutput'!$A$2:$A$72,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IFERROR(INDEX('1_Source_IndustryOutput'!$B$2:$B$72, MATCH($A8, '1_Source_IndustryOutput'!$A$2:$A$72,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IFERROR(INDEX('1_Source_IndustryOutput'!$B$2:$B$72, MATCH($A9, '1_Source_IndustryOutput'!$A$2:$A$72,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IFERROR(INDEX('1_Source_IndustryOutput'!$B$2:$B$72, MATCH($A10, '1_Source_IndustryOutput'!$A$2:$A$72,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IFERROR(INDEX('1_Source_IndustryOutput'!$B$2:$B$72, MATCH($A11, '1_Source_IndustryOutput'!$A$2:$A$72,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IFERROR(INDEX('1_Source_IndustryOutput'!$B$2:$B$72, MATCH($A12, '1_Source_IndustryOutput'!$A$2:$A$72,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IFERROR(INDEX('1_Source_IndustryOutput'!$B$2:$B$72, MATCH($A13, '1_Source_IndustryOutput'!$A$2:$A$72,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IFERROR(INDEX('1_Source_IndustryOutput'!$B$2:$B$72, MATCH($A14, '1_Source_IndustryOutput'!$A$2:$A$72,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IFERROR(INDEX('1_Source_IndustryOutput'!$B$2:$B$72, MATCH($A15, '1_Source_IndustryOutput'!$A$2:$A$72,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IFERROR(INDEX('1_Source_IndustryOutput'!$B$2:$B$72, MATCH($A16, '1_Source_IndustryOutput'!$A$2:$A$72,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IFERROR(INDEX('1_Source_IndustryOutput'!$B$2:$B$72, MATCH($A17, '1_Source_IndustryOutput'!$A$2:$A$72,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IFERROR(INDEX('1_Source_IndustryOutput'!$B$2:$B$72, MATCH($A18, '1_Source_IndustryOutput'!$A$2:$A$72,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IFERROR(INDEX('1_Source_IndustryOutput'!$B$2:$B$72, MATCH($A19, '1_Source_IndustryOutput'!$A$2:$A$72,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IFERROR(INDEX('1_Source_IndustryOutput'!$B$2:$B$72, MATCH($A20, '1_Source_IndustryOutput'!$A$2:$A$72,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IFERROR(INDEX('1_Source_IndustryOutput'!$B$2:$B$72, MATCH($A21, '1_Source_IndustryOutput'!$A$2:$A$72,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IFERROR(INDEX('1_Source_IndustryOutput'!$B$2:$B$72, MATCH($A22, '1_Source_IndustryOutput'!$A$2:$A$72,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IFERROR(INDEX('1_Source_IndustryOutput'!$B$2:$B$72, MATCH($A23, '1_Source_IndustryOutput'!$A$2:$A$72,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IFERROR(INDEX('1_Source_IndustryOutput'!$B$2:$B$72, MATCH($A24, '1_Source_IndustryOutput'!$A$2:$A$72,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IFERROR(INDEX('1_Source_IndustryOutput'!$B$2:$B$72, MATCH($A25, '1_Source_IndustryOutput'!$A$2:$A$72,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IFERROR(INDEX('1_Source_IndustryOutput'!$B$2:$B$72, MATCH($A26, '1_Source_IndustryOutput'!$A$2:$A$72,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IFERROR(INDEX('1_Source_IndustryOutput'!$B$2:$B$72, MATCH($A27, '1_Source_IndustryOutput'!$A$2:$A$72,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IFERROR(INDEX('1_Source_IndustryOutput'!$B$2:$B$72, MATCH($A28, '1_Source_IndustryOutput'!$A$2:$A$72,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IFERROR(INDEX('1_Source_IndustryOutput'!$B$2:$B$72, MATCH($A29, '1_Source_IndustryOutput'!$A$2:$A$72,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IFERROR(INDEX('1_Source_IndustryOutput'!$B$2:$B$72, MATCH($A30, '1_Source_IndustryOutput'!$A$2:$A$72,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IFERROR(INDEX('1_Source_IndustryOutput'!$B$2:$B$72, MATCH($A31, '1_Source_IndustryOutput'!$A$2:$A$72,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IFERROR(INDEX('1_Source_IndustryOutput'!$B$2:$B$72, MATCH($A32, '1_Source_IndustryOutput'!$A$2:$A$72,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IFERROR(INDEX('1_Source_IndustryOutput'!$B$2:$B$72, MATCH($A33, '1_Source_IndustryOutput'!$A$2:$A$72,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IFERROR(INDEX('1_Source_IndustryOutput'!$B$2:$B$72, MATCH($A34, '1_Source_IndustryOutput'!$A$2:$A$72,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IFERROR(INDEX('1_Source_IndustryOutput'!$B$2:$B$72, MATCH($A35, '1_Source_IndustryOutput'!$A$2:$A$72,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IFERROR(INDEX('1_Source_IndustryOutput'!$B$2:$B$72, MATCH($A36, '1_Source_IndustryOutput'!$A$2:$A$72,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IFERROR(INDEX('1_Source_IndustryOutput'!$B$2:$B$72, MATCH($A37, '1_Source_IndustryOutput'!$A$2:$A$72,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IFERROR(INDEX('1_Source_IndustryOutput'!$B$2:$B$72, MATCH($A38, '1_Source_IndustryOutput'!$A$2:$A$72,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IFERROR(INDEX('1_Source_IndustryOutput'!$B$2:$B$72, MATCH($A39, '1_Source_IndustryOutput'!$A$2:$A$72,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IFERROR(INDEX('1_Source_IndustryOutput'!$B$2:$B$72, MATCH($A40, '1_Source_IndustryOutput'!$A$2:$A$72,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IFERROR(INDEX('1_Source_IndustryOutput'!$B$2:$B$72, MATCH($A41, '1_Source_IndustryOutput'!$A$2:$A$72,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IFERROR(INDEX('1_Source_IndustryOutput'!$B$2:$B$72, MATCH($A42, '1_Source_IndustryOutput'!$A$2:$A$72,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IFERROR(INDEX('1_Source_IndustryOutput'!$B$2:$B$72, MATCH($A43, '1_Source_IndustryOutput'!$A$2:$A$72,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IFERROR(INDEX('1_Source_IndustryOutput'!$B$2:$B$72, MATCH($A44, '1_Source_IndustryOutput'!$A$2:$A$72,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IFERROR(INDEX('1_Source_IndustryOutput'!$B$2:$B$72, MATCH($A45, '1_Source_IndustryOutput'!$A$2:$A$72,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IFERROR(INDEX('1_Source_IndustryOutput'!$B$2:$B$72, MATCH($A46, '1_Source_IndustryOutput'!$A$2:$A$72,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IFERROR(INDEX('1_Source_IndustryOutput'!$B$2:$B$72, MATCH($A47, '1_Source_IndustryOutput'!$A$2:$A$72,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IFERROR(INDEX('1_Source_IndustryOutput'!$B$2:$B$72, MATCH($A48, '1_Source_IndustryOutput'!$A$2:$A$72,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IFERROR(INDEX('1_Source_IndustryOutput'!$B$2:$B$72, MATCH($A49, '1_Source_IndustryOutput'!$A$2:$A$72,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IFERROR(INDEX('1_Source_IndustryOutput'!$B$2:$B$72, MATCH($A50, '1_Source_IndustryOutput'!$A$2:$A$72,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IFERROR(INDEX('1_Source_IndustryOutput'!$B$2:$B$72, MATCH($A51, '1_Source_IndustryOutput'!$A$2:$A$72,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IFERROR(INDEX('1_Source_IndustryOutput'!$B$2:$B$72, MATCH($A52, '1_Source_IndustryOutput'!$A$2:$A$72,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IFERROR(INDEX('1_Source_IndustryOutput'!$B$2:$B$72, MATCH($A53, '1_Source_IndustryOutput'!$A$2:$A$72,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IFERROR(INDEX('1_Source_IndustryOutput'!$B$2:$B$72, MATCH($A54, '1_Source_IndustryOutput'!$A$2:$A$72,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IFERROR(INDEX('1_Source_IndustryOutput'!$B$2:$B$72, MATCH($A55, '1_Source_IndustryOutput'!$A$2:$A$72,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IFERROR(INDEX('1_Source_IndustryOutput'!$B$2:$B$72, MATCH($A56, '1_Source_IndustryOutput'!$A$2:$A$72,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IFERROR(INDEX('1_Source_IndustryOutput'!$B$2:$B$72, MATCH($A57, '1_Source_IndustryOutput'!$A$2:$A$72,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IFERROR(INDEX('1_Source_IndustryOutput'!$B$2:$B$72, MATCH($A58, '1_Source_IndustryOutput'!$A$2:$A$72,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IFERROR(INDEX('1_Source_IndustryOutput'!$B$2:$B$72, MATCH($A59, '1_Source_IndustryOutput'!$A$2:$A$72,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IFERROR(INDEX('1_Source_IndustryOutput'!$B$2:$B$72, MATCH($A60, '1_Source_IndustryOutput'!$A$2:$A$72,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IFERROR(INDEX('1_Source_IndustryOutput'!$B$2:$B$72, MATCH($A61, '1_Source_IndustryOutput'!$A$2:$A$72,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IFERROR(INDEX('1_Source_IndustryOutput'!$B$2:$B$72, MATCH($A62, '1_Source_IndustryOutput'!$A$2:$A$72,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IFERROR(INDEX('1_Source_IndustryOutput'!$B$2:$B$72, MATCH($A63, '1_Source_IndustryOutput'!$A$2:$A$72,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IFERROR(INDEX('1_Source_IndustryOutput'!$B$2:$B$72, MATCH($A64, '1_Source_IndustryOutput'!$A$2:$A$72,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IFERROR(INDEX('1_Source_IndustryOutput'!$B$2:$B$72, MATCH($A65, '1_Source_IndustryOutput'!$A$2:$A$72,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IFERROR(INDEX('1_Source_IndustryOutput'!$B$2:$B$72, MATCH($A66, '1_Source_IndustryOutput'!$A$2:$A$72,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IFERROR(INDEX('1_Source_IndustryOutput'!$B$2:$B$72, MATCH($A67, '1_Source_IndustryOutput'!$A$2:$A$72,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IFERROR(INDEX('1_Source_IndustryOutput'!$B$2:$B$72, MATCH($A68, '1_Source_IndustryOutput'!$A$2:$A$72,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IFERROR(INDEX('1_Source_IndustryOutput'!$B$2:$B$72, MATCH($A69, '1_Source_IndustryOutput'!$A$2:$A$72,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IFERROR(INDEX('1_Source_IndustryOutput'!$B$2:$B$72, MATCH($A70, '1_Source_IndustryOutput'!$A$2:$A$72,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IFERROR(INDEX('1_Source_IndustryOutput'!$B$2:$B$72, MATCH($A71, '1_Source_IndustryOutput'!$A$2:$A$72,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IFERROR(INDEX('1_Source_IndustryOutput'!$B$2:$B$72, MATCH($A72, '1_Source_IndustryOutput'!$A$2:$A$72,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IFERROR(INDEX('1_Source_IndustryOutput'!$B$2:$B$72, MATCH($A73, '1_Source_IndustryOutput'!$A$2:$A$72,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IFERROR(INDEX('1_Source_IndustryOutput'!$B$2:$B$72, MATCH($A74, '1_Source_IndustryOutput'!$A$2:$A$72,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IFERROR(INDEX('1_Source_IndustryOutput'!$B$2:$B$72, MATCH($A75, '1_Source_IndustryOutput'!$A$2:$A$72,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IFERROR(INDEX('1_Source_IndustryOutput'!$B$2:$B$72, MATCH($A76, '1_Source_IndustryOutput'!$A$2:$A$72,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IFERROR(INDEX('1_Source_IndustryOutput'!$B$2:$B$72, MATCH($A77, '1_Source_IndustryOutput'!$A$2:$A$72,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IFERROR(INDEX('1_Source_IndustryOutput'!$B$2:$B$72, MATCH($A78, '1_Source_IndustryOutput'!$A$2:$A$72,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IFERROR(INDEX('1_Source_IndustryOutput'!$B$2:$B$72, MATCH($A79, '1_Source_IndustryOutput'!$A$2:$A$72,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IFERROR(INDEX('1_Source_IndustryOutput'!$B$2:$B$72, MATCH($A80, '1_Source_IndustryOutput'!$A$2:$A$72,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IFERROR(INDEX('1_Source_IndustryOutput'!$B$2:$B$72, MATCH($A81, '1_Source_IndustryOutput'!$A$2:$A$72, 0)), 0)</f>
      </c>
      <c r="E81" t="str">
        <f>C81*D81</f>
      </c>
    </row>
    <row r="83">
      <c r="A83" t="s">
        <v>578</v>
      </c>
    </row>
    <row r="84">
      <c r="A84" t="s">
        <v>323</v>
      </c>
      <c r="B84" t="s">
        <v>579</v>
      </c>
      <c r="C84" t="s">
        <v>580</v>
      </c>
    </row>
    <row r="85">
      <c r="A85" t="s">
        <v>329</v>
      </c>
      <c r="B85" t="str">
        <f>SUMIFS('5_Calc_ISIC_aggregation'!$E$3:$E$81, '5_Calc_ISIC_aggregation'!$B$3:$B$81, $A85)</f>
      </c>
      <c r="C85" t="str">
        <f>B85/Keys!$C$2</f>
      </c>
    </row>
    <row r="86">
      <c r="A86" t="s">
        <v>471</v>
      </c>
      <c r="B86" t="str">
        <f>SUMIFS('5_Calc_ISIC_aggregation'!$E$3:$E$81, '5_Calc_ISIC_aggregation'!$B$3:$B$81, $A86)</f>
      </c>
      <c r="C86" t="str">
        <f>B86/Keys!$C$2</f>
      </c>
    </row>
    <row r="87">
      <c r="A87" t="s">
        <v>333</v>
      </c>
      <c r="B87" t="str">
        <f>SUMIFS('5_Calc_ISIC_aggregation'!$E$3:$E$81, '5_Calc_ISIC_aggregation'!$B$3:$B$81, $A87)</f>
      </c>
      <c r="C87" t="str">
        <f>B87/Keys!$C$2</f>
      </c>
    </row>
    <row r="88">
      <c r="A88" t="s">
        <v>474</v>
      </c>
      <c r="B88" t="str">
        <f>SUMIFS('5_Calc_ISIC_aggregation'!$E$3:$E$81, '5_Calc_ISIC_aggregation'!$B$3:$B$81, $A88)</f>
      </c>
      <c r="C88" t="str">
        <f>B88/Keys!$C$2</f>
      </c>
    </row>
    <row r="89">
      <c r="A89" t="s">
        <v>336</v>
      </c>
      <c r="B89" t="str">
        <f>SUMIFS('5_Calc_ISIC_aggregation'!$E$3:$E$81, '5_Calc_ISIC_aggregation'!$B$3:$B$81, $A89)</f>
      </c>
      <c r="C89" t="str">
        <f>B89/Keys!$C$2</f>
      </c>
    </row>
    <row r="90">
      <c r="A90" t="s">
        <v>351</v>
      </c>
      <c r="B90" t="str">
        <f>SUMIFS('5_Calc_ISIC_aggregation'!$E$3:$E$81, '5_Calc_ISIC_aggregation'!$B$3:$B$81, $A90)</f>
      </c>
      <c r="C90" t="str">
        <f>B90/Keys!$C$2</f>
      </c>
    </row>
    <row r="91">
      <c r="A91" t="s">
        <v>354</v>
      </c>
      <c r="B91" t="str">
        <f>SUMIFS('5_Calc_ISIC_aggregation'!$E$3:$E$81, '5_Calc_ISIC_aggregation'!$B$3:$B$81, $A91)</f>
      </c>
      <c r="C91" t="str">
        <f>B91/Keys!$C$2</f>
      </c>
    </row>
    <row r="92">
      <c r="A92" t="s">
        <v>358</v>
      </c>
      <c r="B92" t="str">
        <f>SUMIFS('5_Calc_ISIC_aggregation'!$E$3:$E$81, '5_Calc_ISIC_aggregation'!$B$3:$B$81, $A92)</f>
      </c>
      <c r="C92" t="str">
        <f>B92/Keys!$C$2</f>
      </c>
    </row>
    <row r="93">
      <c r="A93" t="s">
        <v>361</v>
      </c>
      <c r="B93" t="str">
        <f>SUMIFS('5_Calc_ISIC_aggregation'!$E$3:$E$81, '5_Calc_ISIC_aggregation'!$B$3:$B$81, $A93)</f>
      </c>
      <c r="C93" t="str">
        <f>B93/Keys!$C$2</f>
      </c>
    </row>
    <row r="94">
      <c r="A94" t="s">
        <v>365</v>
      </c>
      <c r="B94" t="str">
        <f>SUMIFS('5_Calc_ISIC_aggregation'!$E$3:$E$81, '5_Calc_ISIC_aggregation'!$B$3:$B$81, $A94)</f>
      </c>
      <c r="C94" t="str">
        <f>B94/Keys!$C$2</f>
      </c>
    </row>
    <row r="95">
      <c r="A95" t="s">
        <v>487</v>
      </c>
      <c r="B95" t="str">
        <f>SUMIFS('5_Calc_ISIC_aggregation'!$E$3:$E$81, '5_Calc_ISIC_aggregation'!$B$3:$B$81, $A95)</f>
      </c>
      <c r="C95" t="str">
        <f>B95/Keys!$C$2</f>
      </c>
    </row>
    <row r="96">
      <c r="A96" t="s">
        <v>490</v>
      </c>
      <c r="B96" t="str">
        <f>SUMIFS('5_Calc_ISIC_aggregation'!$E$3:$E$81, '5_Calc_ISIC_aggregation'!$B$3:$B$81, $A96)</f>
      </c>
      <c r="C96" t="str">
        <f>B96/Keys!$C$2</f>
      </c>
    </row>
    <row r="97">
      <c r="A97" t="s">
        <v>141</v>
      </c>
      <c r="B97" t="str">
        <f>SUMIFS('5_Calc_ISIC_aggregation'!$E$3:$E$81, '5_Calc_ISIC_aggregation'!$B$3:$B$81, $A97)</f>
      </c>
      <c r="C97" t="str">
        <f>B97/Keys!$C$2</f>
      </c>
    </row>
    <row r="98">
      <c r="A98" t="s">
        <v>477</v>
      </c>
      <c r="B98" t="str">
        <f>SUMIFS('5_Calc_ISIC_aggregation'!$E$3:$E$81, '5_Calc_ISIC_aggregation'!$B$3:$B$81, $A98)</f>
      </c>
      <c r="C98" t="str">
        <f>B98/Keys!$C$2</f>
      </c>
    </row>
    <row r="99">
      <c r="A99" t="s">
        <v>480</v>
      </c>
      <c r="B99" t="str">
        <f>SUMIFS('5_Calc_ISIC_aggregation'!$E$3:$E$81, '5_Calc_ISIC_aggregation'!$B$3:$B$81, $A99)</f>
      </c>
      <c r="C99" t="str">
        <f>B99/Keys!$C$2</f>
      </c>
    </row>
    <row r="100">
      <c r="A100" t="s">
        <v>368</v>
      </c>
      <c r="B100" t="str">
        <f>SUMIFS('5_Calc_ISIC_aggregation'!$E$3:$E$81, '5_Calc_ISIC_aggregation'!$B$3:$B$81, $A100)</f>
      </c>
      <c r="C100" t="str">
        <f>B100/Keys!$C$2</f>
      </c>
    </row>
    <row r="101">
      <c r="A101" t="s">
        <v>484</v>
      </c>
      <c r="B101" t="str">
        <f>SUMIFS('5_Calc_ISIC_aggregation'!$E$3:$E$81, '5_Calc_ISIC_aggregation'!$B$3:$B$81, $A101)</f>
      </c>
      <c r="C101" t="str">
        <f>B101/Keys!$C$2</f>
      </c>
    </row>
    <row r="102">
      <c r="A102" t="s">
        <v>374</v>
      </c>
      <c r="B102" t="str">
        <f>SUMIFS('5_Calc_ISIC_aggregation'!$E$3:$E$81, '5_Calc_ISIC_aggregation'!$B$3:$B$81, $A102)</f>
      </c>
      <c r="C102" t="str">
        <f>B102/Keys!$C$2</f>
      </c>
    </row>
    <row r="103">
      <c r="A103" t="s">
        <v>379</v>
      </c>
      <c r="B103" t="str">
        <f>SUMIFS('5_Calc_ISIC_aggregation'!$E$3:$E$81, '5_Calc_ISIC_aggregation'!$B$3:$B$81, $A103)</f>
      </c>
      <c r="C103" t="str">
        <f>B103/Keys!$C$2</f>
      </c>
    </row>
    <row r="104">
      <c r="A104" t="s">
        <v>382</v>
      </c>
      <c r="B104" t="str">
        <f>SUMIFS('5_Calc_ISIC_aggregation'!$E$3:$E$81, '5_Calc_ISIC_aggregation'!$B$3:$B$81, $A104)</f>
      </c>
      <c r="C104" t="str">
        <f>B104/Keys!$C$2</f>
      </c>
    </row>
    <row r="105">
      <c r="A105" t="s">
        <v>376</v>
      </c>
      <c r="B105" t="str">
        <f>SUMIFS('5_Calc_ISIC_aggregation'!$E$3:$E$81, '5_Calc_ISIC_aggregation'!$B$3:$B$81, $A105)</f>
      </c>
      <c r="C105" t="str">
        <f>B105/Keys!$C$2</f>
      </c>
    </row>
    <row r="106">
      <c r="A106" t="s">
        <v>385</v>
      </c>
      <c r="B106" t="str">
        <f>SUMIFS('5_Calc_ISIC_aggregation'!$E$3:$E$81, '5_Calc_ISIC_aggregation'!$B$3:$B$81, $A106)</f>
      </c>
      <c r="C106" t="str">
        <f>B106/Keys!$C$2</f>
      </c>
    </row>
    <row r="107">
      <c r="A107" t="s">
        <v>388</v>
      </c>
      <c r="B107" t="str">
        <f>SUMIFS('5_Calc_ISIC_aggregation'!$E$3:$E$81, '5_Calc_ISIC_aggregation'!$B$3:$B$81, $A107)</f>
      </c>
      <c r="C107" t="str">
        <f>B107/Keys!$C$2</f>
      </c>
    </row>
    <row r="108">
      <c r="A108" t="s">
        <v>391</v>
      </c>
      <c r="B108" t="str">
        <f>SUMIFS('5_Calc_ISIC_aggregation'!$E$3:$E$81, '5_Calc_ISIC_aggregation'!$B$3:$B$81, $A108)</f>
      </c>
      <c r="C108" t="str">
        <f>B108/Keys!$C$2</f>
      </c>
    </row>
    <row r="109">
      <c r="A109" t="s">
        <v>339</v>
      </c>
      <c r="B109" t="str">
        <f>SUMIFS('5_Calc_ISIC_aggregation'!$E$3:$E$81, '5_Calc_ISIC_aggregation'!$B$3:$B$81, $A109)</f>
      </c>
      <c r="C109" t="str">
        <f>B109/Keys!$C$2</f>
      </c>
    </row>
    <row r="110">
      <c r="A110" t="s">
        <v>342</v>
      </c>
      <c r="B110" t="str">
        <f>SUMIFS('5_Calc_ISIC_aggregation'!$E$3:$E$81, '5_Calc_ISIC_aggregation'!$B$3:$B$81, $A110)</f>
      </c>
      <c r="C110" t="str">
        <f>B110/Keys!$C$2</f>
      </c>
    </row>
    <row r="111">
      <c r="A111" t="s">
        <v>345</v>
      </c>
      <c r="B111" t="str">
        <f>SUMIFS('5_Calc_ISIC_aggregation'!$E$3:$E$81, '5_Calc_ISIC_aggregation'!$B$3:$B$81, $A111)</f>
      </c>
      <c r="C111" t="str">
        <f>B111/Keys!$C$2</f>
      </c>
    </row>
    <row r="112">
      <c r="A112" t="s">
        <v>349</v>
      </c>
      <c r="B112" t="str">
        <f>SUMIFS('5_Calc_ISIC_aggregation'!$E$3:$E$81, '5_Calc_ISIC_aggregation'!$B$3:$B$81, $A112)</f>
      </c>
      <c r="C112" t="str">
        <f>B112/Keys!$C$2</f>
      </c>
    </row>
    <row r="113">
      <c r="A113" t="s">
        <v>395</v>
      </c>
      <c r="B113" t="str">
        <f>SUMIFS('5_Calc_ISIC_aggregation'!$E$3:$E$81, '5_Calc_ISIC_aggregation'!$B$3:$B$81, $A113)</f>
      </c>
      <c r="C113" t="str">
        <f>B113/Keys!$C$2</f>
      </c>
    </row>
    <row r="114">
      <c r="A114" t="s">
        <v>402</v>
      </c>
      <c r="B114" t="str">
        <f>SUMIFS('5_Calc_ISIC_aggregation'!$E$3:$E$81, '5_Calc_ISIC_aggregation'!$B$3:$B$81, $A114)</f>
      </c>
      <c r="C114" t="str">
        <f>B114/Keys!$C$2</f>
      </c>
    </row>
    <row r="115">
      <c r="A115" t="s">
        <v>459</v>
      </c>
      <c r="B115" t="str">
        <f>SUMIFS('5_Calc_ISIC_aggregation'!$E$3:$E$81, '5_Calc_ISIC_aggregation'!$B$3:$B$81, $A115)</f>
      </c>
      <c r="C115" t="str">
        <f>B115/Keys!$C$2</f>
      </c>
    </row>
    <row r="116">
      <c r="A116" t="s">
        <v>414</v>
      </c>
      <c r="B116" t="str">
        <f>SUMIFS('5_Calc_ISIC_aggregation'!$E$3:$E$81, '5_Calc_ISIC_aggregation'!$B$3:$B$81, $A116)</f>
      </c>
      <c r="C116" t="str">
        <f>B116/Keys!$C$2</f>
      </c>
    </row>
    <row r="117">
      <c r="A117" t="s">
        <v>192</v>
      </c>
      <c r="B117" t="str">
        <f>SUMIFS('5_Calc_ISIC_aggregation'!$E$3:$E$81, '5_Calc_ISIC_aggregation'!$B$3:$B$81, $A117)</f>
      </c>
      <c r="C117" t="str">
        <f>B117/Keys!$C$2</f>
      </c>
    </row>
    <row r="118">
      <c r="A118" t="s">
        <v>421</v>
      </c>
      <c r="B118" t="str">
        <f>SUMIFS('5_Calc_ISIC_aggregation'!$E$3:$E$81, '5_Calc_ISIC_aggregation'!$B$3:$B$81, $A118)</f>
      </c>
      <c r="C118" t="str">
        <f>B118/Keys!$C$2</f>
      </c>
    </row>
    <row r="119">
      <c r="A119" t="s">
        <v>424</v>
      </c>
      <c r="B119" t="str">
        <f>SUMIFS('5_Calc_ISIC_aggregation'!$E$3:$E$81, '5_Calc_ISIC_aggregation'!$B$3:$B$81, $A119)</f>
      </c>
      <c r="C119" t="str">
        <f>B119/Keys!$C$2</f>
      </c>
    </row>
    <row r="120">
      <c r="A120" t="s">
        <v>430</v>
      </c>
      <c r="B120" t="str">
        <f>SUMIFS('5_Calc_ISIC_aggregation'!$E$3:$E$81, '5_Calc_ISIC_aggregation'!$B$3:$B$81, $A120)</f>
      </c>
      <c r="C120" t="str">
        <f>B120/Keys!$C$2</f>
      </c>
    </row>
    <row r="121">
      <c r="A121" t="s">
        <v>434</v>
      </c>
      <c r="B121" t="str">
        <f>SUMIFS('5_Calc_ISIC_aggregation'!$E$3:$E$81, '5_Calc_ISIC_aggregation'!$B$3:$B$81, $A121)</f>
      </c>
      <c r="C121" t="str">
        <f>B121/Keys!$C$2</f>
      </c>
    </row>
    <row r="122">
      <c r="A122" t="s">
        <v>464</v>
      </c>
      <c r="B122" t="str">
        <f>SUMIFS('5_Calc_ISIC_aggregation'!$E$3:$E$81, '5_Calc_ISIC_aggregation'!$B$3:$B$81, $A122)</f>
      </c>
      <c r="C122" t="str">
        <f>B122/Keys!$C$2</f>
      </c>
    </row>
    <row r="123">
      <c r="A123" t="s">
        <v>446</v>
      </c>
      <c r="B123" t="str">
        <f>SUMIFS('5_Calc_ISIC_aggregation'!$E$3:$E$81, '5_Calc_ISIC_aggregation'!$B$3:$B$81, $A123)</f>
      </c>
      <c r="C123" t="str">
        <f>B123/Keys!$C$2</f>
      </c>
    </row>
    <row r="124">
      <c r="A124" t="s">
        <v>449</v>
      </c>
      <c r="B124" t="str">
        <f>SUMIFS('5_Calc_ISIC_aggregation'!$E$3:$E$81, '5_Calc_ISIC_aggregation'!$B$3:$B$81, $A124)</f>
      </c>
      <c r="C124" t="str">
        <f>B124/Keys!$C$2</f>
      </c>
    </row>
    <row r="125">
      <c r="A125" t="s">
        <v>455</v>
      </c>
      <c r="B125" t="str">
        <f>SUMIFS('5_Calc_ISIC_aggregation'!$E$3:$E$81, '5_Calc_ISIC_aggregation'!$B$3:$B$81, $A125)</f>
      </c>
      <c r="C125" t="str">
        <f>B125/Keys!$C$2</f>
      </c>
    </row>
    <row r="126">
      <c r="A126" t="s">
        <v>572</v>
      </c>
      <c r="B126" t="str">
        <f>SUMIFS('5_Calc_ISIC_aggregation'!$E$3:$E$81, '5_Calc_ISIC_aggregation'!$B$3:$B$81,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581</v>
      </c>
      <c r="B1" t="s">
        <v>329</v>
      </c>
      <c r="C1" t="s">
        <v>471</v>
      </c>
      <c r="D1" t="s">
        <v>333</v>
      </c>
      <c r="E1" t="s">
        <v>474</v>
      </c>
      <c r="F1" t="s">
        <v>336</v>
      </c>
      <c r="G1" t="s">
        <v>351</v>
      </c>
      <c r="H1" t="s">
        <v>354</v>
      </c>
      <c r="I1" t="s">
        <v>358</v>
      </c>
      <c r="J1" t="s">
        <v>361</v>
      </c>
      <c r="K1" t="s">
        <v>365</v>
      </c>
      <c r="L1" t="s">
        <v>487</v>
      </c>
      <c r="M1" t="s">
        <v>490</v>
      </c>
      <c r="N1" t="s">
        <v>141</v>
      </c>
      <c r="O1" t="s">
        <v>477</v>
      </c>
      <c r="P1" t="s">
        <v>480</v>
      </c>
      <c r="Q1" t="s">
        <v>368</v>
      </c>
      <c r="R1" t="s">
        <v>484</v>
      </c>
      <c r="S1" t="s">
        <v>374</v>
      </c>
      <c r="T1" t="s">
        <v>379</v>
      </c>
      <c r="U1" t="s">
        <v>382</v>
      </c>
      <c r="V1" t="s">
        <v>376</v>
      </c>
      <c r="W1" t="s">
        <v>385</v>
      </c>
      <c r="X1" t="s">
        <v>388</v>
      </c>
      <c r="Y1" t="s">
        <v>391</v>
      </c>
      <c r="Z1" t="s">
        <v>339</v>
      </c>
      <c r="AA1" t="s">
        <v>342</v>
      </c>
      <c r="AB1" t="s">
        <v>345</v>
      </c>
      <c r="AC1" t="s">
        <v>349</v>
      </c>
      <c r="AD1" t="s">
        <v>395</v>
      </c>
      <c r="AE1" t="s">
        <v>402</v>
      </c>
      <c r="AF1" t="s">
        <v>459</v>
      </c>
      <c r="AG1" t="s">
        <v>414</v>
      </c>
      <c r="AH1" t="s">
        <v>192</v>
      </c>
      <c r="AI1" t="s">
        <v>421</v>
      </c>
      <c r="AJ1" t="s">
        <v>424</v>
      </c>
      <c r="AK1" t="s">
        <v>430</v>
      </c>
      <c r="AL1" t="s">
        <v>434</v>
      </c>
      <c r="AM1" t="s">
        <v>464</v>
      </c>
      <c r="AN1" t="s">
        <v>446</v>
      </c>
      <c r="AO1" t="s">
        <v>449</v>
      </c>
      <c r="AP1" t="s">
        <v>455</v>
      </c>
      <c r="AQ1" t="s">
        <v>572</v>
      </c>
    </row>
    <row r="2">
      <c r="A2" t="s">
        <v>582</v>
      </c>
      <c r="B2" t="str">
        <f>INDEX('5_Calc_ISIC_aggregation'!$C$85:$C$126, MATCH(B$1, '5_Calc_ISIC_aggregation'!$A$85:$A$126, 0))</f>
      </c>
      <c r="C2" t="str">
        <f>INDEX('5_Calc_ISIC_aggregation'!$C$85:$C$126, MATCH(C$1, '5_Calc_ISIC_aggregation'!$A$85:$A$126, 0))</f>
      </c>
      <c r="D2" t="str">
        <f>INDEX('5_Calc_ISIC_aggregation'!$C$85:$C$126, MATCH(D$1, '5_Calc_ISIC_aggregation'!$A$85:$A$126, 0))</f>
      </c>
      <c r="E2" t="str">
        <f>INDEX('5_Calc_ISIC_aggregation'!$C$85:$C$126, MATCH(E$1, '5_Calc_ISIC_aggregation'!$A$85:$A$126, 0))</f>
      </c>
      <c r="F2" t="str">
        <f>INDEX('5_Calc_ISIC_aggregation'!$C$85:$C$126, MATCH(F$1, '5_Calc_ISIC_aggregation'!$A$85:$A$126, 0))</f>
      </c>
      <c r="G2" t="str">
        <f>INDEX('5_Calc_ISIC_aggregation'!$C$85:$C$126, MATCH(G$1, '5_Calc_ISIC_aggregation'!$A$85:$A$126, 0))</f>
      </c>
      <c r="H2" t="str">
        <f>INDEX('5_Calc_ISIC_aggregation'!$C$85:$C$126, MATCH(H$1, '5_Calc_ISIC_aggregation'!$A$85:$A$126, 0))</f>
      </c>
      <c r="I2" t="str">
        <f>INDEX('5_Calc_ISIC_aggregation'!$C$85:$C$126, MATCH(I$1, '5_Calc_ISIC_aggregation'!$A$85:$A$126, 0))</f>
      </c>
      <c r="J2" t="str">
        <f>INDEX('5_Calc_ISIC_aggregation'!$C$85:$C$126, MATCH(J$1, '5_Calc_ISIC_aggregation'!$A$85:$A$126, 0))</f>
      </c>
      <c r="K2" t="str">
        <f>INDEX('5_Calc_ISIC_aggregation'!$C$85:$C$126, MATCH(K$1, '5_Calc_ISIC_aggregation'!$A$85:$A$126, 0))</f>
      </c>
      <c r="L2" t="str">
        <f>INDEX('5_Calc_ISIC_aggregation'!$C$85:$C$126, MATCH(L$1, '5_Calc_ISIC_aggregation'!$A$85:$A$126, 0))</f>
      </c>
      <c r="M2" t="str">
        <f>INDEX('5_Calc_ISIC_aggregation'!$C$85:$C$126, MATCH(M$1, '5_Calc_ISIC_aggregation'!$A$85:$A$126, 0))</f>
      </c>
      <c r="N2" t="str">
        <f>INDEX('5_Calc_ISIC_aggregation'!$C$85:$C$126, MATCH(N$1, '5_Calc_ISIC_aggregation'!$A$85:$A$126, 0))</f>
      </c>
      <c r="O2" t="str">
        <f>INDEX('5_Calc_ISIC_aggregation'!$C$85:$C$126, MATCH(O$1, '5_Calc_ISIC_aggregation'!$A$85:$A$126, 0))</f>
      </c>
      <c r="P2" t="str">
        <f>INDEX('5_Calc_ISIC_aggregation'!$C$85:$C$126, MATCH(P$1, '5_Calc_ISIC_aggregation'!$A$85:$A$126, 0))</f>
      </c>
      <c r="Q2" t="str">
        <f>INDEX('5_Calc_ISIC_aggregation'!$C$85:$C$126, MATCH(Q$1, '5_Calc_ISIC_aggregation'!$A$85:$A$126, 0))</f>
      </c>
      <c r="R2" t="str">
        <f>INDEX('5_Calc_ISIC_aggregation'!$C$85:$C$126, MATCH(R$1, '5_Calc_ISIC_aggregation'!$A$85:$A$126, 0))</f>
      </c>
      <c r="S2" t="str">
        <f>INDEX('5_Calc_ISIC_aggregation'!$C$85:$C$126, MATCH(S$1, '5_Calc_ISIC_aggregation'!$A$85:$A$126, 0))</f>
      </c>
      <c r="T2" t="str">
        <f>INDEX('5_Calc_ISIC_aggregation'!$C$85:$C$126, MATCH(T$1, '5_Calc_ISIC_aggregation'!$A$85:$A$126, 0))</f>
      </c>
      <c r="U2" t="str">
        <f>INDEX('5_Calc_ISIC_aggregation'!$C$85:$C$126, MATCH(U$1, '5_Calc_ISIC_aggregation'!$A$85:$A$126, 0))</f>
      </c>
      <c r="V2" t="str">
        <f>INDEX('5_Calc_ISIC_aggregation'!$C$85:$C$126, MATCH(V$1, '5_Calc_ISIC_aggregation'!$A$85:$A$126, 0))</f>
      </c>
      <c r="W2" t="str">
        <f>INDEX('5_Calc_ISIC_aggregation'!$C$85:$C$126, MATCH(W$1, '5_Calc_ISIC_aggregation'!$A$85:$A$126, 0))</f>
      </c>
      <c r="X2" t="str">
        <f>INDEX('5_Calc_ISIC_aggregation'!$C$85:$C$126, MATCH(X$1, '5_Calc_ISIC_aggregation'!$A$85:$A$126, 0))</f>
      </c>
      <c r="Y2" t="str">
        <f>INDEX('5_Calc_ISIC_aggregation'!$C$85:$C$126, MATCH(Y$1, '5_Calc_ISIC_aggregation'!$A$85:$A$126, 0))</f>
      </c>
      <c r="Z2" t="str">
        <f>INDEX('5_Calc_ISIC_aggregation'!$C$85:$C$126, MATCH(Z$1, '5_Calc_ISIC_aggregation'!$A$85:$A$126, 0))</f>
      </c>
      <c r="AA2" t="str">
        <f>INDEX('5_Calc_ISIC_aggregation'!$C$85:$C$126, MATCH(AA$1, '5_Calc_ISIC_aggregation'!$A$85:$A$126, 0))</f>
      </c>
      <c r="AB2" t="str">
        <f>INDEX('5_Calc_ISIC_aggregation'!$C$85:$C$126, MATCH(AB$1, '5_Calc_ISIC_aggregation'!$A$85:$A$126, 0))</f>
      </c>
      <c r="AC2" t="str">
        <f>INDEX('5_Calc_ISIC_aggregation'!$C$85:$C$126, MATCH(AC$1, '5_Calc_ISIC_aggregation'!$A$85:$A$126, 0))</f>
      </c>
      <c r="AD2" t="str">
        <f>INDEX('5_Calc_ISIC_aggregation'!$C$85:$C$126, MATCH(AD$1, '5_Calc_ISIC_aggregation'!$A$85:$A$126, 0))</f>
      </c>
      <c r="AE2" t="str">
        <f>INDEX('5_Calc_ISIC_aggregation'!$C$85:$C$126, MATCH(AE$1, '5_Calc_ISIC_aggregation'!$A$85:$A$126, 0))</f>
      </c>
      <c r="AF2" t="str">
        <f>INDEX('5_Calc_ISIC_aggregation'!$C$85:$C$126, MATCH(AF$1, '5_Calc_ISIC_aggregation'!$A$85:$A$126, 0))</f>
      </c>
      <c r="AG2" t="str">
        <f>INDEX('5_Calc_ISIC_aggregation'!$C$85:$C$126, MATCH(AG$1, '5_Calc_ISIC_aggregation'!$A$85:$A$126, 0))</f>
      </c>
      <c r="AH2" t="str">
        <f>INDEX('5_Calc_ISIC_aggregation'!$C$85:$C$126, MATCH(AH$1, '5_Calc_ISIC_aggregation'!$A$85:$A$126, 0))</f>
      </c>
      <c r="AI2" t="str">
        <f>INDEX('5_Calc_ISIC_aggregation'!$C$85:$C$126, MATCH(AI$1, '5_Calc_ISIC_aggregation'!$A$85:$A$126, 0))</f>
      </c>
      <c r="AJ2" t="str">
        <f>INDEX('5_Calc_ISIC_aggregation'!$C$85:$C$126, MATCH(AJ$1, '5_Calc_ISIC_aggregation'!$A$85:$A$126, 0))</f>
      </c>
      <c r="AK2" t="str">
        <f>INDEX('5_Calc_ISIC_aggregation'!$C$85:$C$126, MATCH(AK$1, '5_Calc_ISIC_aggregation'!$A$85:$A$126, 0))</f>
      </c>
      <c r="AL2" t="str">
        <f>INDEX('5_Calc_ISIC_aggregation'!$C$85:$C$126, MATCH(AL$1, '5_Calc_ISIC_aggregation'!$A$85:$A$126, 0))</f>
      </c>
      <c r="AM2" t="str">
        <f>INDEX('5_Calc_ISIC_aggregation'!$C$85:$C$126, MATCH(AM$1, '5_Calc_ISIC_aggregation'!$A$85:$A$126, 0))</f>
      </c>
      <c r="AN2" t="str">
        <f>INDEX('5_Calc_ISIC_aggregation'!$C$85:$C$126, MATCH(AN$1, '5_Calc_ISIC_aggregation'!$A$85:$A$126, 0))</f>
      </c>
      <c r="AO2" t="str">
        <f>INDEX('5_Calc_ISIC_aggregation'!$C$85:$C$126, MATCH(AO$1, '5_Calc_ISIC_aggregation'!$A$85:$A$126, 0))</f>
      </c>
      <c r="AP2" t="str">
        <f>INDEX('5_Calc_ISIC_aggregation'!$C$85:$C$126, MATCH(AP$1, '5_Calc_ISIC_aggregation'!$A$85:$A$126, 0))</f>
      </c>
      <c r="AQ2" t="str">
        <f>INDEX('5_Calc_ISIC_aggregation'!$C$85:$C$126, MATCH(AQ$1, '5_Calc_ISIC_aggregation'!$A$85:$A$126,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2026-07-17T19:24:14Z</dcterms:created>
</coreProperties>
</file>