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io-model\BPCiObIC\"/>
    </mc:Choice>
  </mc:AlternateContent>
  <xr:revisionPtr revIDLastSave="0" documentId="8_{F852F8AA-63DA-4EEA-8564-F88F423933E7}" xr6:coauthVersionLast="47" xr6:coauthVersionMax="47" xr10:uidLastSave="{00000000-0000-0000-0000-000000000000}"/>
  <bookViews>
    <workbookView xWindow="1170" yWindow="375" windowWidth="13680" windowHeight="17025" firstSheet="6" activeTab="8" xr2:uid="{00000000-000D-0000-FFFF-FFFF00000000}"/>
  </bookViews>
  <sheets>
    <sheet name="About" sheetId="1" r:id="rId1"/>
    <sheet name="BLS Table 2.7" sheetId="11" r:id="rId2"/>
    <sheet name="AEO22 Table 23 Raw" sheetId="18" r:id="rId3"/>
    <sheet name="AEO22 Table 23" sheetId="12" r:id="rId4"/>
    <sheet name="Growth Rates" sheetId="13" r:id="rId5"/>
    <sheet name="Data from BVAbIC" sheetId="14" r:id="rId6"/>
    <sheet name="OECD GDP Data" sheetId="17" r:id="rId7"/>
    <sheet name="Rescale to Fit GDP Proj" sheetId="16" r:id="rId8"/>
    <sheet name="BPCiObIC" sheetId="2" r:id="rId9"/>
  </sheets>
  <definedNames>
    <definedName name="_xlnm._FilterDatabase" localSheetId="1" hidden="1">'BLS Table 2.7'!$A$5:$C$269</definedName>
    <definedName name="_xlnm.Print_Area" localSheetId="1">'BLS Table 2.7'!$A$1:$N$269</definedName>
    <definedName name="_xlnm.Print_Titles" localSheetId="1">'BLS Table 2.7'!$1:$4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15" i="12" l="1"/>
  <c r="AI17" i="12"/>
  <c r="AI22" i="12"/>
  <c r="AI23" i="12"/>
  <c r="AI24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60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E60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27" i="12"/>
  <c r="E23" i="12"/>
  <c r="E24" i="12"/>
  <c r="E22" i="12"/>
  <c r="E17" i="12"/>
  <c r="E15" i="12"/>
  <c r="A63" i="1"/>
  <c r="I2" i="17" s="1"/>
  <c r="B5" i="16" a="1"/>
  <c r="B5" i="16" s="1"/>
  <c r="I35" i="17" l="1"/>
  <c r="I36" i="17"/>
  <c r="I12" i="17"/>
  <c r="I44" i="17"/>
  <c r="I4" i="17"/>
  <c r="I43" i="17"/>
  <c r="I28" i="17"/>
  <c r="I27" i="17"/>
  <c r="I20" i="17"/>
  <c r="I41" i="17"/>
  <c r="I33" i="17"/>
  <c r="I25" i="17"/>
  <c r="I17" i="17"/>
  <c r="I9" i="17"/>
  <c r="I19" i="17"/>
  <c r="I11" i="17"/>
  <c r="I3" i="17"/>
  <c r="I34" i="17"/>
  <c r="I18" i="17"/>
  <c r="I10" i="17"/>
  <c r="I48" i="17"/>
  <c r="I40" i="17"/>
  <c r="I32" i="17"/>
  <c r="I24" i="17"/>
  <c r="I16" i="17"/>
  <c r="I8" i="17"/>
  <c r="I47" i="17"/>
  <c r="I39" i="17"/>
  <c r="I31" i="17"/>
  <c r="I23" i="17"/>
  <c r="I15" i="17"/>
  <c r="I7" i="17"/>
  <c r="I42" i="17"/>
  <c r="I26" i="17"/>
  <c r="I46" i="17"/>
  <c r="I38" i="17"/>
  <c r="I30" i="17"/>
  <c r="I22" i="17"/>
  <c r="I14" i="17"/>
  <c r="I6" i="17"/>
  <c r="I45" i="17"/>
  <c r="I37" i="17"/>
  <c r="I29" i="17"/>
  <c r="I21" i="17"/>
  <c r="I13" i="17"/>
  <c r="I5" i="17"/>
  <c r="B36" i="16"/>
  <c r="B27" i="16"/>
  <c r="B11" i="16"/>
  <c r="B42" i="16"/>
  <c r="B34" i="16"/>
  <c r="B26" i="16"/>
  <c r="B18" i="16"/>
  <c r="B10" i="16"/>
  <c r="B41" i="16"/>
  <c r="B33" i="16"/>
  <c r="B25" i="16"/>
  <c r="B17" i="16"/>
  <c r="B9" i="16"/>
  <c r="B20" i="16"/>
  <c r="B12" i="16"/>
  <c r="B32" i="16"/>
  <c r="B8" i="16"/>
  <c r="B39" i="16"/>
  <c r="B31" i="16"/>
  <c r="B23" i="16"/>
  <c r="B15" i="16"/>
  <c r="B7" i="16"/>
  <c r="B28" i="16"/>
  <c r="B35" i="16"/>
  <c r="B24" i="16"/>
  <c r="B46" i="16"/>
  <c r="B38" i="16"/>
  <c r="B30" i="16"/>
  <c r="B22" i="16"/>
  <c r="B14" i="16"/>
  <c r="B6" i="16"/>
  <c r="B44" i="16"/>
  <c r="B43" i="16"/>
  <c r="B19" i="16"/>
  <c r="B40" i="16"/>
  <c r="B16" i="16"/>
  <c r="B45" i="16"/>
  <c r="B37" i="16"/>
  <c r="B29" i="16"/>
  <c r="B21" i="16"/>
  <c r="B13" i="16"/>
  <c r="D52" i="16" l="1"/>
  <c r="B48" i="16"/>
  <c r="G26" i="13"/>
  <c r="AD77" i="13" s="1"/>
  <c r="G25" i="13"/>
  <c r="AD76" i="13" s="1"/>
  <c r="G5" i="13"/>
  <c r="G6" i="13"/>
  <c r="G7" i="13"/>
  <c r="G8" i="13"/>
  <c r="G9" i="13"/>
  <c r="T60" i="13" s="1"/>
  <c r="G10" i="13"/>
  <c r="G11" i="13"/>
  <c r="G12" i="13"/>
  <c r="AD63" i="13" s="1"/>
  <c r="G13" i="13"/>
  <c r="G14" i="13"/>
  <c r="G15" i="13"/>
  <c r="G16" i="13"/>
  <c r="V67" i="13" s="1"/>
  <c r="G17" i="13"/>
  <c r="T68" i="13" s="1"/>
  <c r="G18" i="13"/>
  <c r="N69" i="13" s="1"/>
  <c r="G19" i="13"/>
  <c r="AB70" i="13" s="1"/>
  <c r="G20" i="13"/>
  <c r="G21" i="13"/>
  <c r="AD72" i="13" s="1"/>
  <c r="G22" i="13"/>
  <c r="G23" i="13"/>
  <c r="M74" i="13" s="1"/>
  <c r="G24" i="13"/>
  <c r="T75" i="13" s="1"/>
  <c r="G27" i="13"/>
  <c r="AJ78" i="13" s="1"/>
  <c r="G28" i="13"/>
  <c r="G29" i="13"/>
  <c r="G30" i="13"/>
  <c r="G31" i="13"/>
  <c r="AJ82" i="13" s="1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" i="13"/>
  <c r="B5" i="13" a="1"/>
  <c r="B5" i="13" s="1"/>
  <c r="C5" i="13" a="1"/>
  <c r="C5" i="13" s="1"/>
  <c r="B6" i="13" a="1"/>
  <c r="B6" i="13" s="1"/>
  <c r="E57" i="13" s="1"/>
  <c r="C6" i="13" a="1"/>
  <c r="C6" i="13" s="1"/>
  <c r="B7" i="13" a="1"/>
  <c r="B7" i="13" s="1"/>
  <c r="C7" i="13" a="1"/>
  <c r="C7" i="13" s="1"/>
  <c r="AJ58" i="13" s="1"/>
  <c r="B8" i="13" a="1"/>
  <c r="B8" i="13" s="1"/>
  <c r="E59" i="13" s="1"/>
  <c r="C8" i="13" a="1"/>
  <c r="C8" i="13" s="1"/>
  <c r="B9" i="13" a="1"/>
  <c r="B9" i="13" s="1"/>
  <c r="C60" i="13" s="1"/>
  <c r="C9" i="13" a="1"/>
  <c r="C9" i="13" s="1"/>
  <c r="B10" i="13" a="1"/>
  <c r="B10" i="13" s="1"/>
  <c r="E61" i="13" s="1"/>
  <c r="C10" i="13" a="1"/>
  <c r="C10" i="13" s="1"/>
  <c r="B11" i="13" a="1"/>
  <c r="B11" i="13" s="1"/>
  <c r="B62" i="13" s="1"/>
  <c r="C108" i="13" s="1"/>
  <c r="C11" i="13" a="1"/>
  <c r="C11" i="13" s="1"/>
  <c r="B12" i="13" a="1"/>
  <c r="B12" i="13" s="1"/>
  <c r="E63" i="13" s="1"/>
  <c r="C12" i="13" a="1"/>
  <c r="C12" i="13" s="1"/>
  <c r="B13" i="13" a="1"/>
  <c r="B13" i="13" s="1"/>
  <c r="C13" i="13" a="1"/>
  <c r="C13" i="13" s="1"/>
  <c r="B14" i="13" a="1"/>
  <c r="B14" i="13" s="1"/>
  <c r="E65" i="13" s="1"/>
  <c r="C14" i="13" a="1"/>
  <c r="C14" i="13" s="1"/>
  <c r="B15" i="13" a="1"/>
  <c r="B15" i="13" s="1"/>
  <c r="C15" i="13" a="1"/>
  <c r="C15" i="13" s="1"/>
  <c r="AJ66" i="13" s="1"/>
  <c r="B16" i="13" a="1"/>
  <c r="B16" i="13" s="1"/>
  <c r="E67" i="13" s="1"/>
  <c r="C16" i="13" a="1"/>
  <c r="C16" i="13" s="1"/>
  <c r="B17" i="13" a="1"/>
  <c r="B17" i="13" s="1"/>
  <c r="C68" i="13" s="1"/>
  <c r="C17" i="13" a="1"/>
  <c r="C17" i="13" s="1"/>
  <c r="B18" i="13" a="1"/>
  <c r="B18" i="13" s="1"/>
  <c r="E69" i="13" s="1"/>
  <c r="C18" i="13" a="1"/>
  <c r="C18" i="13" s="1"/>
  <c r="B19" i="13" a="1"/>
  <c r="B19" i="13" s="1"/>
  <c r="B70" i="13" s="1"/>
  <c r="C116" i="13" s="1"/>
  <c r="C19" i="13" a="1"/>
  <c r="C19" i="13" s="1"/>
  <c r="B20" i="13" a="1"/>
  <c r="B20" i="13" s="1"/>
  <c r="E71" i="13" s="1"/>
  <c r="C20" i="13" a="1"/>
  <c r="C20" i="13" s="1"/>
  <c r="B21" i="13" a="1"/>
  <c r="B21" i="13" s="1"/>
  <c r="C21" i="13" a="1"/>
  <c r="C21" i="13" s="1"/>
  <c r="B22" i="13" a="1"/>
  <c r="B22" i="13" s="1"/>
  <c r="C22" i="13" a="1"/>
  <c r="C22" i="13" s="1"/>
  <c r="B23" i="13" a="1"/>
  <c r="B23" i="13" s="1"/>
  <c r="B74" i="13" s="1"/>
  <c r="C120" i="13" s="1"/>
  <c r="C23" i="13" a="1"/>
  <c r="C23" i="13" s="1"/>
  <c r="B24" i="13" a="1"/>
  <c r="B24" i="13" s="1"/>
  <c r="E75" i="13" s="1"/>
  <c r="C24" i="13" a="1"/>
  <c r="C24" i="13" s="1"/>
  <c r="B25" i="13" a="1"/>
  <c r="B25" i="13" s="1"/>
  <c r="C76" i="13" s="1"/>
  <c r="C25" i="13" a="1"/>
  <c r="C25" i="13" s="1"/>
  <c r="B26" i="13" a="1"/>
  <c r="B26" i="13" s="1"/>
  <c r="D77" i="13" s="1"/>
  <c r="C26" i="13" a="1"/>
  <c r="C26" i="13" s="1"/>
  <c r="B27" i="13" a="1"/>
  <c r="B27" i="13" s="1"/>
  <c r="C78" i="13" s="1"/>
  <c r="C27" i="13" a="1"/>
  <c r="C27" i="13" s="1"/>
  <c r="B28" i="13" a="1"/>
  <c r="B28" i="13" s="1"/>
  <c r="D79" i="13" s="1"/>
  <c r="C28" i="13" a="1"/>
  <c r="C28" i="13" s="1"/>
  <c r="B29" i="13" a="1"/>
  <c r="B29" i="13" s="1"/>
  <c r="C29" i="13" a="1"/>
  <c r="C29" i="13" s="1"/>
  <c r="B30" i="13" a="1"/>
  <c r="B30" i="13" s="1"/>
  <c r="C30" i="13" a="1"/>
  <c r="C30" i="13" s="1"/>
  <c r="P81" i="13" s="1"/>
  <c r="B31" i="13" a="1"/>
  <c r="B31" i="13" s="1"/>
  <c r="D82" i="13" s="1"/>
  <c r="C31" i="13" a="1"/>
  <c r="C31" i="13" s="1"/>
  <c r="B32" i="13" a="1"/>
  <c r="B32" i="13" s="1"/>
  <c r="C83" i="13" s="1"/>
  <c r="C32" i="13" a="1"/>
  <c r="C32" i="13" s="1"/>
  <c r="B33" i="13" a="1"/>
  <c r="B33" i="13" s="1"/>
  <c r="B84" i="13" s="1"/>
  <c r="C130" i="13" s="1"/>
  <c r="C33" i="13" a="1"/>
  <c r="C33" i="13" s="1"/>
  <c r="Y84" i="13" s="1"/>
  <c r="B34" i="13" a="1"/>
  <c r="B34" i="13" s="1"/>
  <c r="C85" i="13" s="1"/>
  <c r="C34" i="13" a="1"/>
  <c r="C34" i="13" s="1"/>
  <c r="Q85" i="13" s="1"/>
  <c r="B35" i="13" a="1"/>
  <c r="B35" i="13" s="1"/>
  <c r="E86" i="13" s="1"/>
  <c r="C35" i="13" a="1"/>
  <c r="C35" i="13" s="1"/>
  <c r="Y86" i="13" s="1"/>
  <c r="B36" i="13" a="1"/>
  <c r="B36" i="13" s="1"/>
  <c r="C36" i="13" a="1"/>
  <c r="C36" i="13" s="1"/>
  <c r="B37" i="13" a="1"/>
  <c r="B37" i="13" s="1"/>
  <c r="E88" i="13" s="1"/>
  <c r="C37" i="13" a="1"/>
  <c r="C37" i="13" s="1"/>
  <c r="B38" i="13" a="1"/>
  <c r="B38" i="13" s="1"/>
  <c r="C38" i="13" a="1"/>
  <c r="C38" i="13" s="1"/>
  <c r="Q89" i="13" s="1"/>
  <c r="B39" i="13" a="1"/>
  <c r="B39" i="13" s="1"/>
  <c r="E90" i="13" s="1"/>
  <c r="C39" i="13" a="1"/>
  <c r="C39" i="13" s="1"/>
  <c r="Y90" i="13" s="1"/>
  <c r="B40" i="13" a="1"/>
  <c r="B40" i="13" s="1"/>
  <c r="C91" i="13" s="1"/>
  <c r="C40" i="13" a="1"/>
  <c r="C40" i="13" s="1"/>
  <c r="B41" i="13" a="1"/>
  <c r="B41" i="13" s="1"/>
  <c r="E92" i="13" s="1"/>
  <c r="C41" i="13" a="1"/>
  <c r="C41" i="13" s="1"/>
  <c r="Y92" i="13" s="1"/>
  <c r="B42" i="13" a="1"/>
  <c r="B42" i="13" s="1"/>
  <c r="C93" i="13" s="1"/>
  <c r="C42" i="13" a="1"/>
  <c r="C42" i="13" s="1"/>
  <c r="Q93" i="13" s="1"/>
  <c r="B43" i="13" a="1"/>
  <c r="B43" i="13" s="1"/>
  <c r="E94" i="13" s="1"/>
  <c r="C43" i="13" a="1"/>
  <c r="C43" i="13" s="1"/>
  <c r="B44" i="13" a="1"/>
  <c r="B44" i="13" s="1"/>
  <c r="C44" i="13" a="1"/>
  <c r="C44" i="13" s="1"/>
  <c r="B45" i="13" a="1"/>
  <c r="B45" i="13" s="1"/>
  <c r="E96" i="13" s="1"/>
  <c r="C45" i="13" a="1"/>
  <c r="C45" i="13" s="1"/>
  <c r="C4" i="13" a="1"/>
  <c r="C4" i="13" s="1"/>
  <c r="B4" i="13" a="1"/>
  <c r="B4" i="13" s="1"/>
  <c r="Y94" i="13" l="1"/>
  <c r="Q95" i="13"/>
  <c r="Q87" i="13"/>
  <c r="V79" i="13"/>
  <c r="T72" i="13"/>
  <c r="T89" i="13"/>
  <c r="X81" i="13"/>
  <c r="N74" i="13"/>
  <c r="Z96" i="13"/>
  <c r="Z88" i="13"/>
  <c r="R95" i="13"/>
  <c r="R87" i="13"/>
  <c r="X79" i="13"/>
  <c r="M78" i="13"/>
  <c r="P69" i="13"/>
  <c r="U94" i="13"/>
  <c r="U86" i="13"/>
  <c r="AD68" i="13"/>
  <c r="AB93" i="13"/>
  <c r="AB85" i="13"/>
  <c r="T59" i="13"/>
  <c r="N78" i="13"/>
  <c r="AF63" i="13"/>
  <c r="R92" i="13"/>
  <c r="R84" i="13"/>
  <c r="P66" i="13"/>
  <c r="V63" i="13"/>
  <c r="AF75" i="13"/>
  <c r="X74" i="13"/>
  <c r="P76" i="13"/>
  <c r="T76" i="13"/>
  <c r="N91" i="13"/>
  <c r="V91" i="13"/>
  <c r="AD91" i="13"/>
  <c r="O91" i="13"/>
  <c r="W91" i="13"/>
  <c r="AE91" i="13"/>
  <c r="P91" i="13"/>
  <c r="X91" i="13"/>
  <c r="AF91" i="13"/>
  <c r="S91" i="13"/>
  <c r="AA91" i="13"/>
  <c r="AI91" i="13"/>
  <c r="O83" i="13"/>
  <c r="Q83" i="13"/>
  <c r="R83" i="13"/>
  <c r="S83" i="13"/>
  <c r="V83" i="13"/>
  <c r="AD83" i="13"/>
  <c r="W83" i="13"/>
  <c r="AE83" i="13"/>
  <c r="X83" i="13"/>
  <c r="AF83" i="13"/>
  <c r="P83" i="13"/>
  <c r="AA83" i="13"/>
  <c r="AI83" i="13"/>
  <c r="O73" i="13"/>
  <c r="W73" i="13"/>
  <c r="AE73" i="13"/>
  <c r="Q73" i="13"/>
  <c r="Y73" i="13"/>
  <c r="AG73" i="13"/>
  <c r="R73" i="13"/>
  <c r="Z73" i="13"/>
  <c r="AH73" i="13"/>
  <c r="S73" i="13"/>
  <c r="AA73" i="13"/>
  <c r="AI73" i="13"/>
  <c r="U73" i="13"/>
  <c r="AC73" i="13"/>
  <c r="AK73" i="13"/>
  <c r="AD73" i="13"/>
  <c r="AF73" i="13"/>
  <c r="N73" i="13"/>
  <c r="AJ73" i="13"/>
  <c r="V73" i="13"/>
  <c r="O65" i="13"/>
  <c r="W65" i="13"/>
  <c r="AE65" i="13"/>
  <c r="Q65" i="13"/>
  <c r="Y65" i="13"/>
  <c r="AG65" i="13"/>
  <c r="R65" i="13"/>
  <c r="Z65" i="13"/>
  <c r="AH65" i="13"/>
  <c r="S65" i="13"/>
  <c r="AA65" i="13"/>
  <c r="AI65" i="13"/>
  <c r="U65" i="13"/>
  <c r="AC65" i="13"/>
  <c r="AK65" i="13"/>
  <c r="AD65" i="13"/>
  <c r="AF65" i="13"/>
  <c r="N65" i="13"/>
  <c r="AJ65" i="13"/>
  <c r="V65" i="13"/>
  <c r="N57" i="13"/>
  <c r="V57" i="13"/>
  <c r="AD57" i="13"/>
  <c r="O57" i="13"/>
  <c r="W57" i="13"/>
  <c r="AE57" i="13"/>
  <c r="P57" i="13"/>
  <c r="X57" i="13"/>
  <c r="AF57" i="13"/>
  <c r="Q57" i="13"/>
  <c r="Y57" i="13"/>
  <c r="AG57" i="13"/>
  <c r="R57" i="13"/>
  <c r="Z57" i="13"/>
  <c r="AH57" i="13"/>
  <c r="S57" i="13"/>
  <c r="AA57" i="13"/>
  <c r="AI57" i="13"/>
  <c r="U57" i="13"/>
  <c r="AC57" i="13"/>
  <c r="AK57" i="13"/>
  <c r="AJ57" i="13"/>
  <c r="B69" i="13"/>
  <c r="C115" i="13" s="1"/>
  <c r="B61" i="13"/>
  <c r="C107" i="13" s="1"/>
  <c r="D75" i="13"/>
  <c r="D71" i="13"/>
  <c r="D69" i="13"/>
  <c r="D67" i="13"/>
  <c r="D65" i="13"/>
  <c r="D63" i="13"/>
  <c r="D61" i="13"/>
  <c r="D59" i="13"/>
  <c r="D57" i="13"/>
  <c r="M90" i="13"/>
  <c r="M62" i="13"/>
  <c r="AC96" i="13"/>
  <c r="AK95" i="13"/>
  <c r="U95" i="13"/>
  <c r="AC94" i="13"/>
  <c r="AK93" i="13"/>
  <c r="U93" i="13"/>
  <c r="AC92" i="13"/>
  <c r="AK91" i="13"/>
  <c r="U91" i="13"/>
  <c r="AC90" i="13"/>
  <c r="AK89" i="13"/>
  <c r="U89" i="13"/>
  <c r="AC88" i="13"/>
  <c r="AK87" i="13"/>
  <c r="U87" i="13"/>
  <c r="AC86" i="13"/>
  <c r="AK85" i="13"/>
  <c r="U85" i="13"/>
  <c r="AC84" i="13"/>
  <c r="AK83" i="13"/>
  <c r="U83" i="13"/>
  <c r="AB81" i="13"/>
  <c r="AF79" i="13"/>
  <c r="AJ70" i="13"/>
  <c r="AB65" i="13"/>
  <c r="N90" i="13"/>
  <c r="V90" i="13"/>
  <c r="AD90" i="13"/>
  <c r="O90" i="13"/>
  <c r="W90" i="13"/>
  <c r="AE90" i="13"/>
  <c r="P90" i="13"/>
  <c r="X90" i="13"/>
  <c r="AF90" i="13"/>
  <c r="S90" i="13"/>
  <c r="AA90" i="13"/>
  <c r="AI90" i="13"/>
  <c r="O82" i="13"/>
  <c r="W82" i="13"/>
  <c r="AE82" i="13"/>
  <c r="Q82" i="13"/>
  <c r="Y82" i="13"/>
  <c r="AG82" i="13"/>
  <c r="R82" i="13"/>
  <c r="Z82" i="13"/>
  <c r="AH82" i="13"/>
  <c r="S82" i="13"/>
  <c r="AA82" i="13"/>
  <c r="AI82" i="13"/>
  <c r="U82" i="13"/>
  <c r="AC82" i="13"/>
  <c r="AK82" i="13"/>
  <c r="AB82" i="13"/>
  <c r="AD82" i="13"/>
  <c r="AF82" i="13"/>
  <c r="T82" i="13"/>
  <c r="O72" i="13"/>
  <c r="W72" i="13"/>
  <c r="AE72" i="13"/>
  <c r="Q72" i="13"/>
  <c r="Y72" i="13"/>
  <c r="AG72" i="13"/>
  <c r="R72" i="13"/>
  <c r="Z72" i="13"/>
  <c r="AH72" i="13"/>
  <c r="S72" i="13"/>
  <c r="AA72" i="13"/>
  <c r="AI72" i="13"/>
  <c r="U72" i="13"/>
  <c r="AC72" i="13"/>
  <c r="AK72" i="13"/>
  <c r="AF72" i="13"/>
  <c r="N72" i="13"/>
  <c r="AJ72" i="13"/>
  <c r="M72" i="13"/>
  <c r="P72" i="13"/>
  <c r="X72" i="13"/>
  <c r="O64" i="13"/>
  <c r="W64" i="13"/>
  <c r="AE64" i="13"/>
  <c r="Q64" i="13"/>
  <c r="Y64" i="13"/>
  <c r="AG64" i="13"/>
  <c r="R64" i="13"/>
  <c r="Z64" i="13"/>
  <c r="AH64" i="13"/>
  <c r="S64" i="13"/>
  <c r="AA64" i="13"/>
  <c r="AI64" i="13"/>
  <c r="U64" i="13"/>
  <c r="AC64" i="13"/>
  <c r="AK64" i="13"/>
  <c r="AF64" i="13"/>
  <c r="N64" i="13"/>
  <c r="AJ64" i="13"/>
  <c r="M64" i="13"/>
  <c r="P64" i="13"/>
  <c r="X64" i="13"/>
  <c r="N56" i="13"/>
  <c r="V56" i="13"/>
  <c r="AD56" i="13"/>
  <c r="O56" i="13"/>
  <c r="W56" i="13"/>
  <c r="AE56" i="13"/>
  <c r="P56" i="13"/>
  <c r="X56" i="13"/>
  <c r="AF56" i="13"/>
  <c r="Q56" i="13"/>
  <c r="Y56" i="13"/>
  <c r="AG56" i="13"/>
  <c r="R56" i="13"/>
  <c r="Z56" i="13"/>
  <c r="AH56" i="13"/>
  <c r="S56" i="13"/>
  <c r="AA56" i="13"/>
  <c r="AI56" i="13"/>
  <c r="U56" i="13"/>
  <c r="AC56" i="13"/>
  <c r="AK56" i="13"/>
  <c r="M56" i="13"/>
  <c r="AJ56" i="13"/>
  <c r="B68" i="13"/>
  <c r="C114" i="13" s="1"/>
  <c r="B60" i="13"/>
  <c r="C106" i="13" s="1"/>
  <c r="C75" i="13"/>
  <c r="C71" i="13"/>
  <c r="C69" i="13"/>
  <c r="C67" i="13"/>
  <c r="C65" i="13"/>
  <c r="C63" i="13"/>
  <c r="C61" i="13"/>
  <c r="C59" i="13"/>
  <c r="C57" i="13"/>
  <c r="M93" i="13"/>
  <c r="M85" i="13"/>
  <c r="M81" i="13"/>
  <c r="M65" i="13"/>
  <c r="AB96" i="13"/>
  <c r="AJ95" i="13"/>
  <c r="T95" i="13"/>
  <c r="AB94" i="13"/>
  <c r="AJ93" i="13"/>
  <c r="T93" i="13"/>
  <c r="AB92" i="13"/>
  <c r="AJ91" i="13"/>
  <c r="T91" i="13"/>
  <c r="AB90" i="13"/>
  <c r="AJ89" i="13"/>
  <c r="AB88" i="13"/>
  <c r="AJ87" i="13"/>
  <c r="T87" i="13"/>
  <c r="AB86" i="13"/>
  <c r="AJ85" i="13"/>
  <c r="T85" i="13"/>
  <c r="AB84" i="13"/>
  <c r="AJ83" i="13"/>
  <c r="T83" i="13"/>
  <c r="AD79" i="13"/>
  <c r="AJ77" i="13"/>
  <c r="V74" i="13"/>
  <c r="AB72" i="13"/>
  <c r="AF70" i="13"/>
  <c r="T67" i="13"/>
  <c r="X65" i="13"/>
  <c r="AJ59" i="13"/>
  <c r="N55" i="13"/>
  <c r="V55" i="13"/>
  <c r="AD55" i="13"/>
  <c r="O55" i="13"/>
  <c r="W55" i="13"/>
  <c r="AE55" i="13"/>
  <c r="P55" i="13"/>
  <c r="X55" i="13"/>
  <c r="AF55" i="13"/>
  <c r="Q55" i="13"/>
  <c r="Y55" i="13"/>
  <c r="AG55" i="13"/>
  <c r="R55" i="13"/>
  <c r="Z55" i="13"/>
  <c r="AH55" i="13"/>
  <c r="S55" i="13"/>
  <c r="AA55" i="13"/>
  <c r="AI55" i="13"/>
  <c r="U55" i="13"/>
  <c r="AC55" i="13"/>
  <c r="AK55" i="13"/>
  <c r="T55" i="13"/>
  <c r="AB55" i="13"/>
  <c r="AJ55" i="13"/>
  <c r="N89" i="13"/>
  <c r="V89" i="13"/>
  <c r="AD89" i="13"/>
  <c r="O89" i="13"/>
  <c r="W89" i="13"/>
  <c r="AE89" i="13"/>
  <c r="P89" i="13"/>
  <c r="X89" i="13"/>
  <c r="AF89" i="13"/>
  <c r="S89" i="13"/>
  <c r="AA89" i="13"/>
  <c r="AI89" i="13"/>
  <c r="O81" i="13"/>
  <c r="W81" i="13"/>
  <c r="AE81" i="13"/>
  <c r="Q81" i="13"/>
  <c r="Y81" i="13"/>
  <c r="AG81" i="13"/>
  <c r="R81" i="13"/>
  <c r="Z81" i="13"/>
  <c r="AH81" i="13"/>
  <c r="S81" i="13"/>
  <c r="AA81" i="13"/>
  <c r="AI81" i="13"/>
  <c r="U81" i="13"/>
  <c r="AC81" i="13"/>
  <c r="AK81" i="13"/>
  <c r="AD81" i="13"/>
  <c r="AF81" i="13"/>
  <c r="N81" i="13"/>
  <c r="AJ81" i="13"/>
  <c r="V81" i="13"/>
  <c r="O71" i="13"/>
  <c r="W71" i="13"/>
  <c r="AE71" i="13"/>
  <c r="Q71" i="13"/>
  <c r="Y71" i="13"/>
  <c r="AG71" i="13"/>
  <c r="R71" i="13"/>
  <c r="Z71" i="13"/>
  <c r="AH71" i="13"/>
  <c r="S71" i="13"/>
  <c r="AA71" i="13"/>
  <c r="AI71" i="13"/>
  <c r="U71" i="13"/>
  <c r="AC71" i="13"/>
  <c r="AK71" i="13"/>
  <c r="N71" i="13"/>
  <c r="AJ71" i="13"/>
  <c r="P71" i="13"/>
  <c r="T71" i="13"/>
  <c r="AB71" i="13"/>
  <c r="O63" i="13"/>
  <c r="W63" i="13"/>
  <c r="AE63" i="13"/>
  <c r="Q63" i="13"/>
  <c r="Y63" i="13"/>
  <c r="AG63" i="13"/>
  <c r="R63" i="13"/>
  <c r="Z63" i="13"/>
  <c r="AH63" i="13"/>
  <c r="S63" i="13"/>
  <c r="AA63" i="13"/>
  <c r="AI63" i="13"/>
  <c r="U63" i="13"/>
  <c r="AC63" i="13"/>
  <c r="AK63" i="13"/>
  <c r="N63" i="13"/>
  <c r="AJ63" i="13"/>
  <c r="P63" i="13"/>
  <c r="T63" i="13"/>
  <c r="AB63" i="13"/>
  <c r="O76" i="13"/>
  <c r="W76" i="13"/>
  <c r="AE76" i="13"/>
  <c r="Q76" i="13"/>
  <c r="Y76" i="13"/>
  <c r="AG76" i="13"/>
  <c r="R76" i="13"/>
  <c r="Z76" i="13"/>
  <c r="AH76" i="13"/>
  <c r="S76" i="13"/>
  <c r="AA76" i="13"/>
  <c r="AI76" i="13"/>
  <c r="U76" i="13"/>
  <c r="AC76" i="13"/>
  <c r="AK76" i="13"/>
  <c r="V76" i="13"/>
  <c r="X76" i="13"/>
  <c r="AB76" i="13"/>
  <c r="N76" i="13"/>
  <c r="AJ76" i="13"/>
  <c r="M76" i="13"/>
  <c r="B67" i="13"/>
  <c r="C113" i="13" s="1"/>
  <c r="B59" i="13"/>
  <c r="C105" i="13" s="1"/>
  <c r="F73" i="13"/>
  <c r="F70" i="13"/>
  <c r="F68" i="13"/>
  <c r="F66" i="13"/>
  <c r="F64" i="13"/>
  <c r="F62" i="13"/>
  <c r="F60" i="13"/>
  <c r="F58" i="13"/>
  <c r="F56" i="13"/>
  <c r="M96" i="13"/>
  <c r="M88" i="13"/>
  <c r="M71" i="13"/>
  <c r="M55" i="13"/>
  <c r="AH95" i="13"/>
  <c r="Z94" i="13"/>
  <c r="AH93" i="13"/>
  <c r="R93" i="13"/>
  <c r="Z92" i="13"/>
  <c r="AH91" i="13"/>
  <c r="R91" i="13"/>
  <c r="Z90" i="13"/>
  <c r="AH89" i="13"/>
  <c r="R89" i="13"/>
  <c r="AH87" i="13"/>
  <c r="Z86" i="13"/>
  <c r="AH85" i="13"/>
  <c r="R85" i="13"/>
  <c r="Z84" i="13"/>
  <c r="AH83" i="13"/>
  <c r="N83" i="13"/>
  <c r="T81" i="13"/>
  <c r="AJ75" i="13"/>
  <c r="P74" i="13"/>
  <c r="V72" i="13"/>
  <c r="AF68" i="13"/>
  <c r="N67" i="13"/>
  <c r="T65" i="13"/>
  <c r="X63" i="13"/>
  <c r="N96" i="13"/>
  <c r="V96" i="13"/>
  <c r="AD96" i="13"/>
  <c r="O96" i="13"/>
  <c r="W96" i="13"/>
  <c r="AE96" i="13"/>
  <c r="P96" i="13"/>
  <c r="X96" i="13"/>
  <c r="AF96" i="13"/>
  <c r="S96" i="13"/>
  <c r="AA96" i="13"/>
  <c r="AI96" i="13"/>
  <c r="N88" i="13"/>
  <c r="V88" i="13"/>
  <c r="AD88" i="13"/>
  <c r="O88" i="13"/>
  <c r="W88" i="13"/>
  <c r="AE88" i="13"/>
  <c r="P88" i="13"/>
  <c r="X88" i="13"/>
  <c r="AF88" i="13"/>
  <c r="S88" i="13"/>
  <c r="AA88" i="13"/>
  <c r="AI88" i="13"/>
  <c r="O80" i="13"/>
  <c r="W80" i="13"/>
  <c r="AE80" i="13"/>
  <c r="Q80" i="13"/>
  <c r="Y80" i="13"/>
  <c r="AG80" i="13"/>
  <c r="R80" i="13"/>
  <c r="Z80" i="13"/>
  <c r="AH80" i="13"/>
  <c r="S80" i="13"/>
  <c r="AA80" i="13"/>
  <c r="AI80" i="13"/>
  <c r="U80" i="13"/>
  <c r="AC80" i="13"/>
  <c r="AK80" i="13"/>
  <c r="AF80" i="13"/>
  <c r="N80" i="13"/>
  <c r="AJ80" i="13"/>
  <c r="M80" i="13"/>
  <c r="P80" i="13"/>
  <c r="X80" i="13"/>
  <c r="O70" i="13"/>
  <c r="W70" i="13"/>
  <c r="AE70" i="13"/>
  <c r="Q70" i="13"/>
  <c r="Y70" i="13"/>
  <c r="AG70" i="13"/>
  <c r="R70" i="13"/>
  <c r="Z70" i="13"/>
  <c r="AH70" i="13"/>
  <c r="S70" i="13"/>
  <c r="AA70" i="13"/>
  <c r="AI70" i="13"/>
  <c r="U70" i="13"/>
  <c r="AC70" i="13"/>
  <c r="AK70" i="13"/>
  <c r="P70" i="13"/>
  <c r="T70" i="13"/>
  <c r="V70" i="13"/>
  <c r="AD70" i="13"/>
  <c r="N62" i="13"/>
  <c r="V62" i="13"/>
  <c r="AD62" i="13"/>
  <c r="O62" i="13"/>
  <c r="W62" i="13"/>
  <c r="AE62" i="13"/>
  <c r="P62" i="13"/>
  <c r="X62" i="13"/>
  <c r="AF62" i="13"/>
  <c r="Q62" i="13"/>
  <c r="Y62" i="13"/>
  <c r="AG62" i="13"/>
  <c r="R62" i="13"/>
  <c r="Z62" i="13"/>
  <c r="AH62" i="13"/>
  <c r="S62" i="13"/>
  <c r="AA62" i="13"/>
  <c r="AI62" i="13"/>
  <c r="U62" i="13"/>
  <c r="AC62" i="13"/>
  <c r="AK62" i="13"/>
  <c r="T62" i="13"/>
  <c r="O77" i="13"/>
  <c r="W77" i="13"/>
  <c r="AE77" i="13"/>
  <c r="Q77" i="13"/>
  <c r="Y77" i="13"/>
  <c r="AG77" i="13"/>
  <c r="R77" i="13"/>
  <c r="Z77" i="13"/>
  <c r="AH77" i="13"/>
  <c r="S77" i="13"/>
  <c r="AA77" i="13"/>
  <c r="AI77" i="13"/>
  <c r="U77" i="13"/>
  <c r="AC77" i="13"/>
  <c r="AK77" i="13"/>
  <c r="T77" i="13"/>
  <c r="V77" i="13"/>
  <c r="X77" i="13"/>
  <c r="M77" i="13"/>
  <c r="AF77" i="13"/>
  <c r="B66" i="13"/>
  <c r="C112" i="13" s="1"/>
  <c r="B58" i="13"/>
  <c r="C104" i="13" s="1"/>
  <c r="E73" i="13"/>
  <c r="E70" i="13"/>
  <c r="E68" i="13"/>
  <c r="E66" i="13"/>
  <c r="E64" i="13"/>
  <c r="E62" i="13"/>
  <c r="E60" i="13"/>
  <c r="E58" i="13"/>
  <c r="E56" i="13"/>
  <c r="M91" i="13"/>
  <c r="M83" i="13"/>
  <c r="M58" i="13"/>
  <c r="Y96" i="13"/>
  <c r="AG95" i="13"/>
  <c r="AG93" i="13"/>
  <c r="AG91" i="13"/>
  <c r="Q91" i="13"/>
  <c r="AG89" i="13"/>
  <c r="Y88" i="13"/>
  <c r="AG87" i="13"/>
  <c r="AG85" i="13"/>
  <c r="AG83" i="13"/>
  <c r="AB77" i="13"/>
  <c r="X70" i="13"/>
  <c r="P65" i="13"/>
  <c r="N95" i="13"/>
  <c r="V95" i="13"/>
  <c r="AD95" i="13"/>
  <c r="O95" i="13"/>
  <c r="W95" i="13"/>
  <c r="AE95" i="13"/>
  <c r="P95" i="13"/>
  <c r="X95" i="13"/>
  <c r="AF95" i="13"/>
  <c r="S95" i="13"/>
  <c r="AA95" i="13"/>
  <c r="AI95" i="13"/>
  <c r="N87" i="13"/>
  <c r="V87" i="13"/>
  <c r="AD87" i="13"/>
  <c r="O87" i="13"/>
  <c r="W87" i="13"/>
  <c r="AE87" i="13"/>
  <c r="P87" i="13"/>
  <c r="X87" i="13"/>
  <c r="AF87" i="13"/>
  <c r="S87" i="13"/>
  <c r="AA87" i="13"/>
  <c r="AI87" i="13"/>
  <c r="O79" i="13"/>
  <c r="W79" i="13"/>
  <c r="AE79" i="13"/>
  <c r="Q79" i="13"/>
  <c r="Y79" i="13"/>
  <c r="AG79" i="13"/>
  <c r="R79" i="13"/>
  <c r="Z79" i="13"/>
  <c r="AH79" i="13"/>
  <c r="S79" i="13"/>
  <c r="AA79" i="13"/>
  <c r="AI79" i="13"/>
  <c r="U79" i="13"/>
  <c r="AC79" i="13"/>
  <c r="AK79" i="13"/>
  <c r="N79" i="13"/>
  <c r="AJ79" i="13"/>
  <c r="P79" i="13"/>
  <c r="T79" i="13"/>
  <c r="AB79" i="13"/>
  <c r="O69" i="13"/>
  <c r="W69" i="13"/>
  <c r="AE69" i="13"/>
  <c r="Q69" i="13"/>
  <c r="Y69" i="13"/>
  <c r="AG69" i="13"/>
  <c r="R69" i="13"/>
  <c r="Z69" i="13"/>
  <c r="AH69" i="13"/>
  <c r="S69" i="13"/>
  <c r="AA69" i="13"/>
  <c r="AI69" i="13"/>
  <c r="U69" i="13"/>
  <c r="AC69" i="13"/>
  <c r="AK69" i="13"/>
  <c r="T69" i="13"/>
  <c r="V69" i="13"/>
  <c r="X69" i="13"/>
  <c r="M69" i="13"/>
  <c r="AF69" i="13"/>
  <c r="N61" i="13"/>
  <c r="V61" i="13"/>
  <c r="AD61" i="13"/>
  <c r="O61" i="13"/>
  <c r="W61" i="13"/>
  <c r="AE61" i="13"/>
  <c r="P61" i="13"/>
  <c r="X61" i="13"/>
  <c r="AF61" i="13"/>
  <c r="Q61" i="13"/>
  <c r="Y61" i="13"/>
  <c r="AG61" i="13"/>
  <c r="R61" i="13"/>
  <c r="Z61" i="13"/>
  <c r="AH61" i="13"/>
  <c r="S61" i="13"/>
  <c r="AA61" i="13"/>
  <c r="AI61" i="13"/>
  <c r="U61" i="13"/>
  <c r="AC61" i="13"/>
  <c r="AK61" i="13"/>
  <c r="T61" i="13"/>
  <c r="M61" i="13"/>
  <c r="B75" i="13"/>
  <c r="C121" i="13" s="1"/>
  <c r="B65" i="13"/>
  <c r="C111" i="13" s="1"/>
  <c r="B57" i="13"/>
  <c r="C103" i="13" s="1"/>
  <c r="D73" i="13"/>
  <c r="D70" i="13"/>
  <c r="D68" i="13"/>
  <c r="D66" i="13"/>
  <c r="D64" i="13"/>
  <c r="D62" i="13"/>
  <c r="D60" i="13"/>
  <c r="D58" i="13"/>
  <c r="D56" i="13"/>
  <c r="M94" i="13"/>
  <c r="M86" i="13"/>
  <c r="M70" i="13"/>
  <c r="AK96" i="13"/>
  <c r="U96" i="13"/>
  <c r="AC95" i="13"/>
  <c r="AK94" i="13"/>
  <c r="AC93" i="13"/>
  <c r="AK92" i="13"/>
  <c r="U92" i="13"/>
  <c r="AC91" i="13"/>
  <c r="AK90" i="13"/>
  <c r="U90" i="13"/>
  <c r="AC89" i="13"/>
  <c r="AK88" i="13"/>
  <c r="U88" i="13"/>
  <c r="AC87" i="13"/>
  <c r="AK86" i="13"/>
  <c r="AC85" i="13"/>
  <c r="AK84" i="13"/>
  <c r="U84" i="13"/>
  <c r="AC83" i="13"/>
  <c r="X82" i="13"/>
  <c r="AD80" i="13"/>
  <c r="P77" i="13"/>
  <c r="V75" i="13"/>
  <c r="AB73" i="13"/>
  <c r="AF71" i="13"/>
  <c r="N70" i="13"/>
  <c r="X66" i="13"/>
  <c r="AD64" i="13"/>
  <c r="AJ62" i="13"/>
  <c r="AB57" i="13"/>
  <c r="N94" i="13"/>
  <c r="V94" i="13"/>
  <c r="AD94" i="13"/>
  <c r="O94" i="13"/>
  <c r="W94" i="13"/>
  <c r="AE94" i="13"/>
  <c r="P94" i="13"/>
  <c r="X94" i="13"/>
  <c r="AF94" i="13"/>
  <c r="S94" i="13"/>
  <c r="AA94" i="13"/>
  <c r="AI94" i="13"/>
  <c r="N86" i="13"/>
  <c r="V86" i="13"/>
  <c r="AD86" i="13"/>
  <c r="O86" i="13"/>
  <c r="W86" i="13"/>
  <c r="AE86" i="13"/>
  <c r="P86" i="13"/>
  <c r="X86" i="13"/>
  <c r="AF86" i="13"/>
  <c r="S86" i="13"/>
  <c r="AA86" i="13"/>
  <c r="AI86" i="13"/>
  <c r="O78" i="13"/>
  <c r="W78" i="13"/>
  <c r="AE78" i="13"/>
  <c r="Q78" i="13"/>
  <c r="Y78" i="13"/>
  <c r="AG78" i="13"/>
  <c r="R78" i="13"/>
  <c r="Z78" i="13"/>
  <c r="AH78" i="13"/>
  <c r="S78" i="13"/>
  <c r="AA78" i="13"/>
  <c r="AI78" i="13"/>
  <c r="U78" i="13"/>
  <c r="AC78" i="13"/>
  <c r="AK78" i="13"/>
  <c r="P78" i="13"/>
  <c r="T78" i="13"/>
  <c r="V78" i="13"/>
  <c r="AD78" i="13"/>
  <c r="O68" i="13"/>
  <c r="W68" i="13"/>
  <c r="AE68" i="13"/>
  <c r="Q68" i="13"/>
  <c r="Y68" i="13"/>
  <c r="AG68" i="13"/>
  <c r="R68" i="13"/>
  <c r="Z68" i="13"/>
  <c r="AH68" i="13"/>
  <c r="S68" i="13"/>
  <c r="AA68" i="13"/>
  <c r="AI68" i="13"/>
  <c r="U68" i="13"/>
  <c r="AC68" i="13"/>
  <c r="AK68" i="13"/>
  <c r="V68" i="13"/>
  <c r="X68" i="13"/>
  <c r="AB68" i="13"/>
  <c r="N68" i="13"/>
  <c r="AJ68" i="13"/>
  <c r="M68" i="13"/>
  <c r="N60" i="13"/>
  <c r="V60" i="13"/>
  <c r="AD60" i="13"/>
  <c r="O60" i="13"/>
  <c r="W60" i="13"/>
  <c r="AE60" i="13"/>
  <c r="P60" i="13"/>
  <c r="X60" i="13"/>
  <c r="AF60" i="13"/>
  <c r="Q60" i="13"/>
  <c r="Y60" i="13"/>
  <c r="AG60" i="13"/>
  <c r="R60" i="13"/>
  <c r="Z60" i="13"/>
  <c r="AH60" i="13"/>
  <c r="S60" i="13"/>
  <c r="AA60" i="13"/>
  <c r="AI60" i="13"/>
  <c r="U60" i="13"/>
  <c r="AC60" i="13"/>
  <c r="AK60" i="13"/>
  <c r="AB60" i="13"/>
  <c r="AJ60" i="13"/>
  <c r="M60" i="13"/>
  <c r="B73" i="13"/>
  <c r="C119" i="13" s="1"/>
  <c r="B64" i="13"/>
  <c r="C110" i="13" s="1"/>
  <c r="B56" i="13"/>
  <c r="C102" i="13" s="1"/>
  <c r="C73" i="13"/>
  <c r="C70" i="13"/>
  <c r="D116" i="13" s="1"/>
  <c r="C66" i="13"/>
  <c r="C64" i="13"/>
  <c r="C62" i="13"/>
  <c r="D108" i="13" s="1"/>
  <c r="C58" i="13"/>
  <c r="C56" i="13"/>
  <c r="M89" i="13"/>
  <c r="M73" i="13"/>
  <c r="M57" i="13"/>
  <c r="AJ96" i="13"/>
  <c r="T96" i="13"/>
  <c r="AB95" i="13"/>
  <c r="AJ94" i="13"/>
  <c r="T94" i="13"/>
  <c r="AJ92" i="13"/>
  <c r="T92" i="13"/>
  <c r="AB91" i="13"/>
  <c r="AJ90" i="13"/>
  <c r="T90" i="13"/>
  <c r="AB89" i="13"/>
  <c r="AJ88" i="13"/>
  <c r="T88" i="13"/>
  <c r="AB87" i="13"/>
  <c r="AJ86" i="13"/>
  <c r="T86" i="13"/>
  <c r="AJ84" i="13"/>
  <c r="T84" i="13"/>
  <c r="AB83" i="13"/>
  <c r="V82" i="13"/>
  <c r="AB80" i="13"/>
  <c r="AF78" i="13"/>
  <c r="N77" i="13"/>
  <c r="X73" i="13"/>
  <c r="AD71" i="13"/>
  <c r="AJ69" i="13"/>
  <c r="P68" i="13"/>
  <c r="V66" i="13"/>
  <c r="AB64" i="13"/>
  <c r="AB62" i="13"/>
  <c r="T57" i="13"/>
  <c r="N93" i="13"/>
  <c r="V93" i="13"/>
  <c r="AD93" i="13"/>
  <c r="O93" i="13"/>
  <c r="W93" i="13"/>
  <c r="AE93" i="13"/>
  <c r="P93" i="13"/>
  <c r="X93" i="13"/>
  <c r="AF93" i="13"/>
  <c r="S93" i="13"/>
  <c r="AA93" i="13"/>
  <c r="AI93" i="13"/>
  <c r="N85" i="13"/>
  <c r="V85" i="13"/>
  <c r="AD85" i="13"/>
  <c r="O85" i="13"/>
  <c r="W85" i="13"/>
  <c r="AE85" i="13"/>
  <c r="P85" i="13"/>
  <c r="X85" i="13"/>
  <c r="AF85" i="13"/>
  <c r="S85" i="13"/>
  <c r="AA85" i="13"/>
  <c r="AI85" i="13"/>
  <c r="O75" i="13"/>
  <c r="W75" i="13"/>
  <c r="AE75" i="13"/>
  <c r="Q75" i="13"/>
  <c r="Y75" i="13"/>
  <c r="AG75" i="13"/>
  <c r="R75" i="13"/>
  <c r="Z75" i="13"/>
  <c r="AH75" i="13"/>
  <c r="S75" i="13"/>
  <c r="AA75" i="13"/>
  <c r="AI75" i="13"/>
  <c r="U75" i="13"/>
  <c r="AC75" i="13"/>
  <c r="AK75" i="13"/>
  <c r="X75" i="13"/>
  <c r="M75" i="13"/>
  <c r="AB75" i="13"/>
  <c r="AD75" i="13"/>
  <c r="P75" i="13"/>
  <c r="O67" i="13"/>
  <c r="W67" i="13"/>
  <c r="AE67" i="13"/>
  <c r="Q67" i="13"/>
  <c r="Y67" i="13"/>
  <c r="AG67" i="13"/>
  <c r="R67" i="13"/>
  <c r="Z67" i="13"/>
  <c r="AH67" i="13"/>
  <c r="S67" i="13"/>
  <c r="AA67" i="13"/>
  <c r="AI67" i="13"/>
  <c r="U67" i="13"/>
  <c r="AC67" i="13"/>
  <c r="AK67" i="13"/>
  <c r="X67" i="13"/>
  <c r="M67" i="13"/>
  <c r="AB67" i="13"/>
  <c r="AD67" i="13"/>
  <c r="P67" i="13"/>
  <c r="N59" i="13"/>
  <c r="V59" i="13"/>
  <c r="AD59" i="13"/>
  <c r="O59" i="13"/>
  <c r="W59" i="13"/>
  <c r="AE59" i="13"/>
  <c r="P59" i="13"/>
  <c r="X59" i="13"/>
  <c r="AF59" i="13"/>
  <c r="Q59" i="13"/>
  <c r="Y59" i="13"/>
  <c r="AG59" i="13"/>
  <c r="R59" i="13"/>
  <c r="Z59" i="13"/>
  <c r="AH59" i="13"/>
  <c r="S59" i="13"/>
  <c r="AA59" i="13"/>
  <c r="AI59" i="13"/>
  <c r="U59" i="13"/>
  <c r="AC59" i="13"/>
  <c r="AK59" i="13"/>
  <c r="M59" i="13"/>
  <c r="AB59" i="13"/>
  <c r="B71" i="13"/>
  <c r="C117" i="13" s="1"/>
  <c r="B63" i="13"/>
  <c r="C109" i="13" s="1"/>
  <c r="F75" i="13"/>
  <c r="F71" i="13"/>
  <c r="F69" i="13"/>
  <c r="F67" i="13"/>
  <c r="F65" i="13"/>
  <c r="F63" i="13"/>
  <c r="F61" i="13"/>
  <c r="F59" i="13"/>
  <c r="F57" i="13"/>
  <c r="M92" i="13"/>
  <c r="M84" i="13"/>
  <c r="M79" i="13"/>
  <c r="M63" i="13"/>
  <c r="AH96" i="13"/>
  <c r="R96" i="13"/>
  <c r="Z95" i="13"/>
  <c r="AH94" i="13"/>
  <c r="R94" i="13"/>
  <c r="Z93" i="13"/>
  <c r="AH92" i="13"/>
  <c r="Z91" i="13"/>
  <c r="AH90" i="13"/>
  <c r="R90" i="13"/>
  <c r="Z89" i="13"/>
  <c r="AH88" i="13"/>
  <c r="R88" i="13"/>
  <c r="Z87" i="13"/>
  <c r="AH86" i="13"/>
  <c r="R86" i="13"/>
  <c r="Z85" i="13"/>
  <c r="AH84" i="13"/>
  <c r="Z83" i="13"/>
  <c r="P82" i="13"/>
  <c r="V80" i="13"/>
  <c r="AB78" i="13"/>
  <c r="AF76" i="13"/>
  <c r="N75" i="13"/>
  <c r="T73" i="13"/>
  <c r="X71" i="13"/>
  <c r="AD69" i="13"/>
  <c r="AJ67" i="13"/>
  <c r="V64" i="13"/>
  <c r="AJ61" i="13"/>
  <c r="AB56" i="13"/>
  <c r="N92" i="13"/>
  <c r="V92" i="13"/>
  <c r="AD92" i="13"/>
  <c r="O92" i="13"/>
  <c r="W92" i="13"/>
  <c r="AE92" i="13"/>
  <c r="P92" i="13"/>
  <c r="X92" i="13"/>
  <c r="AF92" i="13"/>
  <c r="S92" i="13"/>
  <c r="AA92" i="13"/>
  <c r="AI92" i="13"/>
  <c r="N84" i="13"/>
  <c r="V84" i="13"/>
  <c r="AD84" i="13"/>
  <c r="O84" i="13"/>
  <c r="W84" i="13"/>
  <c r="AE84" i="13"/>
  <c r="P84" i="13"/>
  <c r="X84" i="13"/>
  <c r="AF84" i="13"/>
  <c r="S84" i="13"/>
  <c r="AA84" i="13"/>
  <c r="AI84" i="13"/>
  <c r="O74" i="13"/>
  <c r="W74" i="13"/>
  <c r="AE74" i="13"/>
  <c r="Q74" i="13"/>
  <c r="Y74" i="13"/>
  <c r="AG74" i="13"/>
  <c r="R74" i="13"/>
  <c r="Z74" i="13"/>
  <c r="AH74" i="13"/>
  <c r="S74" i="13"/>
  <c r="AA74" i="13"/>
  <c r="AI74" i="13"/>
  <c r="U74" i="13"/>
  <c r="AC74" i="13"/>
  <c r="AK74" i="13"/>
  <c r="AB74" i="13"/>
  <c r="AD74" i="13"/>
  <c r="AF74" i="13"/>
  <c r="T74" i="13"/>
  <c r="O66" i="13"/>
  <c r="W66" i="13"/>
  <c r="AE66" i="13"/>
  <c r="Q66" i="13"/>
  <c r="Y66" i="13"/>
  <c r="AG66" i="13"/>
  <c r="R66" i="13"/>
  <c r="Z66" i="13"/>
  <c r="AH66" i="13"/>
  <c r="S66" i="13"/>
  <c r="AA66" i="13"/>
  <c r="AI66" i="13"/>
  <c r="U66" i="13"/>
  <c r="AC66" i="13"/>
  <c r="AK66" i="13"/>
  <c r="AB66" i="13"/>
  <c r="AD66" i="13"/>
  <c r="AF66" i="13"/>
  <c r="T66" i="13"/>
  <c r="N58" i="13"/>
  <c r="V58" i="13"/>
  <c r="AD58" i="13"/>
  <c r="O58" i="13"/>
  <c r="W58" i="13"/>
  <c r="AE58" i="13"/>
  <c r="P58" i="13"/>
  <c r="X58" i="13"/>
  <c r="AF58" i="13"/>
  <c r="Q58" i="13"/>
  <c r="Y58" i="13"/>
  <c r="AG58" i="13"/>
  <c r="R58" i="13"/>
  <c r="Z58" i="13"/>
  <c r="AH58" i="13"/>
  <c r="S58" i="13"/>
  <c r="AA58" i="13"/>
  <c r="AI58" i="13"/>
  <c r="U58" i="13"/>
  <c r="AC58" i="13"/>
  <c r="AK58" i="13"/>
  <c r="T58" i="13"/>
  <c r="AB58" i="13"/>
  <c r="M95" i="13"/>
  <c r="M87" i="13"/>
  <c r="M82" i="13"/>
  <c r="M66" i="13"/>
  <c r="AG96" i="13"/>
  <c r="Q96" i="13"/>
  <c r="Y95" i="13"/>
  <c r="AG94" i="13"/>
  <c r="Q94" i="13"/>
  <c r="Y93" i="13"/>
  <c r="AG92" i="13"/>
  <c r="Q92" i="13"/>
  <c r="Y91" i="13"/>
  <c r="AG90" i="13"/>
  <c r="Q90" i="13"/>
  <c r="Y89" i="13"/>
  <c r="AG88" i="13"/>
  <c r="Q88" i="13"/>
  <c r="Y87" i="13"/>
  <c r="AG86" i="13"/>
  <c r="Q86" i="13"/>
  <c r="Y85" i="13"/>
  <c r="AG84" i="13"/>
  <c r="Q84" i="13"/>
  <c r="Y83" i="13"/>
  <c r="N82" i="13"/>
  <c r="T80" i="13"/>
  <c r="X78" i="13"/>
  <c r="AJ74" i="13"/>
  <c r="P73" i="13"/>
  <c r="V71" i="13"/>
  <c r="AB69" i="13"/>
  <c r="AF67" i="13"/>
  <c r="N66" i="13"/>
  <c r="T64" i="13"/>
  <c r="AB61" i="13"/>
  <c r="T56" i="13"/>
  <c r="B80" i="13"/>
  <c r="C126" i="13" s="1"/>
  <c r="B72" i="13"/>
  <c r="C118" i="13" s="1"/>
  <c r="C82" i="13"/>
  <c r="C79" i="13"/>
  <c r="C77" i="13"/>
  <c r="B79" i="13"/>
  <c r="C125" i="13" s="1"/>
  <c r="F84" i="13"/>
  <c r="F80" i="13"/>
  <c r="F78" i="13"/>
  <c r="F76" i="13"/>
  <c r="F74" i="13"/>
  <c r="F72" i="13"/>
  <c r="B78" i="13"/>
  <c r="C124" i="13" s="1"/>
  <c r="E84" i="13"/>
  <c r="E80" i="13"/>
  <c r="E78" i="13"/>
  <c r="E76" i="13"/>
  <c r="E74" i="13"/>
  <c r="E72" i="13"/>
  <c r="B77" i="13"/>
  <c r="C123" i="13" s="1"/>
  <c r="D84" i="13"/>
  <c r="D80" i="13"/>
  <c r="D78" i="13"/>
  <c r="D76" i="13"/>
  <c r="D74" i="13"/>
  <c r="D72" i="13"/>
  <c r="B76" i="13"/>
  <c r="C122" i="13" s="1"/>
  <c r="C84" i="13"/>
  <c r="D130" i="13" s="1"/>
  <c r="C80" i="13"/>
  <c r="C74" i="13"/>
  <c r="D120" i="13" s="1"/>
  <c r="C72" i="13"/>
  <c r="F82" i="13"/>
  <c r="F79" i="13"/>
  <c r="F77" i="13"/>
  <c r="E82" i="13"/>
  <c r="E79" i="13"/>
  <c r="E77" i="13"/>
  <c r="B82" i="13"/>
  <c r="C128" i="13" s="1"/>
  <c r="B93" i="13"/>
  <c r="C139" i="13" s="1"/>
  <c r="B85" i="13"/>
  <c r="C131" i="13" s="1"/>
  <c r="D96" i="13"/>
  <c r="D94" i="13"/>
  <c r="D92" i="13"/>
  <c r="D90" i="13"/>
  <c r="D88" i="13"/>
  <c r="D86" i="13"/>
  <c r="B92" i="13"/>
  <c r="C138" i="13" s="1"/>
  <c r="C96" i="13"/>
  <c r="C94" i="13"/>
  <c r="C92" i="13"/>
  <c r="C90" i="13"/>
  <c r="C88" i="13"/>
  <c r="C86" i="13"/>
  <c r="B91" i="13"/>
  <c r="C137" i="13" s="1"/>
  <c r="B83" i="13"/>
  <c r="C129" i="13" s="1"/>
  <c r="F95" i="13"/>
  <c r="F93" i="13"/>
  <c r="F91" i="13"/>
  <c r="F89" i="13"/>
  <c r="F87" i="13"/>
  <c r="F85" i="13"/>
  <c r="F83" i="13"/>
  <c r="F81" i="13"/>
  <c r="F55" i="13"/>
  <c r="B90" i="13"/>
  <c r="C136" i="13" s="1"/>
  <c r="E95" i="13"/>
  <c r="E93" i="13"/>
  <c r="E91" i="13"/>
  <c r="E89" i="13"/>
  <c r="E87" i="13"/>
  <c r="E85" i="13"/>
  <c r="E83" i="13"/>
  <c r="E81" i="13"/>
  <c r="E55" i="13"/>
  <c r="B55" i="13"/>
  <c r="C101" i="13" s="1"/>
  <c r="B89" i="13"/>
  <c r="C135" i="13" s="1"/>
  <c r="B81" i="13"/>
  <c r="C127" i="13" s="1"/>
  <c r="D95" i="13"/>
  <c r="D93" i="13"/>
  <c r="D91" i="13"/>
  <c r="D89" i="13"/>
  <c r="D87" i="13"/>
  <c r="D85" i="13"/>
  <c r="D83" i="13"/>
  <c r="D81" i="13"/>
  <c r="D55" i="13"/>
  <c r="B96" i="13"/>
  <c r="C142" i="13" s="1"/>
  <c r="B88" i="13"/>
  <c r="C134" i="13" s="1"/>
  <c r="C95" i="13"/>
  <c r="C89" i="13"/>
  <c r="C87" i="13"/>
  <c r="C81" i="13"/>
  <c r="C55" i="13"/>
  <c r="B95" i="13"/>
  <c r="C141" i="13" s="1"/>
  <c r="B87" i="13"/>
  <c r="C133" i="13" s="1"/>
  <c r="F96" i="13"/>
  <c r="F94" i="13"/>
  <c r="F92" i="13"/>
  <c r="F90" i="13"/>
  <c r="F88" i="13"/>
  <c r="F86" i="13"/>
  <c r="B94" i="13"/>
  <c r="C140" i="13" s="1"/>
  <c r="B86" i="13"/>
  <c r="C132" i="13" s="1"/>
  <c r="E108" i="13" l="1"/>
  <c r="E130" i="13"/>
  <c r="E116" i="13"/>
  <c r="E120" i="13"/>
  <c r="D125" i="13"/>
  <c r="D127" i="13"/>
  <c r="D124" i="13"/>
  <c r="G90" i="13"/>
  <c r="I90" i="13"/>
  <c r="J90" i="13"/>
  <c r="K90" i="13"/>
  <c r="D101" i="13"/>
  <c r="G89" i="13"/>
  <c r="H89" i="13"/>
  <c r="I89" i="13"/>
  <c r="L89" i="13"/>
  <c r="D122" i="13"/>
  <c r="G74" i="13"/>
  <c r="I74" i="13"/>
  <c r="J74" i="13"/>
  <c r="K74" i="13"/>
  <c r="G57" i="13"/>
  <c r="H57" i="13"/>
  <c r="I57" i="13"/>
  <c r="L57" i="13"/>
  <c r="H75" i="13"/>
  <c r="I75" i="13"/>
  <c r="K75" i="13"/>
  <c r="L75" i="13"/>
  <c r="D103" i="13"/>
  <c r="J64" i="13"/>
  <c r="K64" i="13"/>
  <c r="G64" i="13"/>
  <c r="D132" i="13"/>
  <c r="D128" i="13"/>
  <c r="H77" i="13"/>
  <c r="I77" i="13"/>
  <c r="L77" i="13"/>
  <c r="G77" i="13"/>
  <c r="D118" i="13"/>
  <c r="H59" i="13"/>
  <c r="I59" i="13"/>
  <c r="K59" i="13"/>
  <c r="L59" i="13"/>
  <c r="D111" i="13"/>
  <c r="J66" i="13"/>
  <c r="K66" i="13"/>
  <c r="G66" i="13"/>
  <c r="I66" i="13"/>
  <c r="D138" i="13"/>
  <c r="D140" i="13"/>
  <c r="G92" i="13"/>
  <c r="J92" i="13"/>
  <c r="K92" i="13"/>
  <c r="G76" i="13"/>
  <c r="J76" i="13"/>
  <c r="K76" i="13"/>
  <c r="I79" i="13"/>
  <c r="K79" i="13"/>
  <c r="L79" i="13"/>
  <c r="H79" i="13"/>
  <c r="G78" i="13"/>
  <c r="I78" i="13"/>
  <c r="J78" i="13"/>
  <c r="K78" i="13"/>
  <c r="D126" i="13"/>
  <c r="G61" i="13"/>
  <c r="H61" i="13"/>
  <c r="I61" i="13"/>
  <c r="L61" i="13"/>
  <c r="D117" i="13"/>
  <c r="D121" i="13"/>
  <c r="K68" i="13"/>
  <c r="G68" i="13"/>
  <c r="J68" i="13"/>
  <c r="D133" i="13"/>
  <c r="I81" i="13"/>
  <c r="L81" i="13"/>
  <c r="G81" i="13"/>
  <c r="H81" i="13"/>
  <c r="D137" i="13"/>
  <c r="H91" i="13"/>
  <c r="I91" i="13"/>
  <c r="K91" i="13"/>
  <c r="L91" i="13"/>
  <c r="D109" i="13"/>
  <c r="I94" i="13"/>
  <c r="J94" i="13"/>
  <c r="K94" i="13"/>
  <c r="G94" i="13"/>
  <c r="D136" i="13"/>
  <c r="G93" i="13"/>
  <c r="H93" i="13"/>
  <c r="I93" i="13"/>
  <c r="L93" i="13"/>
  <c r="J96" i="13"/>
  <c r="K96" i="13"/>
  <c r="G96" i="13"/>
  <c r="D134" i="13"/>
  <c r="K55" i="13"/>
  <c r="L55" i="13"/>
  <c r="H55" i="13"/>
  <c r="J55" i="13"/>
  <c r="H95" i="13"/>
  <c r="I95" i="13"/>
  <c r="K95" i="13"/>
  <c r="L95" i="13"/>
  <c r="D131" i="13"/>
  <c r="G82" i="13"/>
  <c r="I82" i="13"/>
  <c r="J82" i="13"/>
  <c r="K82" i="13"/>
  <c r="G80" i="13"/>
  <c r="J80" i="13"/>
  <c r="K80" i="13"/>
  <c r="H63" i="13"/>
  <c r="I63" i="13"/>
  <c r="K63" i="13"/>
  <c r="L63" i="13"/>
  <c r="D102" i="13"/>
  <c r="D104" i="13"/>
  <c r="K70" i="13"/>
  <c r="G70" i="13"/>
  <c r="I70" i="13"/>
  <c r="J70" i="13"/>
  <c r="D107" i="13"/>
  <c r="D129" i="13"/>
  <c r="G84" i="13"/>
  <c r="J84" i="13"/>
  <c r="K84" i="13"/>
  <c r="G65" i="13"/>
  <c r="H65" i="13"/>
  <c r="I65" i="13"/>
  <c r="L65" i="13"/>
  <c r="D110" i="13"/>
  <c r="D112" i="13"/>
  <c r="G56" i="13"/>
  <c r="H56" i="13"/>
  <c r="I56" i="13"/>
  <c r="L56" i="13"/>
  <c r="G73" i="13"/>
  <c r="H73" i="13"/>
  <c r="I73" i="13"/>
  <c r="L73" i="13"/>
  <c r="D115" i="13"/>
  <c r="D141" i="13"/>
  <c r="H67" i="13"/>
  <c r="I67" i="13"/>
  <c r="K67" i="13"/>
  <c r="L67" i="13"/>
  <c r="D119" i="13"/>
  <c r="G58" i="13"/>
  <c r="I58" i="13"/>
  <c r="J58" i="13"/>
  <c r="K58" i="13"/>
  <c r="D105" i="13"/>
  <c r="D106" i="13"/>
  <c r="D142" i="13"/>
  <c r="K83" i="13"/>
  <c r="L83" i="13"/>
  <c r="H83" i="13"/>
  <c r="I83" i="13"/>
  <c r="L85" i="13"/>
  <c r="G85" i="13"/>
  <c r="H85" i="13"/>
  <c r="I85" i="13"/>
  <c r="G69" i="13"/>
  <c r="H69" i="13"/>
  <c r="I69" i="13"/>
  <c r="L69" i="13"/>
  <c r="G60" i="13"/>
  <c r="J60" i="13"/>
  <c r="K60" i="13"/>
  <c r="D113" i="13"/>
  <c r="D114" i="13"/>
  <c r="D139" i="13"/>
  <c r="G86" i="13"/>
  <c r="I86" i="13"/>
  <c r="J86" i="13"/>
  <c r="K86" i="13"/>
  <c r="G88" i="13"/>
  <c r="J88" i="13"/>
  <c r="K88" i="13"/>
  <c r="D135" i="13"/>
  <c r="L87" i="13"/>
  <c r="H87" i="13"/>
  <c r="I87" i="13"/>
  <c r="K87" i="13"/>
  <c r="D123" i="13"/>
  <c r="G72" i="13"/>
  <c r="J72" i="13"/>
  <c r="K72" i="13"/>
  <c r="H71" i="13"/>
  <c r="I71" i="13"/>
  <c r="K71" i="13"/>
  <c r="L71" i="13"/>
  <c r="I62" i="13"/>
  <c r="J62" i="13"/>
  <c r="K62" i="13"/>
  <c r="G62" i="13"/>
  <c r="L86" i="13"/>
  <c r="H86" i="13"/>
  <c r="H88" i="13"/>
  <c r="I88" i="13"/>
  <c r="L88" i="13"/>
  <c r="L90" i="13"/>
  <c r="H90" i="13"/>
  <c r="H92" i="13"/>
  <c r="I92" i="13"/>
  <c r="L92" i="13"/>
  <c r="L94" i="13"/>
  <c r="H94" i="13"/>
  <c r="H96" i="13"/>
  <c r="I96" i="13"/>
  <c r="L96" i="13"/>
  <c r="G55" i="13"/>
  <c r="I55" i="13"/>
  <c r="J81" i="13"/>
  <c r="K81" i="13"/>
  <c r="G83" i="13"/>
  <c r="J83" i="13"/>
  <c r="J85" i="13"/>
  <c r="K85" i="13"/>
  <c r="G87" i="13"/>
  <c r="J87" i="13"/>
  <c r="J89" i="13"/>
  <c r="K89" i="13"/>
  <c r="G91" i="13"/>
  <c r="J91" i="13"/>
  <c r="J93" i="13"/>
  <c r="K93" i="13"/>
  <c r="G95" i="13"/>
  <c r="J95" i="13"/>
  <c r="J77" i="13"/>
  <c r="K77" i="13"/>
  <c r="G79" i="13"/>
  <c r="J79" i="13"/>
  <c r="L82" i="13"/>
  <c r="H82" i="13"/>
  <c r="H72" i="13"/>
  <c r="I72" i="13"/>
  <c r="L72" i="13"/>
  <c r="L74" i="13"/>
  <c r="H74" i="13"/>
  <c r="H76" i="13"/>
  <c r="I76" i="13"/>
  <c r="L76" i="13"/>
  <c r="L78" i="13"/>
  <c r="H78" i="13"/>
  <c r="H80" i="13"/>
  <c r="I80" i="13"/>
  <c r="L80" i="13"/>
  <c r="H84" i="13"/>
  <c r="I84" i="13"/>
  <c r="L84" i="13"/>
  <c r="J57" i="13"/>
  <c r="K57" i="13"/>
  <c r="G59" i="13"/>
  <c r="J59" i="13"/>
  <c r="J61" i="13"/>
  <c r="K61" i="13"/>
  <c r="G63" i="13"/>
  <c r="J63" i="13"/>
  <c r="J65" i="13"/>
  <c r="K65" i="13"/>
  <c r="G67" i="13"/>
  <c r="J67" i="13"/>
  <c r="J69" i="13"/>
  <c r="K69" i="13"/>
  <c r="G71" i="13"/>
  <c r="J71" i="13"/>
  <c r="G75" i="13"/>
  <c r="J75" i="13"/>
  <c r="J56" i="13"/>
  <c r="K56" i="13"/>
  <c r="L58" i="13"/>
  <c r="H58" i="13"/>
  <c r="H60" i="13"/>
  <c r="I60" i="13"/>
  <c r="L60" i="13"/>
  <c r="L62" i="13"/>
  <c r="H62" i="13"/>
  <c r="H64" i="13"/>
  <c r="I64" i="13"/>
  <c r="L64" i="13"/>
  <c r="L66" i="13"/>
  <c r="H66" i="13"/>
  <c r="H68" i="13"/>
  <c r="I68" i="13"/>
  <c r="L68" i="13"/>
  <c r="L70" i="13"/>
  <c r="H70" i="13"/>
  <c r="J73" i="13"/>
  <c r="K73" i="13"/>
  <c r="E106" i="13" l="1"/>
  <c r="E119" i="13"/>
  <c r="E115" i="13"/>
  <c r="E133" i="13"/>
  <c r="E117" i="13"/>
  <c r="E103" i="13"/>
  <c r="E140" i="13"/>
  <c r="E123" i="13"/>
  <c r="E139" i="13"/>
  <c r="E112" i="13"/>
  <c r="E128" i="13"/>
  <c r="F120" i="13"/>
  <c r="E137" i="13"/>
  <c r="E124" i="13"/>
  <c r="E105" i="13"/>
  <c r="E131" i="13"/>
  <c r="E118" i="13"/>
  <c r="F116" i="13"/>
  <c r="E110" i="13"/>
  <c r="E104" i="13"/>
  <c r="E109" i="13"/>
  <c r="E132" i="13"/>
  <c r="E127" i="13"/>
  <c r="E114" i="13"/>
  <c r="E113" i="13"/>
  <c r="E141" i="13"/>
  <c r="E129" i="13"/>
  <c r="E134" i="13"/>
  <c r="E121" i="13"/>
  <c r="E126" i="13"/>
  <c r="E101" i="13"/>
  <c r="F130" i="13"/>
  <c r="E107" i="13"/>
  <c r="E111" i="13"/>
  <c r="E142" i="13"/>
  <c r="E102" i="13"/>
  <c r="E135" i="13"/>
  <c r="E136" i="13"/>
  <c r="E138" i="13"/>
  <c r="E122" i="13"/>
  <c r="E125" i="13"/>
  <c r="F108" i="13"/>
  <c r="F131" i="13" l="1"/>
  <c r="F122" i="13"/>
  <c r="F102" i="13"/>
  <c r="G130" i="13"/>
  <c r="F134" i="13"/>
  <c r="F114" i="13"/>
  <c r="F104" i="13"/>
  <c r="G120" i="13"/>
  <c r="F123" i="13"/>
  <c r="F133" i="13"/>
  <c r="F138" i="13"/>
  <c r="F127" i="13"/>
  <c r="F105" i="13"/>
  <c r="F140" i="13"/>
  <c r="F115" i="13"/>
  <c r="F142" i="13"/>
  <c r="F101" i="13"/>
  <c r="F129" i="13"/>
  <c r="F110" i="13"/>
  <c r="F128" i="13"/>
  <c r="F111" i="13"/>
  <c r="F136" i="13"/>
  <c r="F126" i="13"/>
  <c r="F141" i="13"/>
  <c r="F132" i="13"/>
  <c r="G116" i="13"/>
  <c r="F124" i="13"/>
  <c r="F112" i="13"/>
  <c r="F103" i="13"/>
  <c r="F119" i="13"/>
  <c r="F135" i="13"/>
  <c r="F107" i="13"/>
  <c r="F113" i="13"/>
  <c r="F109" i="13"/>
  <c r="G108" i="13"/>
  <c r="F125" i="13"/>
  <c r="F121" i="13"/>
  <c r="F118" i="13"/>
  <c r="F137" i="13"/>
  <c r="F139" i="13"/>
  <c r="F117" i="13"/>
  <c r="F106" i="13"/>
  <c r="G139" i="13" l="1"/>
  <c r="G125" i="13"/>
  <c r="G128" i="13"/>
  <c r="H120" i="13"/>
  <c r="G107" i="13"/>
  <c r="G112" i="13"/>
  <c r="G141" i="13"/>
  <c r="G142" i="13"/>
  <c r="G127" i="13"/>
  <c r="H130" i="13"/>
  <c r="G135" i="13"/>
  <c r="G137" i="13"/>
  <c r="H108" i="13"/>
  <c r="G124" i="13"/>
  <c r="G126" i="13"/>
  <c r="G110" i="13"/>
  <c r="G115" i="13"/>
  <c r="G138" i="13"/>
  <c r="G104" i="13"/>
  <c r="G102" i="13"/>
  <c r="G118" i="13"/>
  <c r="H116" i="13"/>
  <c r="G106" i="13"/>
  <c r="G109" i="13"/>
  <c r="G119" i="13"/>
  <c r="G136" i="13"/>
  <c r="G129" i="13"/>
  <c r="G140" i="13"/>
  <c r="G133" i="13"/>
  <c r="G114" i="13"/>
  <c r="G122" i="13"/>
  <c r="G123" i="13"/>
  <c r="G117" i="13"/>
  <c r="G121" i="13"/>
  <c r="G113" i="13"/>
  <c r="G103" i="13"/>
  <c r="G132" i="13"/>
  <c r="G111" i="13"/>
  <c r="G101" i="13"/>
  <c r="G105" i="13"/>
  <c r="G134" i="13"/>
  <c r="G131" i="13"/>
  <c r="H104" i="13" l="1"/>
  <c r="H126" i="13"/>
  <c r="I120" i="13"/>
  <c r="H131" i="13"/>
  <c r="H111" i="13"/>
  <c r="H121" i="13"/>
  <c r="H114" i="13"/>
  <c r="H136" i="13"/>
  <c r="I116" i="13"/>
  <c r="H135" i="13"/>
  <c r="H138" i="13"/>
  <c r="H124" i="13"/>
  <c r="H141" i="13"/>
  <c r="H134" i="13"/>
  <c r="H132" i="13"/>
  <c r="H117" i="13"/>
  <c r="H133" i="13"/>
  <c r="H119" i="13"/>
  <c r="H118" i="13"/>
  <c r="H128" i="13"/>
  <c r="H103" i="13"/>
  <c r="H115" i="13"/>
  <c r="I108" i="13"/>
  <c r="I130" i="13"/>
  <c r="H112" i="13"/>
  <c r="H105" i="13"/>
  <c r="H123" i="13"/>
  <c r="H140" i="13"/>
  <c r="H109" i="13"/>
  <c r="H125" i="13"/>
  <c r="H122" i="13"/>
  <c r="H102" i="13"/>
  <c r="H110" i="13"/>
  <c r="H127" i="13"/>
  <c r="H107" i="13"/>
  <c r="H139" i="13"/>
  <c r="H101" i="13"/>
  <c r="H113" i="13"/>
  <c r="H129" i="13"/>
  <c r="H106" i="13"/>
  <c r="H137" i="13"/>
  <c r="H142" i="13"/>
  <c r="I107" i="13" l="1"/>
  <c r="I125" i="13"/>
  <c r="I115" i="13"/>
  <c r="I118" i="13"/>
  <c r="I134" i="13"/>
  <c r="J120" i="13"/>
  <c r="I106" i="13"/>
  <c r="I102" i="13"/>
  <c r="I123" i="13"/>
  <c r="J130" i="13"/>
  <c r="I117" i="13"/>
  <c r="I138" i="13"/>
  <c r="I136" i="13"/>
  <c r="I103" i="13"/>
  <c r="I119" i="13"/>
  <c r="I111" i="13"/>
  <c r="I101" i="13"/>
  <c r="I109" i="13"/>
  <c r="I105" i="13"/>
  <c r="I141" i="13"/>
  <c r="I142" i="13"/>
  <c r="I129" i="13"/>
  <c r="I127" i="13"/>
  <c r="I140" i="13"/>
  <c r="J108" i="13"/>
  <c r="I132" i="13"/>
  <c r="I135" i="13"/>
  <c r="I114" i="13"/>
  <c r="I126" i="13"/>
  <c r="I122" i="13"/>
  <c r="I128" i="13"/>
  <c r="I124" i="13"/>
  <c r="I131" i="13"/>
  <c r="I137" i="13"/>
  <c r="I139" i="13"/>
  <c r="I110" i="13"/>
  <c r="I112" i="13"/>
  <c r="J116" i="13"/>
  <c r="I104" i="13"/>
  <c r="I113" i="13"/>
  <c r="I133" i="13"/>
  <c r="I121" i="13"/>
  <c r="J113" i="13" l="1"/>
  <c r="J139" i="13"/>
  <c r="J135" i="13"/>
  <c r="J105" i="13"/>
  <c r="J117" i="13"/>
  <c r="J115" i="13"/>
  <c r="J124" i="13"/>
  <c r="J140" i="13"/>
  <c r="J111" i="13"/>
  <c r="J102" i="13"/>
  <c r="J112" i="13"/>
  <c r="J137" i="13"/>
  <c r="J126" i="13"/>
  <c r="J142" i="13"/>
  <c r="J136" i="13"/>
  <c r="K130" i="13"/>
  <c r="J121" i="13"/>
  <c r="J128" i="13"/>
  <c r="J132" i="13"/>
  <c r="J109" i="13"/>
  <c r="J106" i="13"/>
  <c r="J134" i="13"/>
  <c r="J125" i="13"/>
  <c r="J104" i="13"/>
  <c r="J110" i="13"/>
  <c r="J127" i="13"/>
  <c r="J119" i="13"/>
  <c r="J114" i="13"/>
  <c r="J141" i="13"/>
  <c r="J138" i="13"/>
  <c r="J118" i="13"/>
  <c r="J107" i="13"/>
  <c r="J133" i="13"/>
  <c r="J131" i="13"/>
  <c r="K108" i="13"/>
  <c r="J129" i="13"/>
  <c r="J101" i="13"/>
  <c r="J123" i="13"/>
  <c r="K116" i="13"/>
  <c r="J122" i="13"/>
  <c r="J103" i="13"/>
  <c r="K120" i="13"/>
  <c r="K122" i="13" l="1"/>
  <c r="L108" i="13"/>
  <c r="K119" i="13"/>
  <c r="K132" i="13"/>
  <c r="L130" i="13"/>
  <c r="K112" i="13"/>
  <c r="K135" i="13"/>
  <c r="K107" i="13"/>
  <c r="K141" i="13"/>
  <c r="K104" i="13"/>
  <c r="K101" i="13"/>
  <c r="K106" i="13"/>
  <c r="K126" i="13"/>
  <c r="K140" i="13"/>
  <c r="K117" i="13"/>
  <c r="L120" i="13"/>
  <c r="L116" i="13"/>
  <c r="K131" i="13"/>
  <c r="K127" i="13"/>
  <c r="K128" i="13"/>
  <c r="K102" i="13"/>
  <c r="K139" i="13"/>
  <c r="K118" i="13"/>
  <c r="K125" i="13"/>
  <c r="K136" i="13"/>
  <c r="K124" i="13"/>
  <c r="K129" i="13"/>
  <c r="K114" i="13"/>
  <c r="K109" i="13"/>
  <c r="K137" i="13"/>
  <c r="K105" i="13"/>
  <c r="K103" i="13"/>
  <c r="K133" i="13"/>
  <c r="K110" i="13"/>
  <c r="K134" i="13"/>
  <c r="K121" i="13"/>
  <c r="K111" i="13"/>
  <c r="K113" i="13"/>
  <c r="K123" i="13"/>
  <c r="K138" i="13"/>
  <c r="K142" i="13"/>
  <c r="K115" i="13"/>
  <c r="L134" i="13" l="1"/>
  <c r="L129" i="13"/>
  <c r="L127" i="13"/>
  <c r="M120" i="13"/>
  <c r="L101" i="13"/>
  <c r="L119" i="13"/>
  <c r="L103" i="13"/>
  <c r="L109" i="13"/>
  <c r="L125" i="13"/>
  <c r="L107" i="13"/>
  <c r="M130" i="13"/>
  <c r="L138" i="13"/>
  <c r="L111" i="13"/>
  <c r="L102" i="13"/>
  <c r="L126" i="13"/>
  <c r="L115" i="13"/>
  <c r="L110" i="13"/>
  <c r="L105" i="13"/>
  <c r="L124" i="13"/>
  <c r="L131" i="13"/>
  <c r="L104" i="13"/>
  <c r="M108" i="13"/>
  <c r="L123" i="13"/>
  <c r="L118" i="13"/>
  <c r="L117" i="13"/>
  <c r="L135" i="13"/>
  <c r="L132" i="13"/>
  <c r="L121" i="13"/>
  <c r="L114" i="13"/>
  <c r="L128" i="13"/>
  <c r="L106" i="13"/>
  <c r="L142" i="13"/>
  <c r="L113" i="13"/>
  <c r="L133" i="13"/>
  <c r="L137" i="13"/>
  <c r="L136" i="13"/>
  <c r="M116" i="13"/>
  <c r="L141" i="13"/>
  <c r="L122" i="13"/>
  <c r="L139" i="13"/>
  <c r="L140" i="13"/>
  <c r="L112" i="13"/>
  <c r="M141" i="13" l="1"/>
  <c r="M137" i="13"/>
  <c r="M132" i="13"/>
  <c r="M124" i="13"/>
  <c r="N130" i="13"/>
  <c r="M127" i="13"/>
  <c r="N116" i="13"/>
  <c r="M142" i="13"/>
  <c r="M118" i="13"/>
  <c r="M115" i="13"/>
  <c r="M109" i="13"/>
  <c r="M139" i="13"/>
  <c r="M104" i="13"/>
  <c r="M111" i="13"/>
  <c r="M101" i="13"/>
  <c r="M129" i="13"/>
  <c r="M114" i="13"/>
  <c r="M112" i="13"/>
  <c r="M133" i="13"/>
  <c r="M135" i="13"/>
  <c r="M105" i="13"/>
  <c r="M107" i="13"/>
  <c r="M103" i="13"/>
  <c r="M122" i="13"/>
  <c r="M106" i="13"/>
  <c r="M123" i="13"/>
  <c r="M131" i="13"/>
  <c r="M126" i="13"/>
  <c r="N120" i="13"/>
  <c r="M136" i="13"/>
  <c r="M121" i="13"/>
  <c r="M138" i="13"/>
  <c r="M113" i="13"/>
  <c r="M110" i="13"/>
  <c r="M125" i="13"/>
  <c r="M134" i="13"/>
  <c r="M140" i="13"/>
  <c r="M117" i="13"/>
  <c r="M128" i="13"/>
  <c r="N108" i="13"/>
  <c r="M102" i="13"/>
  <c r="M119" i="13"/>
  <c r="N125" i="13" l="1"/>
  <c r="N136" i="13"/>
  <c r="N131" i="13"/>
  <c r="N133" i="13"/>
  <c r="N132" i="13"/>
  <c r="O108" i="13"/>
  <c r="N138" i="13"/>
  <c r="N122" i="13"/>
  <c r="N129" i="13"/>
  <c r="N142" i="13"/>
  <c r="N119" i="13"/>
  <c r="N140" i="13"/>
  <c r="N105" i="13"/>
  <c r="N104" i="13"/>
  <c r="O130" i="13"/>
  <c r="O120" i="13"/>
  <c r="N110" i="13"/>
  <c r="N123" i="13"/>
  <c r="N112" i="13"/>
  <c r="N115" i="13"/>
  <c r="N137" i="13"/>
  <c r="N128" i="13"/>
  <c r="N121" i="13"/>
  <c r="N103" i="13"/>
  <c r="N101" i="13"/>
  <c r="O116" i="13"/>
  <c r="N134" i="13"/>
  <c r="N113" i="13"/>
  <c r="N126" i="13"/>
  <c r="N135" i="13"/>
  <c r="N139" i="13"/>
  <c r="N124" i="13"/>
  <c r="N141" i="13"/>
  <c r="N102" i="13"/>
  <c r="N106" i="13"/>
  <c r="N114" i="13"/>
  <c r="N118" i="13"/>
  <c r="N117" i="13"/>
  <c r="N107" i="13"/>
  <c r="N111" i="13"/>
  <c r="N109" i="13"/>
  <c r="N127" i="13"/>
  <c r="O106" i="13" l="1"/>
  <c r="O134" i="13"/>
  <c r="O112" i="13"/>
  <c r="O119" i="13"/>
  <c r="O131" i="13"/>
  <c r="O111" i="13"/>
  <c r="O124" i="13"/>
  <c r="O103" i="13"/>
  <c r="P120" i="13"/>
  <c r="O122" i="13"/>
  <c r="O118" i="13"/>
  <c r="O126" i="13"/>
  <c r="O137" i="13"/>
  <c r="O123" i="13"/>
  <c r="O105" i="13"/>
  <c r="O132" i="13"/>
  <c r="O127" i="13"/>
  <c r="O102" i="13"/>
  <c r="P116" i="13"/>
  <c r="O136" i="13"/>
  <c r="O107" i="13"/>
  <c r="O139" i="13"/>
  <c r="O121" i="13"/>
  <c r="P130" i="13"/>
  <c r="O142" i="13"/>
  <c r="O138" i="13"/>
  <c r="O114" i="13"/>
  <c r="O113" i="13"/>
  <c r="O115" i="13"/>
  <c r="O140" i="13"/>
  <c r="O133" i="13"/>
  <c r="O109" i="13"/>
  <c r="O141" i="13"/>
  <c r="O101" i="13"/>
  <c r="O110" i="13"/>
  <c r="O129" i="13"/>
  <c r="O125" i="13"/>
  <c r="O117" i="13"/>
  <c r="O135" i="13"/>
  <c r="O128" i="13"/>
  <c r="O104" i="13"/>
  <c r="P108" i="13"/>
  <c r="P110" i="13" l="1"/>
  <c r="P114" i="13"/>
  <c r="Q116" i="13"/>
  <c r="P118" i="13"/>
  <c r="P103" i="13"/>
  <c r="P112" i="13"/>
  <c r="P128" i="13"/>
  <c r="P109" i="13"/>
  <c r="Q130" i="13"/>
  <c r="P107" i="13"/>
  <c r="P132" i="13"/>
  <c r="P137" i="13"/>
  <c r="Q108" i="13"/>
  <c r="P125" i="13"/>
  <c r="P115" i="13"/>
  <c r="P131" i="13"/>
  <c r="P101" i="13"/>
  <c r="P138" i="13"/>
  <c r="P102" i="13"/>
  <c r="P122" i="13"/>
  <c r="P124" i="13"/>
  <c r="P134" i="13"/>
  <c r="P135" i="13"/>
  <c r="P133" i="13"/>
  <c r="P105" i="13"/>
  <c r="P126" i="13"/>
  <c r="P119" i="13"/>
  <c r="P129" i="13"/>
  <c r="P113" i="13"/>
  <c r="P121" i="13"/>
  <c r="P136" i="13"/>
  <c r="Q120" i="13"/>
  <c r="P104" i="13"/>
  <c r="P141" i="13"/>
  <c r="P142" i="13"/>
  <c r="P127" i="13"/>
  <c r="P106" i="13"/>
  <c r="P117" i="13"/>
  <c r="P140" i="13"/>
  <c r="P139" i="13"/>
  <c r="P123" i="13"/>
  <c r="P111" i="13"/>
  <c r="Q142" i="13" l="1"/>
  <c r="Q119" i="13"/>
  <c r="Q102" i="13"/>
  <c r="Q132" i="13"/>
  <c r="Q109" i="13"/>
  <c r="R116" i="13"/>
  <c r="Q139" i="13"/>
  <c r="R120" i="13"/>
  <c r="Q133" i="13"/>
  <c r="Q131" i="13"/>
  <c r="Q106" i="13"/>
  <c r="Q113" i="13"/>
  <c r="Q126" i="13"/>
  <c r="Q124" i="13"/>
  <c r="R108" i="13"/>
  <c r="Q103" i="13"/>
  <c r="Q114" i="13"/>
  <c r="Q111" i="13"/>
  <c r="Q141" i="13"/>
  <c r="Q138" i="13"/>
  <c r="Q115" i="13"/>
  <c r="Q107" i="13"/>
  <c r="Q140" i="13"/>
  <c r="Q136" i="13"/>
  <c r="Q135" i="13"/>
  <c r="Q128" i="13"/>
  <c r="Q123" i="13"/>
  <c r="Q127" i="13"/>
  <c r="Q129" i="13"/>
  <c r="Q122" i="13"/>
  <c r="Q137" i="13"/>
  <c r="Q118" i="13"/>
  <c r="Q104" i="13"/>
  <c r="Q105" i="13"/>
  <c r="Q101" i="13"/>
  <c r="R130" i="13"/>
  <c r="Q110" i="13"/>
  <c r="Q117" i="13"/>
  <c r="Q121" i="13"/>
  <c r="Q134" i="13"/>
  <c r="Q125" i="13"/>
  <c r="Q112" i="13"/>
  <c r="R101" i="13" l="1"/>
  <c r="R123" i="13"/>
  <c r="R106" i="13"/>
  <c r="S120" i="13"/>
  <c r="R102" i="13"/>
  <c r="R118" i="13"/>
  <c r="R136" i="13"/>
  <c r="R103" i="13"/>
  <c r="R134" i="13"/>
  <c r="R129" i="13"/>
  <c r="R115" i="13"/>
  <c r="R126" i="13"/>
  <c r="R131" i="13"/>
  <c r="R109" i="13"/>
  <c r="R110" i="13"/>
  <c r="R112" i="13"/>
  <c r="R105" i="13"/>
  <c r="R128" i="13"/>
  <c r="R111" i="13"/>
  <c r="R139" i="13"/>
  <c r="R119" i="13"/>
  <c r="R121" i="13"/>
  <c r="R137" i="13"/>
  <c r="R140" i="13"/>
  <c r="S108" i="13"/>
  <c r="S130" i="13"/>
  <c r="R127" i="13"/>
  <c r="R113" i="13"/>
  <c r="R132" i="13"/>
  <c r="R125" i="13"/>
  <c r="R104" i="13"/>
  <c r="R135" i="13"/>
  <c r="R138" i="13"/>
  <c r="R114" i="13"/>
  <c r="R133" i="13"/>
  <c r="R142" i="13"/>
  <c r="R117" i="13"/>
  <c r="R122" i="13"/>
  <c r="R107" i="13"/>
  <c r="R141" i="13"/>
  <c r="R124" i="13"/>
  <c r="S116" i="13"/>
  <c r="S133" i="13" l="1"/>
  <c r="S135" i="13"/>
  <c r="S127" i="13"/>
  <c r="S111" i="13"/>
  <c r="S115" i="13"/>
  <c r="S106" i="13"/>
  <c r="S141" i="13"/>
  <c r="S112" i="13"/>
  <c r="S103" i="13"/>
  <c r="S102" i="13"/>
  <c r="S117" i="13"/>
  <c r="S132" i="13"/>
  <c r="S140" i="13"/>
  <c r="S119" i="13"/>
  <c r="S131" i="13"/>
  <c r="S129" i="13"/>
  <c r="T116" i="13"/>
  <c r="S114" i="13"/>
  <c r="T130" i="13"/>
  <c r="S137" i="13"/>
  <c r="S128" i="13"/>
  <c r="S123" i="13"/>
  <c r="S107" i="13"/>
  <c r="S104" i="13"/>
  <c r="S110" i="13"/>
  <c r="S136" i="13"/>
  <c r="S113" i="13"/>
  <c r="S139" i="13"/>
  <c r="S126" i="13"/>
  <c r="T120" i="13"/>
  <c r="S142" i="13"/>
  <c r="S124" i="13"/>
  <c r="S138" i="13"/>
  <c r="T108" i="13"/>
  <c r="S105" i="13"/>
  <c r="S134" i="13"/>
  <c r="S101" i="13"/>
  <c r="S122" i="13"/>
  <c r="S125" i="13"/>
  <c r="S121" i="13"/>
  <c r="S109" i="13"/>
  <c r="S118" i="13"/>
  <c r="T105" i="13" l="1"/>
  <c r="T113" i="13"/>
  <c r="T123" i="13"/>
  <c r="U130" i="13"/>
  <c r="T112" i="13"/>
  <c r="T127" i="13"/>
  <c r="T121" i="13"/>
  <c r="T124" i="13"/>
  <c r="T104" i="13"/>
  <c r="T129" i="13"/>
  <c r="T101" i="13"/>
  <c r="T126" i="13"/>
  <c r="T128" i="13"/>
  <c r="T140" i="13"/>
  <c r="T115" i="13"/>
  <c r="T118" i="13"/>
  <c r="U108" i="13"/>
  <c r="T136" i="13"/>
  <c r="T114" i="13"/>
  <c r="T102" i="13"/>
  <c r="T135" i="13"/>
  <c r="T125" i="13"/>
  <c r="T142" i="13"/>
  <c r="T107" i="13"/>
  <c r="T131" i="13"/>
  <c r="T132" i="13"/>
  <c r="T141" i="13"/>
  <c r="T109" i="13"/>
  <c r="T134" i="13"/>
  <c r="T139" i="13"/>
  <c r="T137" i="13"/>
  <c r="T111" i="13"/>
  <c r="T138" i="13"/>
  <c r="T110" i="13"/>
  <c r="U116" i="13"/>
  <c r="T119" i="13"/>
  <c r="T103" i="13"/>
  <c r="T133" i="13"/>
  <c r="T122" i="13"/>
  <c r="U120" i="13"/>
  <c r="T117" i="13"/>
  <c r="T106" i="13"/>
  <c r="V116" i="13" l="1"/>
  <c r="U107" i="13"/>
  <c r="U101" i="13"/>
  <c r="U123" i="13"/>
  <c r="V120" i="13"/>
  <c r="U111" i="13"/>
  <c r="U141" i="13"/>
  <c r="U118" i="13"/>
  <c r="U124" i="13"/>
  <c r="U103" i="13"/>
  <c r="U134" i="13"/>
  <c r="U135" i="13"/>
  <c r="U128" i="13"/>
  <c r="U129" i="13"/>
  <c r="U112" i="13"/>
  <c r="U106" i="13"/>
  <c r="U110" i="13"/>
  <c r="U132" i="13"/>
  <c r="U136" i="13"/>
  <c r="U121" i="13"/>
  <c r="U113" i="13"/>
  <c r="U122" i="13"/>
  <c r="U137" i="13"/>
  <c r="U142" i="13"/>
  <c r="U115" i="13"/>
  <c r="V130" i="13"/>
  <c r="U117" i="13"/>
  <c r="U119" i="13"/>
  <c r="U109" i="13"/>
  <c r="U102" i="13"/>
  <c r="U126" i="13"/>
  <c r="U138" i="13"/>
  <c r="U131" i="13"/>
  <c r="U125" i="13"/>
  <c r="V108" i="13"/>
  <c r="U104" i="13"/>
  <c r="U127" i="13"/>
  <c r="U105" i="13"/>
  <c r="U133" i="13"/>
  <c r="U139" i="13"/>
  <c r="U114" i="13"/>
  <c r="U140" i="13"/>
  <c r="V102" i="13" l="1"/>
  <c r="W108" i="13"/>
  <c r="V117" i="13"/>
  <c r="V136" i="13"/>
  <c r="V101" i="13"/>
  <c r="V127" i="13"/>
  <c r="V138" i="13"/>
  <c r="V142" i="13"/>
  <c r="V113" i="13"/>
  <c r="V106" i="13"/>
  <c r="V118" i="13"/>
  <c r="V139" i="13"/>
  <c r="V109" i="13"/>
  <c r="W130" i="13"/>
  <c r="V128" i="13"/>
  <c r="W120" i="13"/>
  <c r="V105" i="13"/>
  <c r="V140" i="13"/>
  <c r="V125" i="13"/>
  <c r="V132" i="13"/>
  <c r="V112" i="13"/>
  <c r="V103" i="13"/>
  <c r="V107" i="13"/>
  <c r="V133" i="13"/>
  <c r="V126" i="13"/>
  <c r="V137" i="13"/>
  <c r="V141" i="13"/>
  <c r="V104" i="13"/>
  <c r="V131" i="13"/>
  <c r="V119" i="13"/>
  <c r="V121" i="13"/>
  <c r="V135" i="13"/>
  <c r="V124" i="13"/>
  <c r="V123" i="13"/>
  <c r="V114" i="13"/>
  <c r="V115" i="13"/>
  <c r="V110" i="13"/>
  <c r="W116" i="13"/>
  <c r="V122" i="13"/>
  <c r="V129" i="13"/>
  <c r="V134" i="13"/>
  <c r="V111" i="13"/>
  <c r="W114" i="13" l="1"/>
  <c r="W125" i="13"/>
  <c r="W118" i="13"/>
  <c r="W117" i="13"/>
  <c r="W129" i="13"/>
  <c r="W135" i="13"/>
  <c r="W133" i="13"/>
  <c r="X120" i="13"/>
  <c r="W110" i="13"/>
  <c r="W131" i="13"/>
  <c r="W112" i="13"/>
  <c r="W109" i="13"/>
  <c r="W142" i="13"/>
  <c r="W101" i="13"/>
  <c r="W111" i="13"/>
  <c r="W123" i="13"/>
  <c r="W137" i="13"/>
  <c r="W140" i="13"/>
  <c r="W106" i="13"/>
  <c r="X108" i="13"/>
  <c r="W122" i="13"/>
  <c r="W121" i="13"/>
  <c r="W107" i="13"/>
  <c r="W128" i="13"/>
  <c r="W138" i="13"/>
  <c r="W136" i="13"/>
  <c r="W115" i="13"/>
  <c r="W124" i="13"/>
  <c r="W104" i="13"/>
  <c r="W132" i="13"/>
  <c r="W139" i="13"/>
  <c r="W134" i="13"/>
  <c r="W126" i="13"/>
  <c r="W105" i="13"/>
  <c r="W113" i="13"/>
  <c r="W127" i="13"/>
  <c r="W102" i="13"/>
  <c r="X116" i="13"/>
  <c r="W119" i="13"/>
  <c r="W141" i="13"/>
  <c r="W103" i="13"/>
  <c r="X130" i="13"/>
  <c r="X115" i="13" l="1"/>
  <c r="X106" i="13"/>
  <c r="X112" i="13"/>
  <c r="X118" i="13"/>
  <c r="X128" i="13"/>
  <c r="X123" i="13"/>
  <c r="X102" i="13"/>
  <c r="X104" i="13"/>
  <c r="X122" i="13"/>
  <c r="X142" i="13"/>
  <c r="X129" i="13"/>
  <c r="X105" i="13"/>
  <c r="Y130" i="13"/>
  <c r="X136" i="13"/>
  <c r="X107" i="13"/>
  <c r="X140" i="13"/>
  <c r="X131" i="13"/>
  <c r="X141" i="13"/>
  <c r="X134" i="13"/>
  <c r="Y120" i="13"/>
  <c r="X119" i="13"/>
  <c r="X139" i="13"/>
  <c r="X111" i="13"/>
  <c r="X133" i="13"/>
  <c r="X125" i="13"/>
  <c r="X127" i="13"/>
  <c r="X124" i="13"/>
  <c r="X109" i="13"/>
  <c r="X117" i="13"/>
  <c r="X103" i="13"/>
  <c r="X126" i="13"/>
  <c r="X138" i="13"/>
  <c r="X137" i="13"/>
  <c r="X114" i="13"/>
  <c r="Y108" i="13"/>
  <c r="X110" i="13"/>
  <c r="Y116" i="13"/>
  <c r="X113" i="13"/>
  <c r="X132" i="13"/>
  <c r="X121" i="13"/>
  <c r="X101" i="13"/>
  <c r="X135" i="13"/>
  <c r="Z108" i="13" l="1"/>
  <c r="Y124" i="13"/>
  <c r="Y133" i="13"/>
  <c r="Y134" i="13"/>
  <c r="Y129" i="13"/>
  <c r="Y112" i="13"/>
  <c r="Y121" i="13"/>
  <c r="Y104" i="13"/>
  <c r="Z116" i="13"/>
  <c r="Y119" i="13"/>
  <c r="Y141" i="13"/>
  <c r="Z130" i="13"/>
  <c r="Y128" i="13"/>
  <c r="Y117" i="13"/>
  <c r="Y135" i="13"/>
  <c r="Y114" i="13"/>
  <c r="Y127" i="13"/>
  <c r="Y142" i="13"/>
  <c r="Y106" i="13"/>
  <c r="Y140" i="13"/>
  <c r="Y132" i="13"/>
  <c r="Y110" i="13"/>
  <c r="Y126" i="13"/>
  <c r="Y111" i="13"/>
  <c r="Y107" i="13"/>
  <c r="Y102" i="13"/>
  <c r="Y138" i="13"/>
  <c r="Y109" i="13"/>
  <c r="Y105" i="13"/>
  <c r="Y118" i="13"/>
  <c r="Y101" i="13"/>
  <c r="Y137" i="13"/>
  <c r="Y125" i="13"/>
  <c r="Y131" i="13"/>
  <c r="Y122" i="13"/>
  <c r="Y115" i="13"/>
  <c r="Z120" i="13"/>
  <c r="Y113" i="13"/>
  <c r="Y103" i="13"/>
  <c r="Y139" i="13"/>
  <c r="Y136" i="13"/>
  <c r="Y123" i="13"/>
  <c r="Z139" i="13" l="1"/>
  <c r="Z122" i="13"/>
  <c r="Z138" i="13"/>
  <c r="Z111" i="13"/>
  <c r="Z106" i="13"/>
  <c r="Z141" i="13"/>
  <c r="Z133" i="13"/>
  <c r="Z137" i="13"/>
  <c r="Z105" i="13"/>
  <c r="Z132" i="13"/>
  <c r="Z119" i="13"/>
  <c r="Z129" i="13"/>
  <c r="Z128" i="13"/>
  <c r="AA120" i="13"/>
  <c r="Z123" i="13"/>
  <c r="Z131" i="13"/>
  <c r="Z102" i="13"/>
  <c r="Z142" i="13"/>
  <c r="Z124" i="13"/>
  <c r="Z114" i="13"/>
  <c r="Z104" i="13"/>
  <c r="Z103" i="13"/>
  <c r="Z101" i="13"/>
  <c r="Z126" i="13"/>
  <c r="Z135" i="13"/>
  <c r="Z121" i="13"/>
  <c r="Z115" i="13"/>
  <c r="Z134" i="13"/>
  <c r="Z136" i="13"/>
  <c r="Z125" i="13"/>
  <c r="Z118" i="13"/>
  <c r="Z107" i="13"/>
  <c r="Z127" i="13"/>
  <c r="AA116" i="13"/>
  <c r="AA108" i="13"/>
  <c r="Z109" i="13"/>
  <c r="Z140" i="13"/>
  <c r="AA130" i="13"/>
  <c r="Z113" i="13"/>
  <c r="Z110" i="13"/>
  <c r="Z117" i="13"/>
  <c r="Z112" i="13"/>
  <c r="AA110" i="13" l="1"/>
  <c r="AB108" i="13"/>
  <c r="AA115" i="13"/>
  <c r="AA126" i="13"/>
  <c r="AA124" i="13"/>
  <c r="AA119" i="13"/>
  <c r="AA138" i="13"/>
  <c r="AA107" i="13"/>
  <c r="AA131" i="13"/>
  <c r="AA128" i="13"/>
  <c r="AA137" i="13"/>
  <c r="AA106" i="13"/>
  <c r="AA112" i="13"/>
  <c r="AA136" i="13"/>
  <c r="AA104" i="13"/>
  <c r="AA142" i="13"/>
  <c r="AA140" i="13"/>
  <c r="AB116" i="13"/>
  <c r="AA121" i="13"/>
  <c r="AA132" i="13"/>
  <c r="AA122" i="13"/>
  <c r="AA113" i="13"/>
  <c r="AA118" i="13"/>
  <c r="AA101" i="13"/>
  <c r="AA123" i="13"/>
  <c r="AA129" i="13"/>
  <c r="AA133" i="13"/>
  <c r="AA109" i="13"/>
  <c r="AA134" i="13"/>
  <c r="AA114" i="13"/>
  <c r="AA111" i="13"/>
  <c r="AA117" i="13"/>
  <c r="AA127" i="13"/>
  <c r="AA135" i="13"/>
  <c r="AA102" i="13"/>
  <c r="AA105" i="13"/>
  <c r="AA139" i="13"/>
  <c r="AB130" i="13"/>
  <c r="AA125" i="13"/>
  <c r="AA103" i="13"/>
  <c r="AB120" i="13"/>
  <c r="AA141" i="13"/>
  <c r="AB102" i="13" l="1"/>
  <c r="AB133" i="13"/>
  <c r="AB121" i="13"/>
  <c r="AB137" i="13"/>
  <c r="AB117" i="13"/>
  <c r="AB101" i="13"/>
  <c r="AB122" i="13"/>
  <c r="AB142" i="13"/>
  <c r="AB107" i="13"/>
  <c r="AB139" i="13"/>
  <c r="AB135" i="13"/>
  <c r="AB134" i="13"/>
  <c r="AB128" i="13"/>
  <c r="AB124" i="13"/>
  <c r="AC108" i="13"/>
  <c r="AB103" i="13"/>
  <c r="AB141" i="13"/>
  <c r="AB129" i="13"/>
  <c r="AC116" i="13"/>
  <c r="AB112" i="13"/>
  <c r="AB138" i="13"/>
  <c r="AB125" i="13"/>
  <c r="AB111" i="13"/>
  <c r="AB118" i="13"/>
  <c r="AB104" i="13"/>
  <c r="AB126" i="13"/>
  <c r="AB105" i="13"/>
  <c r="AB109" i="13"/>
  <c r="AB132" i="13"/>
  <c r="AB106" i="13"/>
  <c r="AC120" i="13"/>
  <c r="AB123" i="13"/>
  <c r="AB140" i="13"/>
  <c r="AB131" i="13"/>
  <c r="AB110" i="13"/>
  <c r="AC130" i="13"/>
  <c r="AB127" i="13"/>
  <c r="AB114" i="13"/>
  <c r="AB113" i="13"/>
  <c r="AB136" i="13"/>
  <c r="AB119" i="13"/>
  <c r="AB115" i="13"/>
  <c r="AC110" i="13" l="1"/>
  <c r="AD116" i="13"/>
  <c r="AC135" i="13"/>
  <c r="AC142" i="13"/>
  <c r="AC121" i="13"/>
  <c r="AC136" i="13"/>
  <c r="AC123" i="13"/>
  <c r="AC132" i="13"/>
  <c r="AC118" i="13"/>
  <c r="AC138" i="13"/>
  <c r="AC103" i="13"/>
  <c r="AC115" i="13"/>
  <c r="AC127" i="13"/>
  <c r="AC128" i="13"/>
  <c r="AC117" i="13"/>
  <c r="AC131" i="13"/>
  <c r="AC126" i="13"/>
  <c r="AC129" i="13"/>
  <c r="AC139" i="13"/>
  <c r="AC133" i="13"/>
  <c r="AC113" i="13"/>
  <c r="AD120" i="13"/>
  <c r="AC111" i="13"/>
  <c r="AD108" i="13"/>
  <c r="AC122" i="13"/>
  <c r="AD130" i="13"/>
  <c r="AC109" i="13"/>
  <c r="AC112" i="13"/>
  <c r="AC134" i="13"/>
  <c r="AC137" i="13"/>
  <c r="AC119" i="13"/>
  <c r="AC140" i="13"/>
  <c r="AC104" i="13"/>
  <c r="AC107" i="13"/>
  <c r="AC102" i="13"/>
  <c r="AC114" i="13"/>
  <c r="AC106" i="13"/>
  <c r="AC105" i="13"/>
  <c r="AC125" i="13"/>
  <c r="AC141" i="13"/>
  <c r="AC124" i="13"/>
  <c r="AC101" i="13"/>
  <c r="AD102" i="13" l="1"/>
  <c r="AD137" i="13"/>
  <c r="AD109" i="13"/>
  <c r="AE108" i="13"/>
  <c r="AD139" i="13"/>
  <c r="AD103" i="13"/>
  <c r="AD135" i="13"/>
  <c r="AD140" i="13"/>
  <c r="AD131" i="13"/>
  <c r="AD132" i="13"/>
  <c r="AD141" i="13"/>
  <c r="AD106" i="13"/>
  <c r="AD107" i="13"/>
  <c r="AD134" i="13"/>
  <c r="AD113" i="13"/>
  <c r="AD127" i="13"/>
  <c r="AD138" i="13"/>
  <c r="AD121" i="13"/>
  <c r="AD101" i="13"/>
  <c r="AE130" i="13"/>
  <c r="AD129" i="13"/>
  <c r="AE116" i="13"/>
  <c r="AD125" i="13"/>
  <c r="AD119" i="13"/>
  <c r="AD111" i="13"/>
  <c r="AD117" i="13"/>
  <c r="AD123" i="13"/>
  <c r="AD142" i="13"/>
  <c r="AD114" i="13"/>
  <c r="AD112" i="13"/>
  <c r="AD133" i="13"/>
  <c r="AD115" i="13"/>
  <c r="AD118" i="13"/>
  <c r="AD124" i="13"/>
  <c r="AD104" i="13"/>
  <c r="AD122" i="13"/>
  <c r="AD126" i="13"/>
  <c r="AD110" i="13"/>
  <c r="AD105" i="13"/>
  <c r="AE120" i="13"/>
  <c r="AD128" i="13"/>
  <c r="AD136" i="13"/>
  <c r="AE104" i="13" l="1"/>
  <c r="AE123" i="13"/>
  <c r="AE101" i="13"/>
  <c r="AE127" i="13"/>
  <c r="AE141" i="13"/>
  <c r="AE140" i="13"/>
  <c r="AE109" i="13"/>
  <c r="AE115" i="13"/>
  <c r="AE119" i="13"/>
  <c r="AE126" i="13"/>
  <c r="AE114" i="13"/>
  <c r="AE129" i="13"/>
  <c r="AE107" i="13"/>
  <c r="AE139" i="13"/>
  <c r="AE136" i="13"/>
  <c r="AE105" i="13"/>
  <c r="AE124" i="13"/>
  <c r="AE133" i="13"/>
  <c r="AE117" i="13"/>
  <c r="AE121" i="13"/>
  <c r="AE132" i="13"/>
  <c r="AE137" i="13"/>
  <c r="AE125" i="13"/>
  <c r="AE113" i="13"/>
  <c r="AE135" i="13"/>
  <c r="AE122" i="13"/>
  <c r="AE111" i="13"/>
  <c r="AF130" i="13"/>
  <c r="AE106" i="13"/>
  <c r="AF108" i="13"/>
  <c r="AE128" i="13"/>
  <c r="AE118" i="13"/>
  <c r="AE142" i="13"/>
  <c r="AE138" i="13"/>
  <c r="AE131" i="13"/>
  <c r="AE102" i="13"/>
  <c r="AF120" i="13"/>
  <c r="AE110" i="13"/>
  <c r="AE112" i="13"/>
  <c r="AF116" i="13"/>
  <c r="AE134" i="13"/>
  <c r="AE103" i="13"/>
  <c r="AF113" i="13" l="1"/>
  <c r="AF117" i="13"/>
  <c r="AF139" i="13"/>
  <c r="AF114" i="13"/>
  <c r="AF101" i="13"/>
  <c r="AF118" i="13"/>
  <c r="AF105" i="13"/>
  <c r="AF115" i="13"/>
  <c r="AG120" i="13"/>
  <c r="AF106" i="13"/>
  <c r="AF132" i="13"/>
  <c r="AF107" i="13"/>
  <c r="AF141" i="13"/>
  <c r="AG116" i="13"/>
  <c r="AF103" i="13"/>
  <c r="AF138" i="13"/>
  <c r="AF122" i="13"/>
  <c r="AF133" i="13"/>
  <c r="AF126" i="13"/>
  <c r="AF123" i="13"/>
  <c r="AF112" i="13"/>
  <c r="AF128" i="13"/>
  <c r="AF125" i="13"/>
  <c r="AF136" i="13"/>
  <c r="AF109" i="13"/>
  <c r="AF102" i="13"/>
  <c r="AG130" i="13"/>
  <c r="AF121" i="13"/>
  <c r="AF119" i="13"/>
  <c r="AF127" i="13"/>
  <c r="AF134" i="13"/>
  <c r="AF142" i="13"/>
  <c r="AF135" i="13"/>
  <c r="AF124" i="13"/>
  <c r="AF129" i="13"/>
  <c r="AF104" i="13"/>
  <c r="AF110" i="13"/>
  <c r="AF131" i="13"/>
  <c r="AG108" i="13"/>
  <c r="AF111" i="13"/>
  <c r="AF137" i="13"/>
  <c r="AF140" i="13"/>
  <c r="AG129" i="13" l="1"/>
  <c r="AH130" i="13"/>
  <c r="AG136" i="13"/>
  <c r="AG126" i="13"/>
  <c r="AG132" i="13"/>
  <c r="AG139" i="13"/>
  <c r="AG142" i="13"/>
  <c r="AG119" i="13"/>
  <c r="AG138" i="13"/>
  <c r="AG115" i="13"/>
  <c r="AG110" i="13"/>
  <c r="AG112" i="13"/>
  <c r="AG141" i="13"/>
  <c r="AG101" i="13"/>
  <c r="AG117" i="13"/>
  <c r="AG111" i="13"/>
  <c r="AG140" i="13"/>
  <c r="AG124" i="13"/>
  <c r="AG102" i="13"/>
  <c r="AG133" i="13"/>
  <c r="AG106" i="13"/>
  <c r="AG104" i="13"/>
  <c r="AG134" i="13"/>
  <c r="AG125" i="13"/>
  <c r="AG103" i="13"/>
  <c r="AG105" i="13"/>
  <c r="AG114" i="13"/>
  <c r="AG135" i="13"/>
  <c r="AG121" i="13"/>
  <c r="AG123" i="13"/>
  <c r="AG107" i="13"/>
  <c r="AG113" i="13"/>
  <c r="AG137" i="13"/>
  <c r="AG131" i="13"/>
  <c r="AG109" i="13"/>
  <c r="AG122" i="13"/>
  <c r="AH116" i="13"/>
  <c r="AH120" i="13"/>
  <c r="AH108" i="13"/>
  <c r="AG127" i="13"/>
  <c r="AG128" i="13"/>
  <c r="AG118" i="13"/>
  <c r="AH109" i="13" l="1"/>
  <c r="AH102" i="13"/>
  <c r="AH110" i="13"/>
  <c r="AH119" i="13"/>
  <c r="AH136" i="13"/>
  <c r="AH125" i="13"/>
  <c r="AH111" i="13"/>
  <c r="AH132" i="13"/>
  <c r="AI116" i="13"/>
  <c r="AH121" i="13"/>
  <c r="AH105" i="13"/>
  <c r="AH106" i="13"/>
  <c r="AH124" i="13"/>
  <c r="AH141" i="13"/>
  <c r="AH118" i="13"/>
  <c r="AH131" i="13"/>
  <c r="AH134" i="13"/>
  <c r="AH115" i="13"/>
  <c r="AI130" i="13"/>
  <c r="AH127" i="13"/>
  <c r="AH107" i="13"/>
  <c r="AH117" i="13"/>
  <c r="AH142" i="13"/>
  <c r="AH122" i="13"/>
  <c r="AH135" i="13"/>
  <c r="AH133" i="13"/>
  <c r="AH140" i="13"/>
  <c r="AH112" i="13"/>
  <c r="AH126" i="13"/>
  <c r="AH113" i="13"/>
  <c r="AI108" i="13"/>
  <c r="AH128" i="13"/>
  <c r="AH137" i="13"/>
  <c r="AH103" i="13"/>
  <c r="AH129" i="13"/>
  <c r="AI120" i="13"/>
  <c r="AH123" i="13"/>
  <c r="AH114" i="13"/>
  <c r="AH104" i="13"/>
  <c r="AH101" i="13"/>
  <c r="AH138" i="13"/>
  <c r="AH139" i="13"/>
  <c r="AJ130" i="13" l="1"/>
  <c r="AI105" i="13"/>
  <c r="AI110" i="13"/>
  <c r="AI131" i="13"/>
  <c r="AI124" i="13"/>
  <c r="AI132" i="13"/>
  <c r="AI101" i="13"/>
  <c r="AI123" i="13"/>
  <c r="AI126" i="13"/>
  <c r="AI107" i="13"/>
  <c r="AI136" i="13"/>
  <c r="AI139" i="13"/>
  <c r="AI103" i="13"/>
  <c r="AI133" i="13"/>
  <c r="AI115" i="13"/>
  <c r="AI118" i="13"/>
  <c r="AI121" i="13"/>
  <c r="AI102" i="13"/>
  <c r="AI104" i="13"/>
  <c r="AJ108" i="13"/>
  <c r="AI142" i="13"/>
  <c r="AI111" i="13"/>
  <c r="AI119" i="13"/>
  <c r="AI128" i="13"/>
  <c r="AJ120" i="13"/>
  <c r="AI112" i="13"/>
  <c r="AI127" i="13"/>
  <c r="AI106" i="13"/>
  <c r="AI140" i="13"/>
  <c r="AI138" i="13"/>
  <c r="AI137" i="13"/>
  <c r="AI135" i="13"/>
  <c r="AI134" i="13"/>
  <c r="AJ116" i="13"/>
  <c r="AI109" i="13"/>
  <c r="AI122" i="13"/>
  <c r="AI114" i="13"/>
  <c r="AI129" i="13"/>
  <c r="AI113" i="13"/>
  <c r="AI117" i="13"/>
  <c r="AI141" i="13"/>
  <c r="AI125" i="13"/>
  <c r="AJ128" i="13" l="1"/>
  <c r="AJ104" i="13"/>
  <c r="AJ136" i="13"/>
  <c r="AJ110" i="13"/>
  <c r="AJ118" i="13"/>
  <c r="AJ123" i="13"/>
  <c r="AJ140" i="13"/>
  <c r="AJ142" i="13"/>
  <c r="AJ103" i="13"/>
  <c r="AJ124" i="13"/>
  <c r="AJ125" i="13"/>
  <c r="AK116" i="13"/>
  <c r="AJ137" i="13"/>
  <c r="AJ112" i="13"/>
  <c r="AJ102" i="13"/>
  <c r="AJ107" i="13"/>
  <c r="AJ105" i="13"/>
  <c r="AJ113" i="13"/>
  <c r="AJ119" i="13"/>
  <c r="AJ115" i="13"/>
  <c r="AJ101" i="13"/>
  <c r="AJ109" i="13"/>
  <c r="AJ135" i="13"/>
  <c r="AJ114" i="13"/>
  <c r="AJ106" i="13"/>
  <c r="AK120" i="13"/>
  <c r="AK108" i="13"/>
  <c r="AJ139" i="13"/>
  <c r="AJ134" i="13"/>
  <c r="AJ121" i="13"/>
  <c r="AJ126" i="13"/>
  <c r="AJ132" i="13"/>
  <c r="AJ131" i="13"/>
  <c r="AK130" i="13"/>
  <c r="AJ117" i="13"/>
  <c r="AJ122" i="13"/>
  <c r="AJ141" i="13"/>
  <c r="AJ129" i="13"/>
  <c r="AJ138" i="13"/>
  <c r="AJ127" i="13"/>
  <c r="AJ111" i="13"/>
  <c r="AJ133" i="13"/>
  <c r="AK117" i="13" l="1"/>
  <c r="AK125" i="13"/>
  <c r="AK127" i="13"/>
  <c r="AK137" i="13"/>
  <c r="AK142" i="13"/>
  <c r="AK132" i="13"/>
  <c r="AK134" i="13"/>
  <c r="AK101" i="13"/>
  <c r="AK118" i="13"/>
  <c r="AK104" i="13"/>
  <c r="AK114" i="13"/>
  <c r="AK133" i="13"/>
  <c r="AK141" i="13"/>
  <c r="C34" i="16"/>
  <c r="AK113" i="13"/>
  <c r="AK124" i="13"/>
  <c r="AK107" i="13"/>
  <c r="AK135" i="13"/>
  <c r="AK102" i="13"/>
  <c r="AK140" i="13"/>
  <c r="AK110" i="13"/>
  <c r="AK138" i="13"/>
  <c r="AK139" i="13"/>
  <c r="AK115" i="13"/>
  <c r="C20" i="16"/>
  <c r="AK126" i="13"/>
  <c r="AK122" i="13"/>
  <c r="AK111" i="13"/>
  <c r="AK131" i="13"/>
  <c r="AK106" i="13"/>
  <c r="AK105" i="13"/>
  <c r="AK103" i="13"/>
  <c r="AK128" i="13"/>
  <c r="C24" i="16"/>
  <c r="AK129" i="13"/>
  <c r="AK121" i="13"/>
  <c r="C12" i="16"/>
  <c r="AK109" i="13"/>
  <c r="AK119" i="13"/>
  <c r="AK112" i="13"/>
  <c r="AK123" i="13"/>
  <c r="AK136" i="13"/>
  <c r="C26" i="16" l="1"/>
  <c r="C6" i="16"/>
  <c r="C18" i="16"/>
  <c r="C31" i="16"/>
  <c r="C7" i="16"/>
  <c r="C45" i="16"/>
  <c r="C5" i="16"/>
  <c r="D12" i="16"/>
  <c r="C46" i="16"/>
  <c r="C19" i="16"/>
  <c r="C35" i="16"/>
  <c r="C40" i="16"/>
  <c r="D24" i="16"/>
  <c r="C30" i="16"/>
  <c r="C39" i="16"/>
  <c r="C8" i="16"/>
  <c r="C29" i="16"/>
  <c r="C16" i="16"/>
  <c r="C23" i="16"/>
  <c r="C43" i="16"/>
  <c r="C17" i="16"/>
  <c r="C38" i="16"/>
  <c r="C41" i="16"/>
  <c r="C15" i="16"/>
  <c r="C44" i="16"/>
  <c r="C37" i="16"/>
  <c r="C28" i="16"/>
  <c r="C25" i="16"/>
  <c r="C27" i="16"/>
  <c r="C32" i="16"/>
  <c r="C10" i="16"/>
  <c r="D20" i="16"/>
  <c r="C11" i="16"/>
  <c r="C22" i="16"/>
  <c r="C21" i="16"/>
  <c r="C33" i="16"/>
  <c r="C14" i="16"/>
  <c r="C9" i="16"/>
  <c r="C13" i="16"/>
  <c r="C42" i="16"/>
  <c r="D34" i="16"/>
  <c r="C36" i="16"/>
  <c r="D33" i="16" l="1"/>
  <c r="D44" i="16"/>
  <c r="D29" i="16"/>
  <c r="D30" i="16"/>
  <c r="D35" i="16"/>
  <c r="D46" i="16"/>
  <c r="D18" i="16"/>
  <c r="D11" i="16"/>
  <c r="D28" i="16"/>
  <c r="D7" i="16"/>
  <c r="D6" i="16"/>
  <c r="D32" i="16"/>
  <c r="D27" i="16"/>
  <c r="D9" i="16"/>
  <c r="D14" i="16"/>
  <c r="D19" i="16"/>
  <c r="D5" i="16"/>
  <c r="D8" i="16"/>
  <c r="D42" i="16"/>
  <c r="D37" i="16"/>
  <c r="D41" i="16"/>
  <c r="D16" i="16"/>
  <c r="D31" i="16"/>
  <c r="D26" i="16"/>
  <c r="D38" i="16"/>
  <c r="D15" i="16"/>
  <c r="D17" i="16"/>
  <c r="D22" i="16"/>
  <c r="D10" i="16"/>
  <c r="D39" i="16"/>
  <c r="D40" i="16"/>
  <c r="D21" i="16"/>
  <c r="D23" i="16"/>
  <c r="D36" i="16"/>
  <c r="D13" i="16"/>
  <c r="D25" i="16"/>
  <c r="D43" i="16"/>
  <c r="D45" i="16"/>
  <c r="D48" i="16" l="1"/>
  <c r="D50" i="16" s="1"/>
  <c r="D54" i="16" s="1"/>
  <c r="C89" i="16" l="1"/>
  <c r="C79" i="16"/>
  <c r="C75" i="16"/>
  <c r="C67" i="16"/>
  <c r="C76" i="16"/>
  <c r="C61" i="16"/>
  <c r="C66" i="16"/>
  <c r="C74" i="16"/>
  <c r="C78" i="16"/>
  <c r="C65" i="16"/>
  <c r="C81" i="16"/>
  <c r="C80" i="16"/>
  <c r="C93" i="16"/>
  <c r="D67" i="16"/>
  <c r="C84" i="16"/>
  <c r="C85" i="16"/>
  <c r="C95" i="16"/>
  <c r="C86" i="16"/>
  <c r="C70" i="16"/>
  <c r="C99" i="16"/>
  <c r="C68" i="16"/>
  <c r="C63" i="16"/>
  <c r="C101" i="16"/>
  <c r="C82" i="16"/>
  <c r="D89" i="16"/>
  <c r="C60" i="16"/>
  <c r="C77" i="16"/>
  <c r="C90" i="16"/>
  <c r="C88" i="16"/>
  <c r="C72" i="16"/>
  <c r="C71" i="16"/>
  <c r="C83" i="16"/>
  <c r="C91" i="16"/>
  <c r="C96" i="16"/>
  <c r="C69" i="16"/>
  <c r="C73" i="16"/>
  <c r="D75" i="16"/>
  <c r="C87" i="16"/>
  <c r="C62" i="16"/>
  <c r="C92" i="16"/>
  <c r="C64" i="16"/>
  <c r="D79" i="16"/>
  <c r="C97" i="16"/>
  <c r="C98" i="16"/>
  <c r="C94" i="16"/>
  <c r="C100" i="16"/>
  <c r="D68" i="16"/>
  <c r="D72" i="16"/>
  <c r="D66" i="16"/>
  <c r="D94" i="16"/>
  <c r="D65" i="16"/>
  <c r="D76" i="16"/>
  <c r="D98" i="16"/>
  <c r="D96" i="16"/>
  <c r="D77" i="16"/>
  <c r="D80" i="16"/>
  <c r="D84" i="16"/>
  <c r="D70" i="16"/>
  <c r="D78" i="16"/>
  <c r="D62" i="16"/>
  <c r="D71" i="16"/>
  <c r="D83" i="16"/>
  <c r="E75" i="16"/>
  <c r="D91" i="16"/>
  <c r="D100" i="16"/>
  <c r="D85" i="16"/>
  <c r="D95" i="16"/>
  <c r="E67" i="16"/>
  <c r="D74" i="16"/>
  <c r="D99" i="16"/>
  <c r="D64" i="16"/>
  <c r="D86" i="16"/>
  <c r="D97" i="16"/>
  <c r="D87" i="16"/>
  <c r="D69" i="16"/>
  <c r="D88" i="16"/>
  <c r="D60" i="16"/>
  <c r="D101" i="16"/>
  <c r="D90" i="16"/>
  <c r="D92" i="16"/>
  <c r="D82" i="16"/>
  <c r="E79" i="16"/>
  <c r="D63" i="16"/>
  <c r="D73" i="16"/>
  <c r="D93" i="16"/>
  <c r="E89" i="16"/>
  <c r="D61" i="16"/>
  <c r="D81" i="16"/>
  <c r="E82" i="16"/>
  <c r="E91" i="16"/>
  <c r="E76" i="16"/>
  <c r="E90" i="16"/>
  <c r="E93" i="16"/>
  <c r="E64" i="16"/>
  <c r="E60" i="16"/>
  <c r="E70" i="16"/>
  <c r="E62" i="16"/>
  <c r="E72" i="16"/>
  <c r="E80" i="16"/>
  <c r="F75" i="16"/>
  <c r="E77" i="16"/>
  <c r="E81" i="16"/>
  <c r="E73" i="16"/>
  <c r="E92" i="16"/>
  <c r="E99" i="16"/>
  <c r="E88" i="16"/>
  <c r="E95" i="16"/>
  <c r="E78" i="16"/>
  <c r="E68" i="16"/>
  <c r="E65" i="16"/>
  <c r="E94" i="16"/>
  <c r="E96" i="16"/>
  <c r="F67" i="16"/>
  <c r="E61" i="16"/>
  <c r="E63" i="16"/>
  <c r="E97" i="16"/>
  <c r="E74" i="16"/>
  <c r="E69" i="16"/>
  <c r="E85" i="16"/>
  <c r="E83" i="16"/>
  <c r="F79" i="16"/>
  <c r="E87" i="16"/>
  <c r="E84" i="16"/>
  <c r="E98" i="16"/>
  <c r="F89" i="16"/>
  <c r="E86" i="16"/>
  <c r="E101" i="16"/>
  <c r="E100" i="16"/>
  <c r="E71" i="16"/>
  <c r="E66" i="16"/>
  <c r="F98" i="16"/>
  <c r="F85" i="16"/>
  <c r="F63" i="16"/>
  <c r="F81" i="16"/>
  <c r="F65" i="16"/>
  <c r="F72" i="16"/>
  <c r="F96" i="16"/>
  <c r="F88" i="16"/>
  <c r="F60" i="16"/>
  <c r="F66" i="16"/>
  <c r="F86" i="16"/>
  <c r="G67" i="16"/>
  <c r="B9" i="2" s="1"/>
  <c r="F69" i="16"/>
  <c r="F61" i="16"/>
  <c r="F62" i="16"/>
  <c r="F84" i="16"/>
  <c r="F77" i="16"/>
  <c r="F68" i="16"/>
  <c r="F99" i="16"/>
  <c r="F82" i="16"/>
  <c r="F64" i="16"/>
  <c r="F71" i="16"/>
  <c r="G89" i="16"/>
  <c r="B31" i="2" s="1"/>
  <c r="F74" i="16"/>
  <c r="G75" i="16"/>
  <c r="B17" i="2" s="1"/>
  <c r="F91" i="16"/>
  <c r="F87" i="16"/>
  <c r="F78" i="16"/>
  <c r="F92" i="16"/>
  <c r="F76" i="16"/>
  <c r="F93" i="16"/>
  <c r="G79" i="16"/>
  <c r="B21" i="2" s="1"/>
  <c r="F100" i="16"/>
  <c r="F83" i="16"/>
  <c r="F97" i="16"/>
  <c r="F101" i="16"/>
  <c r="F94" i="16"/>
  <c r="F95" i="16"/>
  <c r="F73" i="16"/>
  <c r="F80" i="16"/>
  <c r="F70" i="16"/>
  <c r="F90" i="16"/>
  <c r="G63" i="16"/>
  <c r="B5" i="2" s="1"/>
  <c r="H75" i="16"/>
  <c r="C17" i="2" s="1"/>
  <c r="G93" i="16"/>
  <c r="B35" i="2" s="1"/>
  <c r="G74" i="16"/>
  <c r="B16" i="2" s="1"/>
  <c r="G71" i="16"/>
  <c r="B13" i="2" s="1"/>
  <c r="G84" i="16"/>
  <c r="B26" i="2" s="1"/>
  <c r="G69" i="16"/>
  <c r="B11" i="2" s="1"/>
  <c r="G96" i="16"/>
  <c r="B38" i="2" s="1"/>
  <c r="G90" i="16"/>
  <c r="B32" i="2" s="1"/>
  <c r="G83" i="16"/>
  <c r="B25" i="2" s="1"/>
  <c r="G92" i="16"/>
  <c r="B34" i="2" s="1"/>
  <c r="G87" i="16"/>
  <c r="B29" i="2" s="1"/>
  <c r="G73" i="16"/>
  <c r="B15" i="2" s="1"/>
  <c r="G91" i="16"/>
  <c r="B33" i="2" s="1"/>
  <c r="H67" i="16"/>
  <c r="C9" i="2" s="1"/>
  <c r="G99" i="16"/>
  <c r="B41" i="2" s="1"/>
  <c r="G98" i="16"/>
  <c r="B40" i="2" s="1"/>
  <c r="G88" i="16"/>
  <c r="B30" i="2" s="1"/>
  <c r="G78" i="16"/>
  <c r="B20" i="2" s="1"/>
  <c r="G64" i="16"/>
  <c r="B6" i="2" s="1"/>
  <c r="G81" i="16"/>
  <c r="B23" i="2" s="1"/>
  <c r="G85" i="16"/>
  <c r="B27" i="2" s="1"/>
  <c r="G70" i="16"/>
  <c r="B12" i="2" s="1"/>
  <c r="G94" i="16"/>
  <c r="B36" i="2" s="1"/>
  <c r="G62" i="16"/>
  <c r="B4" i="2" s="1"/>
  <c r="G86" i="16"/>
  <c r="B28" i="2" s="1"/>
  <c r="G101" i="16"/>
  <c r="B43" i="2" s="1"/>
  <c r="G95" i="16"/>
  <c r="B37" i="2" s="1"/>
  <c r="G100" i="16"/>
  <c r="B42" i="2" s="1"/>
  <c r="G76" i="16"/>
  <c r="B18" i="2" s="1"/>
  <c r="H89" i="16"/>
  <c r="C31" i="2" s="1"/>
  <c r="G68" i="16"/>
  <c r="B10" i="2" s="1"/>
  <c r="G61" i="16"/>
  <c r="B3" i="2" s="1"/>
  <c r="G60" i="16"/>
  <c r="B2" i="2" s="1"/>
  <c r="G65" i="16"/>
  <c r="B7" i="2" s="1"/>
  <c r="H79" i="16"/>
  <c r="C21" i="2" s="1"/>
  <c r="G77" i="16"/>
  <c r="B19" i="2" s="1"/>
  <c r="G66" i="16"/>
  <c r="B8" i="2" s="1"/>
  <c r="G80" i="16"/>
  <c r="B22" i="2" s="1"/>
  <c r="G97" i="16"/>
  <c r="B39" i="2" s="1"/>
  <c r="G82" i="16"/>
  <c r="B24" i="2" s="1"/>
  <c r="G72" i="16"/>
  <c r="B14" i="2" s="1"/>
  <c r="H66" i="16"/>
  <c r="C8" i="2" s="1"/>
  <c r="H82" i="16"/>
  <c r="C24" i="2" s="1"/>
  <c r="H60" i="16"/>
  <c r="C2" i="2" s="1"/>
  <c r="H88" i="16"/>
  <c r="C30" i="2" s="1"/>
  <c r="I67" i="16"/>
  <c r="D9" i="2" s="1"/>
  <c r="H90" i="16"/>
  <c r="C32" i="2" s="1"/>
  <c r="H92" i="16"/>
  <c r="C34" i="2" s="1"/>
  <c r="H77" i="16"/>
  <c r="C19" i="2" s="1"/>
  <c r="H97" i="16"/>
  <c r="C39" i="2" s="1"/>
  <c r="H100" i="16"/>
  <c r="C42" i="2" s="1"/>
  <c r="H73" i="16"/>
  <c r="C15" i="2" s="1"/>
  <c r="H78" i="16"/>
  <c r="C20" i="2" s="1"/>
  <c r="H86" i="16"/>
  <c r="C28" i="2" s="1"/>
  <c r="H87" i="16"/>
  <c r="C29" i="2" s="1"/>
  <c r="H69" i="16"/>
  <c r="C11" i="2" s="1"/>
  <c r="H63" i="16"/>
  <c r="C5" i="2" s="1"/>
  <c r="H84" i="16"/>
  <c r="C26" i="2" s="1"/>
  <c r="H65" i="16"/>
  <c r="C7" i="2" s="1"/>
  <c r="H68" i="16"/>
  <c r="C10" i="2" s="1"/>
  <c r="H91" i="16"/>
  <c r="C33" i="2" s="1"/>
  <c r="H80" i="16"/>
  <c r="C22" i="2" s="1"/>
  <c r="I89" i="16"/>
  <c r="D31" i="2" s="1"/>
  <c r="H95" i="16"/>
  <c r="C37" i="2" s="1"/>
  <c r="H101" i="16"/>
  <c r="C43" i="2" s="1"/>
  <c r="H85" i="16"/>
  <c r="C27" i="2" s="1"/>
  <c r="H96" i="16"/>
  <c r="C38" i="2" s="1"/>
  <c r="H71" i="16"/>
  <c r="C13" i="2" s="1"/>
  <c r="H93" i="16"/>
  <c r="C35" i="2" s="1"/>
  <c r="H61" i="16"/>
  <c r="C3" i="2" s="1"/>
  <c r="H70" i="16"/>
  <c r="C12" i="2" s="1"/>
  <c r="H99" i="16"/>
  <c r="C41" i="2" s="1"/>
  <c r="H83" i="16"/>
  <c r="C25" i="2" s="1"/>
  <c r="H74" i="16"/>
  <c r="C16" i="2" s="1"/>
  <c r="H76" i="16"/>
  <c r="C18" i="2" s="1"/>
  <c r="H64" i="16"/>
  <c r="C6" i="2" s="1"/>
  <c r="H94" i="16"/>
  <c r="C36" i="2" s="1"/>
  <c r="H98" i="16"/>
  <c r="C40" i="2" s="1"/>
  <c r="H72" i="16"/>
  <c r="C14" i="2" s="1"/>
  <c r="I79" i="16"/>
  <c r="D21" i="2" s="1"/>
  <c r="H62" i="16"/>
  <c r="C4" i="2" s="1"/>
  <c r="H81" i="16"/>
  <c r="C23" i="2" s="1"/>
  <c r="I75" i="16"/>
  <c r="D17" i="2" s="1"/>
  <c r="I72" i="16"/>
  <c r="D14" i="2" s="1"/>
  <c r="I70" i="16"/>
  <c r="D12" i="2" s="1"/>
  <c r="I80" i="16"/>
  <c r="D22" i="2" s="1"/>
  <c r="I69" i="16"/>
  <c r="D11" i="2" s="1"/>
  <c r="I92" i="16"/>
  <c r="D34" i="2" s="1"/>
  <c r="I62" i="16"/>
  <c r="D4" i="2" s="1"/>
  <c r="I64" i="16"/>
  <c r="D6" i="2" s="1"/>
  <c r="I96" i="16"/>
  <c r="D38" i="2" s="1"/>
  <c r="I68" i="16"/>
  <c r="D10" i="2" s="1"/>
  <c r="I73" i="16"/>
  <c r="D15" i="2" s="1"/>
  <c r="I88" i="16"/>
  <c r="D30" i="2" s="1"/>
  <c r="I83" i="16"/>
  <c r="D25" i="2" s="1"/>
  <c r="I95" i="16"/>
  <c r="D37" i="2" s="1"/>
  <c r="I84" i="16"/>
  <c r="D26" i="2" s="1"/>
  <c r="I77" i="16"/>
  <c r="D19" i="2" s="1"/>
  <c r="I98" i="16"/>
  <c r="D40" i="2" s="1"/>
  <c r="I61" i="16"/>
  <c r="D3" i="2" s="1"/>
  <c r="I87" i="16"/>
  <c r="D29" i="2" s="1"/>
  <c r="I86" i="16"/>
  <c r="D28" i="2" s="1"/>
  <c r="I90" i="16"/>
  <c r="D32" i="2" s="1"/>
  <c r="J75" i="16"/>
  <c r="E17" i="2" s="1"/>
  <c r="J79" i="16"/>
  <c r="E21" i="2" s="1"/>
  <c r="I76" i="16"/>
  <c r="D18" i="2" s="1"/>
  <c r="I85" i="16"/>
  <c r="D27" i="2" s="1"/>
  <c r="I65" i="16"/>
  <c r="D7" i="2" s="1"/>
  <c r="I100" i="16"/>
  <c r="D42" i="2" s="1"/>
  <c r="I60" i="16"/>
  <c r="D2" i="2" s="1"/>
  <c r="I63" i="16"/>
  <c r="D5" i="2" s="1"/>
  <c r="I66" i="16"/>
  <c r="D8" i="2" s="1"/>
  <c r="I81" i="16"/>
  <c r="D23" i="2" s="1"/>
  <c r="I94" i="16"/>
  <c r="D36" i="2" s="1"/>
  <c r="I99" i="16"/>
  <c r="D41" i="2" s="1"/>
  <c r="I71" i="16"/>
  <c r="D13" i="2" s="1"/>
  <c r="J89" i="16"/>
  <c r="E31" i="2" s="1"/>
  <c r="I91" i="16"/>
  <c r="D33" i="2" s="1"/>
  <c r="I78" i="16"/>
  <c r="D20" i="2" s="1"/>
  <c r="J67" i="16"/>
  <c r="E9" i="2" s="1"/>
  <c r="I74" i="16"/>
  <c r="D16" i="2" s="1"/>
  <c r="I101" i="16"/>
  <c r="D43" i="2" s="1"/>
  <c r="I93" i="16"/>
  <c r="D35" i="2" s="1"/>
  <c r="I97" i="16"/>
  <c r="D39" i="2" s="1"/>
  <c r="I82" i="16"/>
  <c r="D24" i="2" s="1"/>
  <c r="J81" i="16"/>
  <c r="E23" i="2" s="1"/>
  <c r="J100" i="16"/>
  <c r="E42" i="2" s="1"/>
  <c r="K75" i="16"/>
  <c r="F17" i="2" s="1"/>
  <c r="J95" i="16"/>
  <c r="E37" i="2" s="1"/>
  <c r="J92" i="16"/>
  <c r="E34" i="2" s="1"/>
  <c r="J101" i="16"/>
  <c r="E43" i="2" s="1"/>
  <c r="J91" i="16"/>
  <c r="E33" i="2" s="1"/>
  <c r="J65" i="16"/>
  <c r="E7" i="2" s="1"/>
  <c r="J87" i="16"/>
  <c r="E29" i="2" s="1"/>
  <c r="J73" i="16"/>
  <c r="E15" i="2" s="1"/>
  <c r="J80" i="16"/>
  <c r="E22" i="2" s="1"/>
  <c r="J94" i="16"/>
  <c r="E36" i="2" s="1"/>
  <c r="J76" i="16"/>
  <c r="E18" i="2" s="1"/>
  <c r="J77" i="16"/>
  <c r="E19" i="2" s="1"/>
  <c r="J82" i="16"/>
  <c r="E24" i="2" s="1"/>
  <c r="K67" i="16"/>
  <c r="F9" i="2" s="1"/>
  <c r="J63" i="16"/>
  <c r="E5" i="2" s="1"/>
  <c r="J90" i="16"/>
  <c r="E32" i="2" s="1"/>
  <c r="J83" i="16"/>
  <c r="E25" i="2" s="1"/>
  <c r="J64" i="16"/>
  <c r="E6" i="2" s="1"/>
  <c r="J69" i="16"/>
  <c r="E11" i="2" s="1"/>
  <c r="J74" i="16"/>
  <c r="E16" i="2" s="1"/>
  <c r="K89" i="16"/>
  <c r="F31" i="2" s="1"/>
  <c r="J85" i="16"/>
  <c r="E27" i="2" s="1"/>
  <c r="J61" i="16"/>
  <c r="E3" i="2" s="1"/>
  <c r="J70" i="16"/>
  <c r="E12" i="2" s="1"/>
  <c r="J66" i="16"/>
  <c r="E8" i="2" s="1"/>
  <c r="K79" i="16"/>
  <c r="F21" i="2" s="1"/>
  <c r="J84" i="16"/>
  <c r="E26" i="2" s="1"/>
  <c r="J68" i="16"/>
  <c r="E10" i="2" s="1"/>
  <c r="J62" i="16"/>
  <c r="E4" i="2" s="1"/>
  <c r="J97" i="16"/>
  <c r="E39" i="2" s="1"/>
  <c r="J78" i="16"/>
  <c r="E20" i="2" s="1"/>
  <c r="J60" i="16"/>
  <c r="E2" i="2" s="1"/>
  <c r="J86" i="16"/>
  <c r="E28" i="2" s="1"/>
  <c r="J88" i="16"/>
  <c r="E30" i="2" s="1"/>
  <c r="J93" i="16"/>
  <c r="E35" i="2" s="1"/>
  <c r="J71" i="16"/>
  <c r="E13" i="2" s="1"/>
  <c r="J99" i="16"/>
  <c r="E41" i="2" s="1"/>
  <c r="J98" i="16"/>
  <c r="E40" i="2" s="1"/>
  <c r="J96" i="16"/>
  <c r="E38" i="2" s="1"/>
  <c r="J72" i="16"/>
  <c r="E14" i="2" s="1"/>
  <c r="K93" i="16"/>
  <c r="F35" i="2" s="1"/>
  <c r="K84" i="16"/>
  <c r="F26" i="2" s="1"/>
  <c r="K69" i="16"/>
  <c r="F11" i="2" s="1"/>
  <c r="K76" i="16"/>
  <c r="F18" i="2" s="1"/>
  <c r="K72" i="16"/>
  <c r="F14" i="2" s="1"/>
  <c r="K100" i="16"/>
  <c r="F42" i="2" s="1"/>
  <c r="K99" i="16"/>
  <c r="F41" i="2" s="1"/>
  <c r="K95" i="16"/>
  <c r="F37" i="2" s="1"/>
  <c r="L79" i="16"/>
  <c r="G21" i="2" s="1"/>
  <c r="K97" i="16"/>
  <c r="F39" i="2" s="1"/>
  <c r="K90" i="16"/>
  <c r="F32" i="2" s="1"/>
  <c r="K80" i="16"/>
  <c r="F22" i="2" s="1"/>
  <c r="K62" i="16"/>
  <c r="F4" i="2" s="1"/>
  <c r="K85" i="16"/>
  <c r="F27" i="2" s="1"/>
  <c r="K82" i="16"/>
  <c r="F24" i="2" s="1"/>
  <c r="K65" i="16"/>
  <c r="F7" i="2" s="1"/>
  <c r="K81" i="16"/>
  <c r="F23" i="2" s="1"/>
  <c r="K66" i="16"/>
  <c r="F8" i="2" s="1"/>
  <c r="K64" i="16"/>
  <c r="F6" i="2" s="1"/>
  <c r="K94" i="16"/>
  <c r="F36" i="2" s="1"/>
  <c r="K92" i="16"/>
  <c r="F34" i="2" s="1"/>
  <c r="K71" i="16"/>
  <c r="F13" i="2" s="1"/>
  <c r="K88" i="16"/>
  <c r="F30" i="2" s="1"/>
  <c r="K60" i="16"/>
  <c r="F2" i="2" s="1"/>
  <c r="K70" i="16"/>
  <c r="F12" i="2" s="1"/>
  <c r="K63" i="16"/>
  <c r="F5" i="2" s="1"/>
  <c r="K73" i="16"/>
  <c r="F15" i="2" s="1"/>
  <c r="L75" i="16"/>
  <c r="G17" i="2" s="1"/>
  <c r="K68" i="16"/>
  <c r="F10" i="2" s="1"/>
  <c r="K74" i="16"/>
  <c r="F16" i="2" s="1"/>
  <c r="K77" i="16"/>
  <c r="F19" i="2" s="1"/>
  <c r="K101" i="16"/>
  <c r="F43" i="2" s="1"/>
  <c r="K86" i="16"/>
  <c r="F28" i="2" s="1"/>
  <c r="L89" i="16"/>
  <c r="G31" i="2" s="1"/>
  <c r="K83" i="16"/>
  <c r="F25" i="2" s="1"/>
  <c r="K91" i="16"/>
  <c r="F33" i="2" s="1"/>
  <c r="K96" i="16"/>
  <c r="F38" i="2" s="1"/>
  <c r="K98" i="16"/>
  <c r="F40" i="2" s="1"/>
  <c r="K78" i="16"/>
  <c r="F20" i="2" s="1"/>
  <c r="K61" i="16"/>
  <c r="F3" i="2" s="1"/>
  <c r="L67" i="16"/>
  <c r="G9" i="2" s="1"/>
  <c r="K87" i="16"/>
  <c r="F29" i="2" s="1"/>
  <c r="L100" i="16"/>
  <c r="G42" i="2" s="1"/>
  <c r="L77" i="16"/>
  <c r="G19" i="2" s="1"/>
  <c r="L73" i="16"/>
  <c r="G15" i="2" s="1"/>
  <c r="L65" i="16"/>
  <c r="G7" i="2" s="1"/>
  <c r="L95" i="16"/>
  <c r="G37" i="2" s="1"/>
  <c r="L76" i="16"/>
  <c r="G18" i="2" s="1"/>
  <c r="L61" i="16"/>
  <c r="G3" i="2" s="1"/>
  <c r="L72" i="16"/>
  <c r="G14" i="2" s="1"/>
  <c r="L83" i="16"/>
  <c r="G25" i="2" s="1"/>
  <c r="L98" i="16"/>
  <c r="G40" i="2" s="1"/>
  <c r="L94" i="16"/>
  <c r="G36" i="2" s="1"/>
  <c r="L85" i="16"/>
  <c r="G27" i="2" s="1"/>
  <c r="L93" i="16"/>
  <c r="G35" i="2" s="1"/>
  <c r="M75" i="16"/>
  <c r="H17" i="2" s="1"/>
  <c r="L60" i="16"/>
  <c r="G2" i="2" s="1"/>
  <c r="L62" i="16"/>
  <c r="G4" i="2" s="1"/>
  <c r="L80" i="16"/>
  <c r="G22" i="2" s="1"/>
  <c r="L87" i="16"/>
  <c r="G29" i="2" s="1"/>
  <c r="L96" i="16"/>
  <c r="G38" i="2" s="1"/>
  <c r="L74" i="16"/>
  <c r="G16" i="2" s="1"/>
  <c r="L71" i="16"/>
  <c r="G13" i="2" s="1"/>
  <c r="L82" i="16"/>
  <c r="G24" i="2" s="1"/>
  <c r="L69" i="16"/>
  <c r="G11" i="2" s="1"/>
  <c r="L78" i="16"/>
  <c r="G20" i="2" s="1"/>
  <c r="M89" i="16"/>
  <c r="H31" i="2" s="1"/>
  <c r="L63" i="16"/>
  <c r="G5" i="2" s="1"/>
  <c r="L64" i="16"/>
  <c r="G6" i="2" s="1"/>
  <c r="M79" i="16"/>
  <c r="H21" i="2" s="1"/>
  <c r="L99" i="16"/>
  <c r="G41" i="2" s="1"/>
  <c r="M67" i="16"/>
  <c r="H9" i="2" s="1"/>
  <c r="L101" i="16"/>
  <c r="G43" i="2" s="1"/>
  <c r="L88" i="16"/>
  <c r="G30" i="2" s="1"/>
  <c r="L81" i="16"/>
  <c r="G23" i="2" s="1"/>
  <c r="L97" i="16"/>
  <c r="G39" i="2" s="1"/>
  <c r="L91" i="16"/>
  <c r="G33" i="2" s="1"/>
  <c r="L68" i="16"/>
  <c r="G10" i="2" s="1"/>
  <c r="L92" i="16"/>
  <c r="G34" i="2" s="1"/>
  <c r="L90" i="16"/>
  <c r="G32" i="2" s="1"/>
  <c r="L84" i="16"/>
  <c r="G26" i="2" s="1"/>
  <c r="L86" i="16"/>
  <c r="G28" i="2" s="1"/>
  <c r="L70" i="16"/>
  <c r="G12" i="2" s="1"/>
  <c r="L66" i="16"/>
  <c r="G8" i="2" s="1"/>
  <c r="M84" i="16"/>
  <c r="H26" i="2" s="1"/>
  <c r="M88" i="16"/>
  <c r="H30" i="2" s="1"/>
  <c r="M69" i="16"/>
  <c r="H11" i="2" s="1"/>
  <c r="M60" i="16"/>
  <c r="H2" i="2" s="1"/>
  <c r="M100" i="16"/>
  <c r="H42" i="2" s="1"/>
  <c r="M68" i="16"/>
  <c r="H10" i="2" s="1"/>
  <c r="M92" i="16"/>
  <c r="H34" i="2" s="1"/>
  <c r="M99" i="16"/>
  <c r="H41" i="2" s="1"/>
  <c r="M74" i="16"/>
  <c r="H16" i="2" s="1"/>
  <c r="M72" i="16"/>
  <c r="H14" i="2" s="1"/>
  <c r="M73" i="16"/>
  <c r="H15" i="2" s="1"/>
  <c r="M97" i="16"/>
  <c r="H39" i="2" s="1"/>
  <c r="N89" i="16"/>
  <c r="I31" i="2" s="1"/>
  <c r="M80" i="16"/>
  <c r="H22" i="2" s="1"/>
  <c r="M98" i="16"/>
  <c r="H40" i="2" s="1"/>
  <c r="M66" i="16"/>
  <c r="H8" i="2" s="1"/>
  <c r="M95" i="16"/>
  <c r="H37" i="2" s="1"/>
  <c r="M82" i="16"/>
  <c r="H24" i="2" s="1"/>
  <c r="N75" i="16"/>
  <c r="I17" i="2" s="1"/>
  <c r="M61" i="16"/>
  <c r="H3" i="2" s="1"/>
  <c r="M86" i="16"/>
  <c r="H28" i="2" s="1"/>
  <c r="M91" i="16"/>
  <c r="H33" i="2" s="1"/>
  <c r="M101" i="16"/>
  <c r="H43" i="2" s="1"/>
  <c r="M64" i="16"/>
  <c r="H6" i="2" s="1"/>
  <c r="M96" i="16"/>
  <c r="H38" i="2" s="1"/>
  <c r="M85" i="16"/>
  <c r="H27" i="2" s="1"/>
  <c r="M77" i="16"/>
  <c r="H19" i="2" s="1"/>
  <c r="M81" i="16"/>
  <c r="H23" i="2" s="1"/>
  <c r="N79" i="16"/>
  <c r="I21" i="2" s="1"/>
  <c r="M62" i="16"/>
  <c r="H4" i="2" s="1"/>
  <c r="M83" i="16"/>
  <c r="H25" i="2" s="1"/>
  <c r="M70" i="16"/>
  <c r="H12" i="2" s="1"/>
  <c r="M90" i="16"/>
  <c r="H32" i="2" s="1"/>
  <c r="M78" i="16"/>
  <c r="H20" i="2" s="1"/>
  <c r="M71" i="16"/>
  <c r="H13" i="2" s="1"/>
  <c r="M93" i="16"/>
  <c r="H35" i="2" s="1"/>
  <c r="M65" i="16"/>
  <c r="H7" i="2" s="1"/>
  <c r="N67" i="16"/>
  <c r="I9" i="2" s="1"/>
  <c r="M63" i="16"/>
  <c r="H5" i="2" s="1"/>
  <c r="M87" i="16"/>
  <c r="H29" i="2" s="1"/>
  <c r="M94" i="16"/>
  <c r="H36" i="2" s="1"/>
  <c r="M76" i="16"/>
  <c r="H18" i="2" s="1"/>
  <c r="N65" i="16"/>
  <c r="I7" i="2" s="1"/>
  <c r="N86" i="16"/>
  <c r="I28" i="2" s="1"/>
  <c r="N101" i="16"/>
  <c r="I43" i="2" s="1"/>
  <c r="N100" i="16"/>
  <c r="I42" i="2" s="1"/>
  <c r="N63" i="16"/>
  <c r="I5" i="2" s="1"/>
  <c r="N78" i="16"/>
  <c r="I20" i="2" s="1"/>
  <c r="O79" i="16"/>
  <c r="J21" i="2" s="1"/>
  <c r="N85" i="16"/>
  <c r="I27" i="2" s="1"/>
  <c r="N95" i="16"/>
  <c r="I37" i="2" s="1"/>
  <c r="N72" i="16"/>
  <c r="I14" i="2" s="1"/>
  <c r="N88" i="16"/>
  <c r="I30" i="2" s="1"/>
  <c r="N64" i="16"/>
  <c r="I6" i="2" s="1"/>
  <c r="N92" i="16"/>
  <c r="I34" i="2" s="1"/>
  <c r="N94" i="16"/>
  <c r="I36" i="2" s="1"/>
  <c r="N93" i="16"/>
  <c r="I35" i="2" s="1"/>
  <c r="N83" i="16"/>
  <c r="I25" i="2" s="1"/>
  <c r="N81" i="16"/>
  <c r="I23" i="2" s="1"/>
  <c r="N61" i="16"/>
  <c r="I3" i="2" s="1"/>
  <c r="N80" i="16"/>
  <c r="I22" i="2" s="1"/>
  <c r="N97" i="16"/>
  <c r="I39" i="2" s="1"/>
  <c r="N60" i="16"/>
  <c r="I2" i="2" s="1"/>
  <c r="O67" i="16"/>
  <c r="J9" i="2" s="1"/>
  <c r="N90" i="16"/>
  <c r="I32" i="2" s="1"/>
  <c r="N96" i="16"/>
  <c r="I38" i="2" s="1"/>
  <c r="N66" i="16"/>
  <c r="I8" i="2" s="1"/>
  <c r="N74" i="16"/>
  <c r="I16" i="2" s="1"/>
  <c r="N84" i="16"/>
  <c r="I26" i="2" s="1"/>
  <c r="N91" i="16"/>
  <c r="I33" i="2" s="1"/>
  <c r="O89" i="16"/>
  <c r="J31" i="2" s="1"/>
  <c r="N68" i="16"/>
  <c r="I10" i="2" s="1"/>
  <c r="N87" i="16"/>
  <c r="I29" i="2" s="1"/>
  <c r="N71" i="16"/>
  <c r="I13" i="2" s="1"/>
  <c r="N62" i="16"/>
  <c r="I4" i="2" s="1"/>
  <c r="N77" i="16"/>
  <c r="I19" i="2" s="1"/>
  <c r="O75" i="16"/>
  <c r="J17" i="2" s="1"/>
  <c r="N73" i="16"/>
  <c r="I15" i="2" s="1"/>
  <c r="N69" i="16"/>
  <c r="I11" i="2" s="1"/>
  <c r="N70" i="16"/>
  <c r="I12" i="2" s="1"/>
  <c r="N82" i="16"/>
  <c r="I24" i="2" s="1"/>
  <c r="N98" i="16"/>
  <c r="I40" i="2" s="1"/>
  <c r="N99" i="16"/>
  <c r="I41" i="2" s="1"/>
  <c r="N76" i="16"/>
  <c r="I18" i="2" s="1"/>
  <c r="O69" i="16"/>
  <c r="J11" i="2" s="1"/>
  <c r="P89" i="16"/>
  <c r="K31" i="2" s="1"/>
  <c r="O60" i="16"/>
  <c r="J2" i="2" s="1"/>
  <c r="O64" i="16"/>
  <c r="J6" i="2" s="1"/>
  <c r="O63" i="16"/>
  <c r="J5" i="2" s="1"/>
  <c r="O82" i="16"/>
  <c r="J24" i="2" s="1"/>
  <c r="O77" i="16"/>
  <c r="J19" i="2" s="1"/>
  <c r="O96" i="16"/>
  <c r="J38" i="2" s="1"/>
  <c r="O81" i="16"/>
  <c r="J23" i="2" s="1"/>
  <c r="O88" i="16"/>
  <c r="J30" i="2" s="1"/>
  <c r="O86" i="16"/>
  <c r="J28" i="2" s="1"/>
  <c r="O87" i="16"/>
  <c r="J29" i="2" s="1"/>
  <c r="O74" i="16"/>
  <c r="J16" i="2" s="1"/>
  <c r="O94" i="16"/>
  <c r="J36" i="2" s="1"/>
  <c r="O95" i="16"/>
  <c r="J37" i="2" s="1"/>
  <c r="O99" i="16"/>
  <c r="J41" i="2" s="1"/>
  <c r="O73" i="16"/>
  <c r="J15" i="2" s="1"/>
  <c r="O66" i="16"/>
  <c r="J8" i="2" s="1"/>
  <c r="O97" i="16"/>
  <c r="J39" i="2" s="1"/>
  <c r="O100" i="16"/>
  <c r="J42" i="2" s="1"/>
  <c r="O70" i="16"/>
  <c r="J12" i="2" s="1"/>
  <c r="O62" i="16"/>
  <c r="J4" i="2" s="1"/>
  <c r="P67" i="16"/>
  <c r="K9" i="2" s="1"/>
  <c r="O83" i="16"/>
  <c r="J25" i="2" s="1"/>
  <c r="O85" i="16"/>
  <c r="J27" i="2" s="1"/>
  <c r="O72" i="16"/>
  <c r="J14" i="2" s="1"/>
  <c r="O65" i="16"/>
  <c r="J7" i="2" s="1"/>
  <c r="O68" i="16"/>
  <c r="J10" i="2" s="1"/>
  <c r="O90" i="16"/>
  <c r="J32" i="2" s="1"/>
  <c r="O92" i="16"/>
  <c r="J34" i="2" s="1"/>
  <c r="P79" i="16"/>
  <c r="K21" i="2" s="1"/>
  <c r="O98" i="16"/>
  <c r="J40" i="2" s="1"/>
  <c r="P75" i="16"/>
  <c r="K17" i="2" s="1"/>
  <c r="O91" i="16"/>
  <c r="J33" i="2" s="1"/>
  <c r="O61" i="16"/>
  <c r="J3" i="2" s="1"/>
  <c r="O78" i="16"/>
  <c r="J20" i="2" s="1"/>
  <c r="O101" i="16"/>
  <c r="J43" i="2" s="1"/>
  <c r="O71" i="16"/>
  <c r="J13" i="2" s="1"/>
  <c r="O84" i="16"/>
  <c r="J26" i="2" s="1"/>
  <c r="O93" i="16"/>
  <c r="J35" i="2" s="1"/>
  <c r="O80" i="16"/>
  <c r="J22" i="2" s="1"/>
  <c r="O76" i="16"/>
  <c r="J18" i="2" s="1"/>
  <c r="P101" i="16"/>
  <c r="K43" i="2" s="1"/>
  <c r="P92" i="16"/>
  <c r="K34" i="2" s="1"/>
  <c r="P73" i="16"/>
  <c r="K15" i="2" s="1"/>
  <c r="P94" i="16"/>
  <c r="K36" i="2" s="1"/>
  <c r="P63" i="16"/>
  <c r="K5" i="2" s="1"/>
  <c r="P84" i="16"/>
  <c r="K26" i="2" s="1"/>
  <c r="P91" i="16"/>
  <c r="K33" i="2" s="1"/>
  <c r="P72" i="16"/>
  <c r="K14" i="2" s="1"/>
  <c r="P86" i="16"/>
  <c r="K28" i="2" s="1"/>
  <c r="Q89" i="16"/>
  <c r="L31" i="2" s="1"/>
  <c r="P80" i="16"/>
  <c r="K22" i="2" s="1"/>
  <c r="P98" i="16"/>
  <c r="K40" i="2" s="1"/>
  <c r="Q67" i="16"/>
  <c r="L9" i="2" s="1"/>
  <c r="P97" i="16"/>
  <c r="K39" i="2" s="1"/>
  <c r="P99" i="16"/>
  <c r="K41" i="2" s="1"/>
  <c r="P96" i="16"/>
  <c r="K38" i="2" s="1"/>
  <c r="P78" i="16"/>
  <c r="K20" i="2" s="1"/>
  <c r="P90" i="16"/>
  <c r="K32" i="2" s="1"/>
  <c r="P70" i="16"/>
  <c r="K12" i="2" s="1"/>
  <c r="P87" i="16"/>
  <c r="K29" i="2" s="1"/>
  <c r="P64" i="16"/>
  <c r="K6" i="2" s="1"/>
  <c r="P71" i="16"/>
  <c r="K13" i="2" s="1"/>
  <c r="P68" i="16"/>
  <c r="K10" i="2" s="1"/>
  <c r="P85" i="16"/>
  <c r="K27" i="2" s="1"/>
  <c r="P74" i="16"/>
  <c r="K16" i="2" s="1"/>
  <c r="P88" i="16"/>
  <c r="K30" i="2" s="1"/>
  <c r="P62" i="16"/>
  <c r="K4" i="2" s="1"/>
  <c r="P95" i="16"/>
  <c r="K37" i="2" s="1"/>
  <c r="P77" i="16"/>
  <c r="K19" i="2" s="1"/>
  <c r="P69" i="16"/>
  <c r="K11" i="2" s="1"/>
  <c r="P93" i="16"/>
  <c r="K35" i="2" s="1"/>
  <c r="P61" i="16"/>
  <c r="K3" i="2" s="1"/>
  <c r="Q79" i="16"/>
  <c r="L21" i="2" s="1"/>
  <c r="P65" i="16"/>
  <c r="K7" i="2" s="1"/>
  <c r="P100" i="16"/>
  <c r="K42" i="2" s="1"/>
  <c r="P82" i="16"/>
  <c r="K24" i="2" s="1"/>
  <c r="P60" i="16"/>
  <c r="K2" i="2" s="1"/>
  <c r="Q75" i="16"/>
  <c r="L17" i="2" s="1"/>
  <c r="P83" i="16"/>
  <c r="K25" i="2" s="1"/>
  <c r="P66" i="16"/>
  <c r="K8" i="2" s="1"/>
  <c r="P81" i="16"/>
  <c r="K23" i="2" s="1"/>
  <c r="P76" i="16"/>
  <c r="K18" i="2" s="1"/>
  <c r="Q60" i="16"/>
  <c r="L2" i="2" s="1"/>
  <c r="Q93" i="16"/>
  <c r="L35" i="2" s="1"/>
  <c r="Q64" i="16"/>
  <c r="L6" i="2" s="1"/>
  <c r="R67" i="16"/>
  <c r="M9" i="2" s="1"/>
  <c r="Q97" i="16"/>
  <c r="L39" i="2" s="1"/>
  <c r="Q83" i="16"/>
  <c r="L25" i="2" s="1"/>
  <c r="Q63" i="16"/>
  <c r="L5" i="2" s="1"/>
  <c r="Q66" i="16"/>
  <c r="L8" i="2" s="1"/>
  <c r="R79" i="16"/>
  <c r="M21" i="2" s="1"/>
  <c r="Q85" i="16"/>
  <c r="L27" i="2" s="1"/>
  <c r="Q98" i="16"/>
  <c r="L40" i="2" s="1"/>
  <c r="Q72" i="16"/>
  <c r="L14" i="2" s="1"/>
  <c r="Q101" i="16"/>
  <c r="L43" i="2" s="1"/>
  <c r="Q95" i="16"/>
  <c r="L37" i="2" s="1"/>
  <c r="Q69" i="16"/>
  <c r="L11" i="2" s="1"/>
  <c r="Q96" i="16"/>
  <c r="L38" i="2" s="1"/>
  <c r="Q82" i="16"/>
  <c r="L24" i="2" s="1"/>
  <c r="Q88" i="16"/>
  <c r="L30" i="2" s="1"/>
  <c r="Q87" i="16"/>
  <c r="L29" i="2" s="1"/>
  <c r="R89" i="16"/>
  <c r="M31" i="2" s="1"/>
  <c r="Q73" i="16"/>
  <c r="L15" i="2" s="1"/>
  <c r="Q61" i="16"/>
  <c r="L3" i="2" s="1"/>
  <c r="Q90" i="16"/>
  <c r="L32" i="2" s="1"/>
  <c r="Q78" i="16"/>
  <c r="L20" i="2" s="1"/>
  <c r="Q91" i="16"/>
  <c r="L33" i="2" s="1"/>
  <c r="Q76" i="16"/>
  <c r="L18" i="2" s="1"/>
  <c r="R75" i="16"/>
  <c r="M17" i="2" s="1"/>
  <c r="Q62" i="16"/>
  <c r="L4" i="2" s="1"/>
  <c r="Q71" i="16"/>
  <c r="L13" i="2" s="1"/>
  <c r="Q94" i="16"/>
  <c r="L36" i="2" s="1"/>
  <c r="Q100" i="16"/>
  <c r="L42" i="2" s="1"/>
  <c r="Q65" i="16"/>
  <c r="L7" i="2" s="1"/>
  <c r="Q74" i="16"/>
  <c r="L16" i="2" s="1"/>
  <c r="Q70" i="16"/>
  <c r="L12" i="2" s="1"/>
  <c r="Q99" i="16"/>
  <c r="L41" i="2" s="1"/>
  <c r="Q86" i="16"/>
  <c r="L28" i="2" s="1"/>
  <c r="Q92" i="16"/>
  <c r="L34" i="2" s="1"/>
  <c r="Q77" i="16"/>
  <c r="L19" i="2" s="1"/>
  <c r="Q68" i="16"/>
  <c r="L10" i="2" s="1"/>
  <c r="Q80" i="16"/>
  <c r="L22" i="2" s="1"/>
  <c r="Q84" i="16"/>
  <c r="L26" i="2" s="1"/>
  <c r="Q81" i="16"/>
  <c r="L23" i="2" s="1"/>
  <c r="R92" i="16"/>
  <c r="M34" i="2" s="1"/>
  <c r="R62" i="16"/>
  <c r="M4" i="2" s="1"/>
  <c r="S75" i="16"/>
  <c r="N17" i="2" s="1"/>
  <c r="R82" i="16"/>
  <c r="M24" i="2" s="1"/>
  <c r="R69" i="16"/>
  <c r="M11" i="2" s="1"/>
  <c r="R97" i="16"/>
  <c r="M39" i="2" s="1"/>
  <c r="R68" i="16"/>
  <c r="M10" i="2" s="1"/>
  <c r="B69" i="16"/>
  <c r="B63" i="16"/>
  <c r="B88" i="16"/>
  <c r="B74" i="16"/>
  <c r="B99" i="16"/>
  <c r="B85" i="16"/>
  <c r="B93" i="16"/>
  <c r="B62" i="16"/>
  <c r="B65" i="16"/>
  <c r="B76" i="16"/>
  <c r="B98" i="16"/>
  <c r="R70" i="16"/>
  <c r="M12" i="2" s="1"/>
  <c r="R91" i="16"/>
  <c r="M33" i="2" s="1"/>
  <c r="R96" i="16"/>
  <c r="M38" i="2" s="1"/>
  <c r="R98" i="16"/>
  <c r="M40" i="2" s="1"/>
  <c r="R93" i="16"/>
  <c r="M35" i="2" s="1"/>
  <c r="B101" i="16"/>
  <c r="B71" i="16"/>
  <c r="B96" i="16"/>
  <c r="B82" i="16"/>
  <c r="B68" i="16"/>
  <c r="B90" i="16"/>
  <c r="R100" i="16"/>
  <c r="M42" i="2" s="1"/>
  <c r="R90" i="16"/>
  <c r="M32" i="2" s="1"/>
  <c r="R66" i="16"/>
  <c r="M8" i="2" s="1"/>
  <c r="R101" i="16"/>
  <c r="M43" i="2" s="1"/>
  <c r="R84" i="16"/>
  <c r="M26" i="2" s="1"/>
  <c r="B79" i="16"/>
  <c r="B94" i="16"/>
  <c r="R94" i="16"/>
  <c r="M36" i="2" s="1"/>
  <c r="R61" i="16"/>
  <c r="M3" i="2" s="1"/>
  <c r="R73" i="16"/>
  <c r="M15" i="2" s="1"/>
  <c r="R95" i="16"/>
  <c r="M37" i="2" s="1"/>
  <c r="S67" i="16"/>
  <c r="N9" i="2" s="1"/>
  <c r="R77" i="16"/>
  <c r="M19" i="2" s="1"/>
  <c r="B70" i="16"/>
  <c r="B87" i="16"/>
  <c r="B73" i="16"/>
  <c r="B84" i="16"/>
  <c r="B72" i="16"/>
  <c r="R74" i="16"/>
  <c r="M16" i="2" s="1"/>
  <c r="R99" i="16"/>
  <c r="M41" i="2" s="1"/>
  <c r="R87" i="16"/>
  <c r="M29" i="2" s="1"/>
  <c r="R85" i="16"/>
  <c r="M27" i="2" s="1"/>
  <c r="R60" i="16"/>
  <c r="M2" i="2" s="1"/>
  <c r="B78" i="16"/>
  <c r="B95" i="16"/>
  <c r="B81" i="16"/>
  <c r="B67" i="16"/>
  <c r="B92" i="16"/>
  <c r="B64" i="16"/>
  <c r="B75" i="16"/>
  <c r="B83" i="16"/>
  <c r="R71" i="16"/>
  <c r="M13" i="2" s="1"/>
  <c r="R88" i="16"/>
  <c r="M30" i="2" s="1"/>
  <c r="R63" i="16"/>
  <c r="M5" i="2" s="1"/>
  <c r="R83" i="16"/>
  <c r="M25" i="2" s="1"/>
  <c r="R80" i="16"/>
  <c r="M22" i="2" s="1"/>
  <c r="B86" i="16"/>
  <c r="B89" i="16"/>
  <c r="B100" i="16"/>
  <c r="B97" i="16"/>
  <c r="R86" i="16"/>
  <c r="M28" i="2" s="1"/>
  <c r="R76" i="16"/>
  <c r="M18" i="2" s="1"/>
  <c r="S89" i="16"/>
  <c r="N31" i="2" s="1"/>
  <c r="R72" i="16"/>
  <c r="M14" i="2" s="1"/>
  <c r="R64" i="16"/>
  <c r="M6" i="2" s="1"/>
  <c r="B61" i="16"/>
  <c r="R65" i="16"/>
  <c r="M7" i="2" s="1"/>
  <c r="R78" i="16"/>
  <c r="M20" i="2" s="1"/>
  <c r="S79" i="16"/>
  <c r="N21" i="2" s="1"/>
  <c r="R81" i="16"/>
  <c r="M23" i="2" s="1"/>
  <c r="B60" i="16"/>
  <c r="B80" i="16"/>
  <c r="B66" i="16"/>
  <c r="B91" i="16"/>
  <c r="B77" i="16"/>
  <c r="S64" i="16"/>
  <c r="N6" i="2" s="1"/>
  <c r="S63" i="16"/>
  <c r="N5" i="2" s="1"/>
  <c r="T67" i="16"/>
  <c r="O9" i="2" s="1"/>
  <c r="S90" i="16"/>
  <c r="N32" i="2" s="1"/>
  <c r="S97" i="16"/>
  <c r="N39" i="2" s="1"/>
  <c r="S76" i="16"/>
  <c r="N18" i="2" s="1"/>
  <c r="T89" i="16"/>
  <c r="O31" i="2" s="1"/>
  <c r="S85" i="16"/>
  <c r="N27" i="2" s="1"/>
  <c r="S61" i="16"/>
  <c r="N3" i="2" s="1"/>
  <c r="S68" i="16"/>
  <c r="N10" i="2" s="1"/>
  <c r="S78" i="16"/>
  <c r="N20" i="2" s="1"/>
  <c r="S80" i="16"/>
  <c r="N22" i="2" s="1"/>
  <c r="S74" i="16"/>
  <c r="N16" i="2" s="1"/>
  <c r="S101" i="16"/>
  <c r="N43" i="2" s="1"/>
  <c r="S96" i="16"/>
  <c r="N38" i="2" s="1"/>
  <c r="S81" i="16"/>
  <c r="N23" i="2" s="1"/>
  <c r="S72" i="16"/>
  <c r="N14" i="2" s="1"/>
  <c r="S88" i="16"/>
  <c r="N30" i="2" s="1"/>
  <c r="S95" i="16"/>
  <c r="N37" i="2" s="1"/>
  <c r="S91" i="16"/>
  <c r="N33" i="2" s="1"/>
  <c r="S69" i="16"/>
  <c r="N11" i="2" s="1"/>
  <c r="S65" i="16"/>
  <c r="N7" i="2" s="1"/>
  <c r="S71" i="16"/>
  <c r="N13" i="2" s="1"/>
  <c r="S87" i="16"/>
  <c r="N29" i="2" s="1"/>
  <c r="S94" i="16"/>
  <c r="N36" i="2" s="1"/>
  <c r="S93" i="16"/>
  <c r="N35" i="2" s="1"/>
  <c r="S62" i="16"/>
  <c r="N4" i="2" s="1"/>
  <c r="S70" i="16"/>
  <c r="N12" i="2" s="1"/>
  <c r="T79" i="16"/>
  <c r="O21" i="2" s="1"/>
  <c r="S83" i="16"/>
  <c r="N25" i="2" s="1"/>
  <c r="S77" i="16"/>
  <c r="N19" i="2" s="1"/>
  <c r="S66" i="16"/>
  <c r="N8" i="2" s="1"/>
  <c r="S82" i="16"/>
  <c r="N24" i="2" s="1"/>
  <c r="S60" i="16"/>
  <c r="N2" i="2" s="1"/>
  <c r="S73" i="16"/>
  <c r="N15" i="2" s="1"/>
  <c r="T75" i="16"/>
  <c r="O17" i="2" s="1"/>
  <c r="S86" i="16"/>
  <c r="N28" i="2" s="1"/>
  <c r="S99" i="16"/>
  <c r="N41" i="2" s="1"/>
  <c r="S84" i="16"/>
  <c r="N26" i="2" s="1"/>
  <c r="S100" i="16"/>
  <c r="N42" i="2" s="1"/>
  <c r="S98" i="16"/>
  <c r="N40" i="2" s="1"/>
  <c r="S92" i="16"/>
  <c r="N34" i="2" s="1"/>
  <c r="U75" i="16"/>
  <c r="P17" i="2" s="1"/>
  <c r="T83" i="16"/>
  <c r="O25" i="2" s="1"/>
  <c r="T69" i="16"/>
  <c r="O11" i="2" s="1"/>
  <c r="T74" i="16"/>
  <c r="O16" i="2" s="1"/>
  <c r="T90" i="16"/>
  <c r="O32" i="2" s="1"/>
  <c r="T82" i="16"/>
  <c r="O24" i="2" s="1"/>
  <c r="T94" i="16"/>
  <c r="O36" i="2" s="1"/>
  <c r="T80" i="16"/>
  <c r="O22" i="2" s="1"/>
  <c r="T78" i="16"/>
  <c r="O20" i="2" s="1"/>
  <c r="T63" i="16"/>
  <c r="O5" i="2" s="1"/>
  <c r="T100" i="16"/>
  <c r="O42" i="2" s="1"/>
  <c r="T71" i="16"/>
  <c r="O13" i="2" s="1"/>
  <c r="T96" i="16"/>
  <c r="O38" i="2" s="1"/>
  <c r="T85" i="16"/>
  <c r="O27" i="2" s="1"/>
  <c r="T92" i="16"/>
  <c r="O34" i="2" s="1"/>
  <c r="T66" i="16"/>
  <c r="O8" i="2" s="1"/>
  <c r="T62" i="16"/>
  <c r="O4" i="2" s="1"/>
  <c r="T91" i="16"/>
  <c r="O33" i="2" s="1"/>
  <c r="U89" i="16"/>
  <c r="P31" i="2" s="1"/>
  <c r="T84" i="16"/>
  <c r="O26" i="2" s="1"/>
  <c r="T99" i="16"/>
  <c r="O41" i="2" s="1"/>
  <c r="U79" i="16"/>
  <c r="P21" i="2" s="1"/>
  <c r="T87" i="16"/>
  <c r="O29" i="2" s="1"/>
  <c r="T68" i="16"/>
  <c r="O10" i="2" s="1"/>
  <c r="T86" i="16"/>
  <c r="O28" i="2" s="1"/>
  <c r="T77" i="16"/>
  <c r="O19" i="2" s="1"/>
  <c r="T65" i="16"/>
  <c r="O7" i="2" s="1"/>
  <c r="T72" i="16"/>
  <c r="O14" i="2" s="1"/>
  <c r="T101" i="16"/>
  <c r="O43" i="2" s="1"/>
  <c r="T97" i="16"/>
  <c r="O39" i="2" s="1"/>
  <c r="T60" i="16"/>
  <c r="O2" i="2" s="1"/>
  <c r="T93" i="16"/>
  <c r="O35" i="2" s="1"/>
  <c r="T95" i="16"/>
  <c r="O37" i="2" s="1"/>
  <c r="T76" i="16"/>
  <c r="O18" i="2" s="1"/>
  <c r="U67" i="16"/>
  <c r="P9" i="2" s="1"/>
  <c r="T98" i="16"/>
  <c r="O40" i="2" s="1"/>
  <c r="T70" i="16"/>
  <c r="O12" i="2" s="1"/>
  <c r="T88" i="16"/>
  <c r="O30" i="2" s="1"/>
  <c r="T81" i="16"/>
  <c r="O23" i="2" s="1"/>
  <c r="T61" i="16"/>
  <c r="O3" i="2" s="1"/>
  <c r="T64" i="16"/>
  <c r="O6" i="2" s="1"/>
  <c r="T73" i="16"/>
  <c r="O15" i="2" s="1"/>
  <c r="U61" i="16"/>
  <c r="P3" i="2" s="1"/>
  <c r="U72" i="16"/>
  <c r="P14" i="2" s="1"/>
  <c r="U64" i="16"/>
  <c r="P6" i="2" s="1"/>
  <c r="U85" i="16"/>
  <c r="P27" i="2" s="1"/>
  <c r="U83" i="16"/>
  <c r="P25" i="2" s="1"/>
  <c r="U93" i="16"/>
  <c r="P35" i="2" s="1"/>
  <c r="U95" i="16"/>
  <c r="P37" i="2" s="1"/>
  <c r="U98" i="16"/>
  <c r="P40" i="2" s="1"/>
  <c r="U91" i="16"/>
  <c r="P33" i="2" s="1"/>
  <c r="U63" i="16"/>
  <c r="P5" i="2" s="1"/>
  <c r="U74" i="16"/>
  <c r="P16" i="2" s="1"/>
  <c r="U97" i="16"/>
  <c r="P39" i="2" s="1"/>
  <c r="U87" i="16"/>
  <c r="P29" i="2" s="1"/>
  <c r="U66" i="16"/>
  <c r="P8" i="2" s="1"/>
  <c r="U80" i="16"/>
  <c r="P22" i="2" s="1"/>
  <c r="U81" i="16"/>
  <c r="P23" i="2" s="1"/>
  <c r="V67" i="16"/>
  <c r="Q9" i="2" s="1"/>
  <c r="U65" i="16"/>
  <c r="P7" i="2" s="1"/>
  <c r="U99" i="16"/>
  <c r="P41" i="2" s="1"/>
  <c r="U96" i="16"/>
  <c r="P38" i="2" s="1"/>
  <c r="U82" i="16"/>
  <c r="P24" i="2" s="1"/>
  <c r="U70" i="16"/>
  <c r="P12" i="2" s="1"/>
  <c r="U60" i="16"/>
  <c r="P2" i="2" s="1"/>
  <c r="U68" i="16"/>
  <c r="P10" i="2" s="1"/>
  <c r="U71" i="16"/>
  <c r="P13" i="2" s="1"/>
  <c r="U90" i="16"/>
  <c r="P32" i="2" s="1"/>
  <c r="U69" i="16"/>
  <c r="P11" i="2" s="1"/>
  <c r="V79" i="16"/>
  <c r="Q21" i="2" s="1"/>
  <c r="U92" i="16"/>
  <c r="P34" i="2" s="1"/>
  <c r="U94" i="16"/>
  <c r="P36" i="2" s="1"/>
  <c r="U88" i="16"/>
  <c r="P30" i="2" s="1"/>
  <c r="U76" i="16"/>
  <c r="P18" i="2" s="1"/>
  <c r="U101" i="16"/>
  <c r="P43" i="2" s="1"/>
  <c r="U77" i="16"/>
  <c r="P19" i="2" s="1"/>
  <c r="U84" i="16"/>
  <c r="P26" i="2" s="1"/>
  <c r="U100" i="16"/>
  <c r="P42" i="2" s="1"/>
  <c r="U73" i="16"/>
  <c r="P15" i="2" s="1"/>
  <c r="U86" i="16"/>
  <c r="P28" i="2" s="1"/>
  <c r="V89" i="16"/>
  <c r="Q31" i="2" s="1"/>
  <c r="U62" i="16"/>
  <c r="P4" i="2" s="1"/>
  <c r="U78" i="16"/>
  <c r="P20" i="2" s="1"/>
  <c r="V75" i="16"/>
  <c r="Q17" i="2" s="1"/>
  <c r="V73" i="16"/>
  <c r="Q15" i="2" s="1"/>
  <c r="V69" i="16"/>
  <c r="Q11" i="2" s="1"/>
  <c r="V96" i="16"/>
  <c r="Q38" i="2" s="1"/>
  <c r="V97" i="16"/>
  <c r="Q39" i="2" s="1"/>
  <c r="V85" i="16"/>
  <c r="Q27" i="2" s="1"/>
  <c r="V62" i="16"/>
  <c r="Q4" i="2" s="1"/>
  <c r="V70" i="16"/>
  <c r="Q12" i="2" s="1"/>
  <c r="V98" i="16"/>
  <c r="Q40" i="2" s="1"/>
  <c r="V78" i="16"/>
  <c r="Q20" i="2" s="1"/>
  <c r="V76" i="16"/>
  <c r="Q18" i="2" s="1"/>
  <c r="V68" i="16"/>
  <c r="Q10" i="2" s="1"/>
  <c r="W67" i="16"/>
  <c r="R9" i="2" s="1"/>
  <c r="V83" i="16"/>
  <c r="Q25" i="2" s="1"/>
  <c r="V86" i="16"/>
  <c r="Q28" i="2" s="1"/>
  <c r="V92" i="16"/>
  <c r="Q34" i="2" s="1"/>
  <c r="V90" i="16"/>
  <c r="Q32" i="2" s="1"/>
  <c r="V99" i="16"/>
  <c r="Q41" i="2" s="1"/>
  <c r="V66" i="16"/>
  <c r="Q8" i="2" s="1"/>
  <c r="V95" i="16"/>
  <c r="Q37" i="2" s="1"/>
  <c r="V64" i="16"/>
  <c r="Q6" i="2" s="1"/>
  <c r="W89" i="16"/>
  <c r="R31" i="2" s="1"/>
  <c r="V65" i="16"/>
  <c r="Q7" i="2" s="1"/>
  <c r="V74" i="16"/>
  <c r="Q16" i="2" s="1"/>
  <c r="V84" i="16"/>
  <c r="Q26" i="2" s="1"/>
  <c r="V88" i="16"/>
  <c r="Q30" i="2" s="1"/>
  <c r="V101" i="16"/>
  <c r="Q43" i="2" s="1"/>
  <c r="V81" i="16"/>
  <c r="Q23" i="2" s="1"/>
  <c r="V63" i="16"/>
  <c r="Q5" i="2" s="1"/>
  <c r="V61" i="16"/>
  <c r="Q3" i="2" s="1"/>
  <c r="V77" i="16"/>
  <c r="Q19" i="2" s="1"/>
  <c r="W79" i="16"/>
  <c r="R21" i="2" s="1"/>
  <c r="V82" i="16"/>
  <c r="Q24" i="2" s="1"/>
  <c r="V87" i="16"/>
  <c r="Q29" i="2" s="1"/>
  <c r="V93" i="16"/>
  <c r="Q35" i="2" s="1"/>
  <c r="V100" i="16"/>
  <c r="Q42" i="2" s="1"/>
  <c r="V71" i="16"/>
  <c r="Q13" i="2" s="1"/>
  <c r="V72" i="16"/>
  <c r="Q14" i="2" s="1"/>
  <c r="V94" i="16"/>
  <c r="Q36" i="2" s="1"/>
  <c r="V60" i="16"/>
  <c r="Q2" i="2" s="1"/>
  <c r="V80" i="16"/>
  <c r="Q22" i="2" s="1"/>
  <c r="V91" i="16"/>
  <c r="Q33" i="2" s="1"/>
  <c r="W75" i="16"/>
  <c r="R17" i="2" s="1"/>
  <c r="W74" i="16"/>
  <c r="R16" i="2" s="1"/>
  <c r="W81" i="16"/>
  <c r="R23" i="2" s="1"/>
  <c r="W90" i="16"/>
  <c r="R32" i="2" s="1"/>
  <c r="W84" i="16"/>
  <c r="R26" i="2" s="1"/>
  <c r="W96" i="16"/>
  <c r="R38" i="2" s="1"/>
  <c r="W60" i="16"/>
  <c r="R2" i="2" s="1"/>
  <c r="W66" i="16"/>
  <c r="R8" i="2" s="1"/>
  <c r="W85" i="16"/>
  <c r="R27" i="2" s="1"/>
  <c r="W91" i="16"/>
  <c r="R33" i="2" s="1"/>
  <c r="W77" i="16"/>
  <c r="R19" i="2" s="1"/>
  <c r="W64" i="16"/>
  <c r="R6" i="2" s="1"/>
  <c r="X79" i="16"/>
  <c r="S21" i="2" s="1"/>
  <c r="W68" i="16"/>
  <c r="R10" i="2" s="1"/>
  <c r="W69" i="16"/>
  <c r="R11" i="2" s="1"/>
  <c r="W61" i="16"/>
  <c r="R3" i="2" s="1"/>
  <c r="W70" i="16"/>
  <c r="R12" i="2" s="1"/>
  <c r="W65" i="16"/>
  <c r="R7" i="2" s="1"/>
  <c r="W101" i="16"/>
  <c r="R43" i="2" s="1"/>
  <c r="W100" i="16"/>
  <c r="R42" i="2" s="1"/>
  <c r="W86" i="16"/>
  <c r="R28" i="2" s="1"/>
  <c r="W73" i="16"/>
  <c r="R15" i="2" s="1"/>
  <c r="W94" i="16"/>
  <c r="R36" i="2" s="1"/>
  <c r="W87" i="16"/>
  <c r="R29" i="2" s="1"/>
  <c r="X89" i="16"/>
  <c r="S31" i="2" s="1"/>
  <c r="W78" i="16"/>
  <c r="R20" i="2" s="1"/>
  <c r="W76" i="16"/>
  <c r="R18" i="2" s="1"/>
  <c r="X75" i="16"/>
  <c r="S17" i="2" s="1"/>
  <c r="W80" i="16"/>
  <c r="R22" i="2" s="1"/>
  <c r="W71" i="16"/>
  <c r="R13" i="2" s="1"/>
  <c r="W88" i="16"/>
  <c r="R30" i="2" s="1"/>
  <c r="W93" i="16"/>
  <c r="R35" i="2" s="1"/>
  <c r="X67" i="16"/>
  <c r="S9" i="2" s="1"/>
  <c r="W63" i="16"/>
  <c r="R5" i="2" s="1"/>
  <c r="W99" i="16"/>
  <c r="R41" i="2" s="1"/>
  <c r="W92" i="16"/>
  <c r="R34" i="2" s="1"/>
  <c r="W97" i="16"/>
  <c r="R39" i="2" s="1"/>
  <c r="W83" i="16"/>
  <c r="R25" i="2" s="1"/>
  <c r="W82" i="16"/>
  <c r="R24" i="2" s="1"/>
  <c r="W95" i="16"/>
  <c r="R37" i="2" s="1"/>
  <c r="W98" i="16"/>
  <c r="R40" i="2" s="1"/>
  <c r="W62" i="16"/>
  <c r="R4" i="2" s="1"/>
  <c r="W72" i="16"/>
  <c r="R14" i="2" s="1"/>
  <c r="Y67" i="16"/>
  <c r="T9" i="2" s="1"/>
  <c r="Y75" i="16"/>
  <c r="T17" i="2" s="1"/>
  <c r="X86" i="16"/>
  <c r="S28" i="2" s="1"/>
  <c r="X66" i="16"/>
  <c r="S8" i="2" s="1"/>
  <c r="X84" i="16"/>
  <c r="S26" i="2" s="1"/>
  <c r="X95" i="16"/>
  <c r="S37" i="2" s="1"/>
  <c r="X80" i="16"/>
  <c r="S22" i="2" s="1"/>
  <c r="X93" i="16"/>
  <c r="S35" i="2" s="1"/>
  <c r="Y89" i="16"/>
  <c r="T31" i="2" s="1"/>
  <c r="X99" i="16"/>
  <c r="S41" i="2" s="1"/>
  <c r="X68" i="16"/>
  <c r="S10" i="2" s="1"/>
  <c r="X74" i="16"/>
  <c r="S16" i="2" s="1"/>
  <c r="X94" i="16"/>
  <c r="S36" i="2" s="1"/>
  <c r="X85" i="16"/>
  <c r="S27" i="2" s="1"/>
  <c r="X60" i="16"/>
  <c r="S2" i="2" s="1"/>
  <c r="X83" i="16"/>
  <c r="S25" i="2" s="1"/>
  <c r="X78" i="16"/>
  <c r="S20" i="2" s="1"/>
  <c r="X101" i="16"/>
  <c r="S43" i="2" s="1"/>
  <c r="X61" i="16"/>
  <c r="S3" i="2" s="1"/>
  <c r="X90" i="16"/>
  <c r="S32" i="2" s="1"/>
  <c r="X82" i="16"/>
  <c r="S24" i="2" s="1"/>
  <c r="X88" i="16"/>
  <c r="S30" i="2" s="1"/>
  <c r="X87" i="16"/>
  <c r="S29" i="2" s="1"/>
  <c r="X91" i="16"/>
  <c r="S33" i="2" s="1"/>
  <c r="X64" i="16"/>
  <c r="S6" i="2" s="1"/>
  <c r="Y79" i="16"/>
  <c r="T21" i="2" s="1"/>
  <c r="X92" i="16"/>
  <c r="S34" i="2" s="1"/>
  <c r="X81" i="16"/>
  <c r="S23" i="2" s="1"/>
  <c r="X63" i="16"/>
  <c r="S5" i="2" s="1"/>
  <c r="X73" i="16"/>
  <c r="S15" i="2" s="1"/>
  <c r="X70" i="16"/>
  <c r="S12" i="2" s="1"/>
  <c r="X96" i="16"/>
  <c r="S38" i="2" s="1"/>
  <c r="X98" i="16"/>
  <c r="S40" i="2" s="1"/>
  <c r="X100" i="16"/>
  <c r="S42" i="2" s="1"/>
  <c r="X65" i="16"/>
  <c r="S7" i="2" s="1"/>
  <c r="X97" i="16"/>
  <c r="S39" i="2" s="1"/>
  <c r="X71" i="16"/>
  <c r="S13" i="2" s="1"/>
  <c r="X76" i="16"/>
  <c r="S18" i="2" s="1"/>
  <c r="X69" i="16"/>
  <c r="S11" i="2" s="1"/>
  <c r="X77" i="16"/>
  <c r="S19" i="2" s="1"/>
  <c r="X72" i="16"/>
  <c r="S14" i="2" s="1"/>
  <c r="X62" i="16"/>
  <c r="S4" i="2" s="1"/>
  <c r="Y98" i="16"/>
  <c r="T40" i="2" s="1"/>
  <c r="Y64" i="16"/>
  <c r="T6" i="2" s="1"/>
  <c r="Y61" i="16"/>
  <c r="T3" i="2" s="1"/>
  <c r="Y94" i="16"/>
  <c r="T36" i="2" s="1"/>
  <c r="Y86" i="16"/>
  <c r="T28" i="2" s="1"/>
  <c r="Y76" i="16"/>
  <c r="T18" i="2" s="1"/>
  <c r="Y70" i="16"/>
  <c r="T12" i="2" s="1"/>
  <c r="Y88" i="16"/>
  <c r="T30" i="2" s="1"/>
  <c r="Y73" i="16"/>
  <c r="T15" i="2" s="1"/>
  <c r="Y93" i="16"/>
  <c r="T35" i="2" s="1"/>
  <c r="Y68" i="16"/>
  <c r="T10" i="2" s="1"/>
  <c r="Y92" i="16"/>
  <c r="T34" i="2" s="1"/>
  <c r="Y82" i="16"/>
  <c r="T24" i="2" s="1"/>
  <c r="Y60" i="16"/>
  <c r="T2" i="2" s="1"/>
  <c r="Y77" i="16"/>
  <c r="T19" i="2" s="1"/>
  <c r="Y72" i="16"/>
  <c r="T14" i="2" s="1"/>
  <c r="Y81" i="16"/>
  <c r="T23" i="2" s="1"/>
  <c r="Y91" i="16"/>
  <c r="T33" i="2" s="1"/>
  <c r="Y101" i="16"/>
  <c r="T43" i="2" s="1"/>
  <c r="Y80" i="16"/>
  <c r="T22" i="2" s="1"/>
  <c r="Z75" i="16"/>
  <c r="U17" i="2" s="1"/>
  <c r="Y71" i="16"/>
  <c r="T13" i="2" s="1"/>
  <c r="Y65" i="16"/>
  <c r="T7" i="2" s="1"/>
  <c r="Y87" i="16"/>
  <c r="T29" i="2" s="1"/>
  <c r="Y63" i="16"/>
  <c r="T5" i="2" s="1"/>
  <c r="Y95" i="16"/>
  <c r="T37" i="2" s="1"/>
  <c r="Y69" i="16"/>
  <c r="T11" i="2" s="1"/>
  <c r="Y96" i="16"/>
  <c r="T38" i="2" s="1"/>
  <c r="Y90" i="16"/>
  <c r="T32" i="2" s="1"/>
  <c r="Y85" i="16"/>
  <c r="T27" i="2" s="1"/>
  <c r="Y66" i="16"/>
  <c r="T8" i="2" s="1"/>
  <c r="Y99" i="16"/>
  <c r="T41" i="2" s="1"/>
  <c r="Y97" i="16"/>
  <c r="T39" i="2" s="1"/>
  <c r="Y78" i="16"/>
  <c r="T20" i="2" s="1"/>
  <c r="Y83" i="16"/>
  <c r="T25" i="2" s="1"/>
  <c r="Y74" i="16"/>
  <c r="T16" i="2" s="1"/>
  <c r="Z67" i="16"/>
  <c r="U9" i="2" s="1"/>
  <c r="Y100" i="16"/>
  <c r="T42" i="2" s="1"/>
  <c r="Z79" i="16"/>
  <c r="U21" i="2" s="1"/>
  <c r="Y62" i="16"/>
  <c r="T4" i="2" s="1"/>
  <c r="Y84" i="16"/>
  <c r="T26" i="2" s="1"/>
  <c r="Z89" i="16"/>
  <c r="U31" i="2" s="1"/>
  <c r="Z69" i="16"/>
  <c r="U11" i="2" s="1"/>
  <c r="Z90" i="16"/>
  <c r="U32" i="2" s="1"/>
  <c r="Z99" i="16"/>
  <c r="U41" i="2" s="1"/>
  <c r="Z82" i="16"/>
  <c r="U24" i="2" s="1"/>
  <c r="AA79" i="16"/>
  <c r="V21" i="2" s="1"/>
  <c r="Z85" i="16"/>
  <c r="U27" i="2" s="1"/>
  <c r="Z65" i="16"/>
  <c r="U7" i="2" s="1"/>
  <c r="Z91" i="16"/>
  <c r="U33" i="2" s="1"/>
  <c r="Z68" i="16"/>
  <c r="U10" i="2" s="1"/>
  <c r="Z86" i="16"/>
  <c r="U28" i="2" s="1"/>
  <c r="Z64" i="16"/>
  <c r="U6" i="2" s="1"/>
  <c r="Z97" i="16"/>
  <c r="U39" i="2" s="1"/>
  <c r="Z63" i="16"/>
  <c r="U5" i="2" s="1"/>
  <c r="Z77" i="16"/>
  <c r="U19" i="2" s="1"/>
  <c r="Z70" i="16"/>
  <c r="U12" i="2" s="1"/>
  <c r="Z84" i="16"/>
  <c r="U26" i="2" s="1"/>
  <c r="AA67" i="16"/>
  <c r="V9" i="2" s="1"/>
  <c r="Z87" i="16"/>
  <c r="U29" i="2" s="1"/>
  <c r="AA75" i="16"/>
  <c r="V17" i="2" s="1"/>
  <c r="Z88" i="16"/>
  <c r="U30" i="2" s="1"/>
  <c r="Z94" i="16"/>
  <c r="U36" i="2" s="1"/>
  <c r="Z100" i="16"/>
  <c r="U42" i="2" s="1"/>
  <c r="Z83" i="16"/>
  <c r="U25" i="2" s="1"/>
  <c r="Z81" i="16"/>
  <c r="U23" i="2" s="1"/>
  <c r="Z93" i="16"/>
  <c r="U35" i="2" s="1"/>
  <c r="Z98" i="16"/>
  <c r="U40" i="2" s="1"/>
  <c r="Z62" i="16"/>
  <c r="U4" i="2" s="1"/>
  <c r="Z66" i="16"/>
  <c r="U8" i="2" s="1"/>
  <c r="Z71" i="16"/>
  <c r="U13" i="2" s="1"/>
  <c r="Z101" i="16"/>
  <c r="U43" i="2" s="1"/>
  <c r="Z60" i="16"/>
  <c r="U2" i="2" s="1"/>
  <c r="Z76" i="16"/>
  <c r="U18" i="2" s="1"/>
  <c r="Z74" i="16"/>
  <c r="U16" i="2" s="1"/>
  <c r="Z96" i="16"/>
  <c r="U38" i="2" s="1"/>
  <c r="Z80" i="16"/>
  <c r="U22" i="2" s="1"/>
  <c r="Z92" i="16"/>
  <c r="U34" i="2" s="1"/>
  <c r="Z61" i="16"/>
  <c r="U3" i="2" s="1"/>
  <c r="Z78" i="16"/>
  <c r="U20" i="2" s="1"/>
  <c r="Z95" i="16"/>
  <c r="U37" i="2" s="1"/>
  <c r="Z72" i="16"/>
  <c r="U14" i="2" s="1"/>
  <c r="Z73" i="16"/>
  <c r="U15" i="2" s="1"/>
  <c r="AA89" i="16"/>
  <c r="V31" i="2" s="1"/>
  <c r="AA61" i="16"/>
  <c r="V3" i="2" s="1"/>
  <c r="AA66" i="16"/>
  <c r="V8" i="2" s="1"/>
  <c r="AA63" i="16"/>
  <c r="V5" i="2" s="1"/>
  <c r="AA99" i="16"/>
  <c r="V41" i="2" s="1"/>
  <c r="AA78" i="16"/>
  <c r="V20" i="2" s="1"/>
  <c r="AA96" i="16"/>
  <c r="V38" i="2" s="1"/>
  <c r="AA93" i="16"/>
  <c r="V35" i="2" s="1"/>
  <c r="AA100" i="16"/>
  <c r="V42" i="2" s="1"/>
  <c r="AA71" i="16"/>
  <c r="V13" i="2" s="1"/>
  <c r="AA68" i="16"/>
  <c r="V10" i="2" s="1"/>
  <c r="AB89" i="16"/>
  <c r="W31" i="2" s="1"/>
  <c r="AA81" i="16"/>
  <c r="V23" i="2" s="1"/>
  <c r="AB67" i="16"/>
  <c r="W9" i="2" s="1"/>
  <c r="AA70" i="16"/>
  <c r="V12" i="2" s="1"/>
  <c r="AB79" i="16"/>
  <c r="W21" i="2" s="1"/>
  <c r="AA72" i="16"/>
  <c r="V14" i="2" s="1"/>
  <c r="AA92" i="16"/>
  <c r="V34" i="2" s="1"/>
  <c r="AA98" i="16"/>
  <c r="V40" i="2" s="1"/>
  <c r="AA88" i="16"/>
  <c r="V30" i="2" s="1"/>
  <c r="AA85" i="16"/>
  <c r="V27" i="2" s="1"/>
  <c r="AA90" i="16"/>
  <c r="V32" i="2" s="1"/>
  <c r="AA74" i="16"/>
  <c r="V16" i="2" s="1"/>
  <c r="AA76" i="16"/>
  <c r="V18" i="2" s="1"/>
  <c r="AA87" i="16"/>
  <c r="V29" i="2" s="1"/>
  <c r="AA97" i="16"/>
  <c r="V39" i="2" s="1"/>
  <c r="AA91" i="16"/>
  <c r="V33" i="2" s="1"/>
  <c r="AA86" i="16"/>
  <c r="V28" i="2" s="1"/>
  <c r="AA101" i="16"/>
  <c r="V43" i="2" s="1"/>
  <c r="AA62" i="16"/>
  <c r="V4" i="2" s="1"/>
  <c r="AA77" i="16"/>
  <c r="V19" i="2" s="1"/>
  <c r="AA82" i="16"/>
  <c r="V24" i="2" s="1"/>
  <c r="AA95" i="16"/>
  <c r="V37" i="2" s="1"/>
  <c r="AA80" i="16"/>
  <c r="V22" i="2" s="1"/>
  <c r="AA94" i="16"/>
  <c r="V36" i="2" s="1"/>
  <c r="AB75" i="16"/>
  <c r="W17" i="2" s="1"/>
  <c r="AA64" i="16"/>
  <c r="V6" i="2" s="1"/>
  <c r="AA69" i="16"/>
  <c r="V11" i="2" s="1"/>
  <c r="AA60" i="16"/>
  <c r="V2" i="2" s="1"/>
  <c r="AA83" i="16"/>
  <c r="V25" i="2" s="1"/>
  <c r="AA84" i="16"/>
  <c r="V26" i="2" s="1"/>
  <c r="AA65" i="16"/>
  <c r="V7" i="2" s="1"/>
  <c r="AA73" i="16"/>
  <c r="V15" i="2" s="1"/>
  <c r="AB69" i="16"/>
  <c r="W11" i="2" s="1"/>
  <c r="AB77" i="16"/>
  <c r="W19" i="2" s="1"/>
  <c r="AB85" i="16"/>
  <c r="W27" i="2" s="1"/>
  <c r="AB81" i="16"/>
  <c r="W23" i="2" s="1"/>
  <c r="AB96" i="16"/>
  <c r="W38" i="2" s="1"/>
  <c r="AB63" i="16"/>
  <c r="W5" i="2" s="1"/>
  <c r="AB83" i="16"/>
  <c r="W25" i="2" s="1"/>
  <c r="AB101" i="16"/>
  <c r="W43" i="2" s="1"/>
  <c r="AB74" i="16"/>
  <c r="W16" i="2" s="1"/>
  <c r="AB92" i="16"/>
  <c r="W34" i="2" s="1"/>
  <c r="AB71" i="16"/>
  <c r="W13" i="2" s="1"/>
  <c r="AB73" i="16"/>
  <c r="W15" i="2" s="1"/>
  <c r="AB82" i="16"/>
  <c r="W24" i="2" s="1"/>
  <c r="AB76" i="16"/>
  <c r="W18" i="2" s="1"/>
  <c r="AB70" i="16"/>
  <c r="W12" i="2" s="1"/>
  <c r="AB78" i="16"/>
  <c r="W20" i="2" s="1"/>
  <c r="AB84" i="16"/>
  <c r="W26" i="2" s="1"/>
  <c r="AC75" i="16"/>
  <c r="X17" i="2" s="1"/>
  <c r="AB97" i="16"/>
  <c r="W39" i="2" s="1"/>
  <c r="AB88" i="16"/>
  <c r="W30" i="2" s="1"/>
  <c r="AC89" i="16"/>
  <c r="X31" i="2" s="1"/>
  <c r="AB66" i="16"/>
  <c r="W8" i="2" s="1"/>
  <c r="AB60" i="16"/>
  <c r="W2" i="2" s="1"/>
  <c r="AB80" i="16"/>
  <c r="W22" i="2" s="1"/>
  <c r="AB86" i="16"/>
  <c r="W28" i="2" s="1"/>
  <c r="AB72" i="16"/>
  <c r="W14" i="2" s="1"/>
  <c r="AB93" i="16"/>
  <c r="W35" i="2" s="1"/>
  <c r="AB65" i="16"/>
  <c r="W7" i="2" s="1"/>
  <c r="AB91" i="16"/>
  <c r="W33" i="2" s="1"/>
  <c r="AB90" i="16"/>
  <c r="W32" i="2" s="1"/>
  <c r="AC67" i="16"/>
  <c r="X9" i="2" s="1"/>
  <c r="AB99" i="16"/>
  <c r="W41" i="2" s="1"/>
  <c r="AB100" i="16"/>
  <c r="W42" i="2" s="1"/>
  <c r="AB94" i="16"/>
  <c r="W36" i="2" s="1"/>
  <c r="AB62" i="16"/>
  <c r="W4" i="2" s="1"/>
  <c r="AB98" i="16"/>
  <c r="W40" i="2" s="1"/>
  <c r="AB68" i="16"/>
  <c r="W10" i="2" s="1"/>
  <c r="AB61" i="16"/>
  <c r="W3" i="2" s="1"/>
  <c r="AB95" i="16"/>
  <c r="W37" i="2" s="1"/>
  <c r="AB87" i="16"/>
  <c r="W29" i="2" s="1"/>
  <c r="AC79" i="16"/>
  <c r="X21" i="2" s="1"/>
  <c r="AB64" i="16"/>
  <c r="W6" i="2" s="1"/>
  <c r="AC61" i="16"/>
  <c r="X3" i="2" s="1"/>
  <c r="AC90" i="16"/>
  <c r="X32" i="2" s="1"/>
  <c r="AC97" i="16"/>
  <c r="X39" i="2" s="1"/>
  <c r="AC70" i="16"/>
  <c r="X12" i="2" s="1"/>
  <c r="AC77" i="16"/>
  <c r="X19" i="2" s="1"/>
  <c r="AC87" i="16"/>
  <c r="X29" i="2" s="1"/>
  <c r="AD67" i="16"/>
  <c r="Y9" i="2" s="1"/>
  <c r="AC65" i="16"/>
  <c r="X7" i="2" s="1"/>
  <c r="AD89" i="16"/>
  <c r="Y31" i="2" s="1"/>
  <c r="AC81" i="16"/>
  <c r="X23" i="2" s="1"/>
  <c r="AC94" i="16"/>
  <c r="X36" i="2" s="1"/>
  <c r="AC72" i="16"/>
  <c r="X14" i="2" s="1"/>
  <c r="AC84" i="16"/>
  <c r="X26" i="2" s="1"/>
  <c r="AC101" i="16"/>
  <c r="X43" i="2" s="1"/>
  <c r="AC92" i="16"/>
  <c r="X34" i="2" s="1"/>
  <c r="AC64" i="16"/>
  <c r="X6" i="2" s="1"/>
  <c r="AC96" i="16"/>
  <c r="X38" i="2" s="1"/>
  <c r="AC91" i="16"/>
  <c r="X33" i="2" s="1"/>
  <c r="AC80" i="16"/>
  <c r="X22" i="2" s="1"/>
  <c r="AC76" i="16"/>
  <c r="X18" i="2" s="1"/>
  <c r="AC83" i="16"/>
  <c r="X25" i="2" s="1"/>
  <c r="AC95" i="16"/>
  <c r="X37" i="2" s="1"/>
  <c r="AC98" i="16"/>
  <c r="X40" i="2" s="1"/>
  <c r="AC66" i="16"/>
  <c r="X8" i="2" s="1"/>
  <c r="AC88" i="16"/>
  <c r="X30" i="2" s="1"/>
  <c r="AC73" i="16"/>
  <c r="X15" i="2" s="1"/>
  <c r="AC85" i="16"/>
  <c r="X27" i="2" s="1"/>
  <c r="AC99" i="16"/>
  <c r="X41" i="2" s="1"/>
  <c r="AC86" i="16"/>
  <c r="X28" i="2" s="1"/>
  <c r="AC78" i="16"/>
  <c r="X20" i="2" s="1"/>
  <c r="AC74" i="16"/>
  <c r="X16" i="2" s="1"/>
  <c r="AD79" i="16"/>
  <c r="Y21" i="2" s="1"/>
  <c r="AC68" i="16"/>
  <c r="X10" i="2" s="1"/>
  <c r="AC100" i="16"/>
  <c r="X42" i="2" s="1"/>
  <c r="AC60" i="16"/>
  <c r="X2" i="2" s="1"/>
  <c r="AC82" i="16"/>
  <c r="X24" i="2" s="1"/>
  <c r="AC63" i="16"/>
  <c r="X5" i="2" s="1"/>
  <c r="AC62" i="16"/>
  <c r="X4" i="2" s="1"/>
  <c r="AC93" i="16"/>
  <c r="X35" i="2" s="1"/>
  <c r="AD75" i="16"/>
  <c r="Y17" i="2" s="1"/>
  <c r="AC71" i="16"/>
  <c r="X13" i="2" s="1"/>
  <c r="AC69" i="16"/>
  <c r="X11" i="2" s="1"/>
  <c r="AD63" i="16"/>
  <c r="Y5" i="2" s="1"/>
  <c r="AD78" i="16"/>
  <c r="Y20" i="2" s="1"/>
  <c r="AD98" i="16"/>
  <c r="Y40" i="2" s="1"/>
  <c r="AD83" i="16"/>
  <c r="Y25" i="2" s="1"/>
  <c r="AD94" i="16"/>
  <c r="Y36" i="2" s="1"/>
  <c r="AD101" i="16"/>
  <c r="Y43" i="2" s="1"/>
  <c r="AD93" i="16"/>
  <c r="Y35" i="2" s="1"/>
  <c r="AD62" i="16"/>
  <c r="Y4" i="2" s="1"/>
  <c r="AD86" i="16"/>
  <c r="Y28" i="2" s="1"/>
  <c r="AD80" i="16"/>
  <c r="Y22" i="2" s="1"/>
  <c r="AE89" i="16"/>
  <c r="Z31" i="2" s="1"/>
  <c r="AD61" i="16"/>
  <c r="Y3" i="2" s="1"/>
  <c r="AD68" i="16"/>
  <c r="Y10" i="2" s="1"/>
  <c r="AD88" i="16"/>
  <c r="Y30" i="2" s="1"/>
  <c r="AD95" i="16"/>
  <c r="Y37" i="2" s="1"/>
  <c r="AD84" i="16"/>
  <c r="Y26" i="2" s="1"/>
  <c r="AD87" i="16"/>
  <c r="Y29" i="2" s="1"/>
  <c r="AD71" i="16"/>
  <c r="Y13" i="2" s="1"/>
  <c r="AD82" i="16"/>
  <c r="Y24" i="2" s="1"/>
  <c r="AD85" i="16"/>
  <c r="Y27" i="2" s="1"/>
  <c r="AD92" i="16"/>
  <c r="Y34" i="2" s="1"/>
  <c r="AD81" i="16"/>
  <c r="Y23" i="2" s="1"/>
  <c r="AD97" i="16"/>
  <c r="Y39" i="2" s="1"/>
  <c r="AD100" i="16"/>
  <c r="Y42" i="2" s="1"/>
  <c r="AD66" i="16"/>
  <c r="Y8" i="2" s="1"/>
  <c r="AD91" i="16"/>
  <c r="Y33" i="2" s="1"/>
  <c r="AD65" i="16"/>
  <c r="Y7" i="2" s="1"/>
  <c r="AE79" i="16"/>
  <c r="Z21" i="2" s="1"/>
  <c r="AE75" i="16"/>
  <c r="Z17" i="2" s="1"/>
  <c r="AD74" i="16"/>
  <c r="Y16" i="2" s="1"/>
  <c r="AD64" i="16"/>
  <c r="Y6" i="2" s="1"/>
  <c r="AD72" i="16"/>
  <c r="Y14" i="2" s="1"/>
  <c r="AD77" i="16"/>
  <c r="Y19" i="2" s="1"/>
  <c r="AD60" i="16"/>
  <c r="Y2" i="2" s="1"/>
  <c r="AD73" i="16"/>
  <c r="Y15" i="2" s="1"/>
  <c r="AD76" i="16"/>
  <c r="Y18" i="2" s="1"/>
  <c r="AD90" i="16"/>
  <c r="Y32" i="2" s="1"/>
  <c r="AD99" i="16"/>
  <c r="Y41" i="2" s="1"/>
  <c r="AD96" i="16"/>
  <c r="Y38" i="2" s="1"/>
  <c r="AD70" i="16"/>
  <c r="Y12" i="2" s="1"/>
  <c r="AE67" i="16"/>
  <c r="Z9" i="2" s="1"/>
  <c r="AD69" i="16"/>
  <c r="Y11" i="2" s="1"/>
  <c r="AE72" i="16"/>
  <c r="Z14" i="2" s="1"/>
  <c r="AF79" i="16"/>
  <c r="AA21" i="2" s="1"/>
  <c r="AE81" i="16"/>
  <c r="Z23" i="2" s="1"/>
  <c r="AE68" i="16"/>
  <c r="Z10" i="2" s="1"/>
  <c r="AE94" i="16"/>
  <c r="Z36" i="2" s="1"/>
  <c r="AE96" i="16"/>
  <c r="Z38" i="2" s="1"/>
  <c r="AE88" i="16"/>
  <c r="Z30" i="2" s="1"/>
  <c r="AE73" i="16"/>
  <c r="Z15" i="2" s="1"/>
  <c r="AE66" i="16"/>
  <c r="Z8" i="2" s="1"/>
  <c r="AE82" i="16"/>
  <c r="Z24" i="2" s="1"/>
  <c r="AE80" i="16"/>
  <c r="Z22" i="2" s="1"/>
  <c r="AE63" i="16"/>
  <c r="Z5" i="2" s="1"/>
  <c r="AE64" i="16"/>
  <c r="Z6" i="2" s="1"/>
  <c r="AE62" i="16"/>
  <c r="Z4" i="2" s="1"/>
  <c r="AE84" i="16"/>
  <c r="Z26" i="2" s="1"/>
  <c r="AE93" i="16"/>
  <c r="Z35" i="2" s="1"/>
  <c r="AF67" i="16"/>
  <c r="AA9" i="2" s="1"/>
  <c r="AE76" i="16"/>
  <c r="Z18" i="2" s="1"/>
  <c r="AE65" i="16"/>
  <c r="Z7" i="2" s="1"/>
  <c r="AE92" i="16"/>
  <c r="Z34" i="2" s="1"/>
  <c r="AE61" i="16"/>
  <c r="Z3" i="2" s="1"/>
  <c r="AE83" i="16"/>
  <c r="Z25" i="2" s="1"/>
  <c r="AE99" i="16"/>
  <c r="Z41" i="2" s="1"/>
  <c r="AE60" i="16"/>
  <c r="Z2" i="2" s="1"/>
  <c r="AE100" i="16"/>
  <c r="Z42" i="2" s="1"/>
  <c r="AE71" i="16"/>
  <c r="Z13" i="2" s="1"/>
  <c r="AE78" i="16"/>
  <c r="Z20" i="2" s="1"/>
  <c r="AE69" i="16"/>
  <c r="Z11" i="2" s="1"/>
  <c r="AE70" i="16"/>
  <c r="Z12" i="2" s="1"/>
  <c r="AE74" i="16"/>
  <c r="Z16" i="2" s="1"/>
  <c r="AE97" i="16"/>
  <c r="Z39" i="2" s="1"/>
  <c r="AE95" i="16"/>
  <c r="Z37" i="2" s="1"/>
  <c r="AE101" i="16"/>
  <c r="Z43" i="2" s="1"/>
  <c r="AE98" i="16"/>
  <c r="Z40" i="2" s="1"/>
  <c r="AE91" i="16"/>
  <c r="Z33" i="2" s="1"/>
  <c r="AE85" i="16"/>
  <c r="Z27" i="2" s="1"/>
  <c r="AF89" i="16"/>
  <c r="AA31" i="2" s="1"/>
  <c r="AE77" i="16"/>
  <c r="Z19" i="2" s="1"/>
  <c r="AF75" i="16"/>
  <c r="AA17" i="2" s="1"/>
  <c r="AE87" i="16"/>
  <c r="Z29" i="2" s="1"/>
  <c r="AE86" i="16"/>
  <c r="Z28" i="2" s="1"/>
  <c r="AE90" i="16"/>
  <c r="Z32" i="2" s="1"/>
  <c r="AF88" i="16"/>
  <c r="AA30" i="2" s="1"/>
  <c r="AF99" i="16"/>
  <c r="AA41" i="2" s="1"/>
  <c r="AF62" i="16"/>
  <c r="AA4" i="2" s="1"/>
  <c r="AF96" i="16"/>
  <c r="AA38" i="2" s="1"/>
  <c r="AF87" i="16"/>
  <c r="AA29" i="2" s="1"/>
  <c r="AF77" i="16"/>
  <c r="AA19" i="2" s="1"/>
  <c r="AF68" i="16"/>
  <c r="AA10" i="2" s="1"/>
  <c r="AF85" i="16"/>
  <c r="AA27" i="2" s="1"/>
  <c r="AF97" i="16"/>
  <c r="AA39" i="2" s="1"/>
  <c r="AF71" i="16"/>
  <c r="AA13" i="2" s="1"/>
  <c r="AF92" i="16"/>
  <c r="AA34" i="2" s="1"/>
  <c r="AF94" i="16"/>
  <c r="AA36" i="2" s="1"/>
  <c r="AF81" i="16"/>
  <c r="AA23" i="2" s="1"/>
  <c r="AF101" i="16"/>
  <c r="AA43" i="2" s="1"/>
  <c r="AF76" i="16"/>
  <c r="AA18" i="2" s="1"/>
  <c r="AF93" i="16"/>
  <c r="AA35" i="2" s="1"/>
  <c r="AF66" i="16"/>
  <c r="AA8" i="2" s="1"/>
  <c r="AG67" i="16"/>
  <c r="AB9" i="2" s="1"/>
  <c r="AG89" i="16"/>
  <c r="AB31" i="2" s="1"/>
  <c r="AF74" i="16"/>
  <c r="AA16" i="2" s="1"/>
  <c r="AF83" i="16"/>
  <c r="AA25" i="2" s="1"/>
  <c r="AF64" i="16"/>
  <c r="AA6" i="2" s="1"/>
  <c r="AF90" i="16"/>
  <c r="AA32" i="2" s="1"/>
  <c r="AF91" i="16"/>
  <c r="AA33" i="2" s="1"/>
  <c r="AF100" i="16"/>
  <c r="AA42" i="2" s="1"/>
  <c r="AF65" i="16"/>
  <c r="AA7" i="2" s="1"/>
  <c r="AF80" i="16"/>
  <c r="AA22" i="2" s="1"/>
  <c r="AG75" i="16"/>
  <c r="AB17" i="2" s="1"/>
  <c r="AF86" i="16"/>
  <c r="AA28" i="2" s="1"/>
  <c r="AF78" i="16"/>
  <c r="AA20" i="2" s="1"/>
  <c r="AF70" i="16"/>
  <c r="AA12" i="2" s="1"/>
  <c r="AF84" i="16"/>
  <c r="AA26" i="2" s="1"/>
  <c r="AF72" i="16"/>
  <c r="AA14" i="2" s="1"/>
  <c r="AF95" i="16"/>
  <c r="AA37" i="2" s="1"/>
  <c r="AF69" i="16"/>
  <c r="AA11" i="2" s="1"/>
  <c r="AF61" i="16"/>
  <c r="AA3" i="2" s="1"/>
  <c r="AF73" i="16"/>
  <c r="AA15" i="2" s="1"/>
  <c r="AF98" i="16"/>
  <c r="AA40" i="2" s="1"/>
  <c r="AF60" i="16"/>
  <c r="AA2" i="2" s="1"/>
  <c r="AF63" i="16"/>
  <c r="AA5" i="2" s="1"/>
  <c r="AF82" i="16"/>
  <c r="AA24" i="2" s="1"/>
  <c r="AG79" i="16"/>
  <c r="AB21" i="2" s="1"/>
  <c r="AG68" i="16"/>
  <c r="AB10" i="2" s="1"/>
  <c r="AH75" i="16"/>
  <c r="AC17" i="2" s="1"/>
  <c r="AG93" i="16"/>
  <c r="AB35" i="2" s="1"/>
  <c r="AG94" i="16"/>
  <c r="AB36" i="2" s="1"/>
  <c r="AG96" i="16"/>
  <c r="AB38" i="2" s="1"/>
  <c r="AG97" i="16"/>
  <c r="AB39" i="2" s="1"/>
  <c r="AG63" i="16"/>
  <c r="AB5" i="2" s="1"/>
  <c r="AG78" i="16"/>
  <c r="AB20" i="2" s="1"/>
  <c r="AG65" i="16"/>
  <c r="AB7" i="2" s="1"/>
  <c r="AG86" i="16"/>
  <c r="AB28" i="2" s="1"/>
  <c r="AG71" i="16"/>
  <c r="AB13" i="2" s="1"/>
  <c r="AH79" i="16"/>
  <c r="AC21" i="2" s="1"/>
  <c r="AG62" i="16"/>
  <c r="AB4" i="2" s="1"/>
  <c r="AG98" i="16"/>
  <c r="AB40" i="2" s="1"/>
  <c r="AG70" i="16"/>
  <c r="AB12" i="2" s="1"/>
  <c r="AG77" i="16"/>
  <c r="AB19" i="2" s="1"/>
  <c r="AG101" i="16"/>
  <c r="AB43" i="2" s="1"/>
  <c r="AH67" i="16"/>
  <c r="AC9" i="2" s="1"/>
  <c r="AG61" i="16"/>
  <c r="AB3" i="2" s="1"/>
  <c r="AG80" i="16"/>
  <c r="AB22" i="2" s="1"/>
  <c r="AG74" i="16"/>
  <c r="AB16" i="2" s="1"/>
  <c r="AG92" i="16"/>
  <c r="AB34" i="2" s="1"/>
  <c r="AG73" i="16"/>
  <c r="AB15" i="2" s="1"/>
  <c r="AG95" i="16"/>
  <c r="AB37" i="2" s="1"/>
  <c r="AG83" i="16"/>
  <c r="AB25" i="2" s="1"/>
  <c r="AG66" i="16"/>
  <c r="AB8" i="2" s="1"/>
  <c r="AG85" i="16"/>
  <c r="AB27" i="2" s="1"/>
  <c r="AG82" i="16"/>
  <c r="AB24" i="2" s="1"/>
  <c r="AG60" i="16"/>
  <c r="AB2" i="2" s="1"/>
  <c r="AG91" i="16"/>
  <c r="AB33" i="2" s="1"/>
  <c r="AG90" i="16"/>
  <c r="AB32" i="2" s="1"/>
  <c r="AG81" i="16"/>
  <c r="AB23" i="2" s="1"/>
  <c r="AG87" i="16"/>
  <c r="AB29" i="2" s="1"/>
  <c r="AG69" i="16"/>
  <c r="AB11" i="2" s="1"/>
  <c r="AG64" i="16"/>
  <c r="AB6" i="2" s="1"/>
  <c r="AH89" i="16"/>
  <c r="AC31" i="2" s="1"/>
  <c r="AG88" i="16"/>
  <c r="AB30" i="2" s="1"/>
  <c r="AG84" i="16"/>
  <c r="AB26" i="2" s="1"/>
  <c r="AG100" i="16"/>
  <c r="AB42" i="2" s="1"/>
  <c r="AG76" i="16"/>
  <c r="AB18" i="2" s="1"/>
  <c r="AG99" i="16"/>
  <c r="AB41" i="2" s="1"/>
  <c r="AG72" i="16"/>
  <c r="AB14" i="2" s="1"/>
  <c r="AI89" i="16"/>
  <c r="AD31" i="2" s="1"/>
  <c r="AH85" i="16"/>
  <c r="AC27" i="2" s="1"/>
  <c r="AH80" i="16"/>
  <c r="AC22" i="2" s="1"/>
  <c r="AI79" i="16"/>
  <c r="AD21" i="2" s="1"/>
  <c r="AH93" i="16"/>
  <c r="AC35" i="2" s="1"/>
  <c r="AH100" i="16"/>
  <c r="AC42" i="2" s="1"/>
  <c r="AH98" i="16"/>
  <c r="AC40" i="2" s="1"/>
  <c r="AI67" i="16"/>
  <c r="AD9" i="2" s="1"/>
  <c r="AH65" i="16"/>
  <c r="AC7" i="2" s="1"/>
  <c r="AH81" i="16"/>
  <c r="AC23" i="2" s="1"/>
  <c r="AH72" i="16"/>
  <c r="AC14" i="2" s="1"/>
  <c r="AH84" i="16"/>
  <c r="AC26" i="2" s="1"/>
  <c r="AH63" i="16"/>
  <c r="AC5" i="2" s="1"/>
  <c r="AH88" i="16"/>
  <c r="AC30" i="2" s="1"/>
  <c r="AH90" i="16"/>
  <c r="AC32" i="2" s="1"/>
  <c r="AH60" i="16"/>
  <c r="AC2" i="2" s="1"/>
  <c r="AH74" i="16"/>
  <c r="AC16" i="2" s="1"/>
  <c r="AH78" i="16"/>
  <c r="AC20" i="2" s="1"/>
  <c r="AH96" i="16"/>
  <c r="AC38" i="2" s="1"/>
  <c r="AI75" i="16"/>
  <c r="AD17" i="2" s="1"/>
  <c r="AH64" i="16"/>
  <c r="AC6" i="2" s="1"/>
  <c r="AH66" i="16"/>
  <c r="AC8" i="2" s="1"/>
  <c r="AH61" i="16"/>
  <c r="AC3" i="2" s="1"/>
  <c r="AH71" i="16"/>
  <c r="AC13" i="2" s="1"/>
  <c r="AH68" i="16"/>
  <c r="AC10" i="2" s="1"/>
  <c r="AH97" i="16"/>
  <c r="AC39" i="2" s="1"/>
  <c r="AH83" i="16"/>
  <c r="AC25" i="2" s="1"/>
  <c r="AH62" i="16"/>
  <c r="AC4" i="2" s="1"/>
  <c r="AH101" i="16"/>
  <c r="AC43" i="2" s="1"/>
  <c r="AH99" i="16"/>
  <c r="AC41" i="2" s="1"/>
  <c r="AH73" i="16"/>
  <c r="AC15" i="2" s="1"/>
  <c r="AH94" i="16"/>
  <c r="AC36" i="2" s="1"/>
  <c r="AH76" i="16"/>
  <c r="AC18" i="2" s="1"/>
  <c r="AH82" i="16"/>
  <c r="AC24" i="2" s="1"/>
  <c r="AH77" i="16"/>
  <c r="AC19" i="2" s="1"/>
  <c r="AH87" i="16"/>
  <c r="AC29" i="2" s="1"/>
  <c r="AH69" i="16"/>
  <c r="AC11" i="2" s="1"/>
  <c r="AH95" i="16"/>
  <c r="AC37" i="2" s="1"/>
  <c r="AH86" i="16"/>
  <c r="AC28" i="2" s="1"/>
  <c r="AH91" i="16"/>
  <c r="AC33" i="2" s="1"/>
  <c r="AH92" i="16"/>
  <c r="AC34" i="2" s="1"/>
  <c r="AH70" i="16"/>
  <c r="AC12" i="2" s="1"/>
  <c r="AI87" i="16"/>
  <c r="AD29" i="2" s="1"/>
  <c r="AI62" i="16"/>
  <c r="AD4" i="2" s="1"/>
  <c r="AI64" i="16"/>
  <c r="AD6" i="2" s="1"/>
  <c r="AI65" i="16"/>
  <c r="AD7" i="2" s="1"/>
  <c r="AI90" i="16"/>
  <c r="AD32" i="2" s="1"/>
  <c r="AI70" i="16"/>
  <c r="AD12" i="2" s="1"/>
  <c r="AJ67" i="16"/>
  <c r="AE9" i="2" s="1"/>
  <c r="AI69" i="16"/>
  <c r="AD11" i="2" s="1"/>
  <c r="AJ75" i="16"/>
  <c r="AE17" i="2" s="1"/>
  <c r="AI74" i="16"/>
  <c r="AD16" i="2" s="1"/>
  <c r="AI98" i="16"/>
  <c r="AD40" i="2" s="1"/>
  <c r="AI81" i="16"/>
  <c r="AD23" i="2" s="1"/>
  <c r="AI92" i="16"/>
  <c r="AD34" i="2" s="1"/>
  <c r="AI76" i="16"/>
  <c r="AD18" i="2" s="1"/>
  <c r="AI99" i="16"/>
  <c r="AD41" i="2" s="1"/>
  <c r="AI61" i="16"/>
  <c r="AD3" i="2" s="1"/>
  <c r="AI94" i="16"/>
  <c r="AD36" i="2" s="1"/>
  <c r="AI85" i="16"/>
  <c r="AD27" i="2" s="1"/>
  <c r="AI97" i="16"/>
  <c r="AD39" i="2" s="1"/>
  <c r="AI91" i="16"/>
  <c r="AD33" i="2" s="1"/>
  <c r="AI88" i="16"/>
  <c r="AD30" i="2" s="1"/>
  <c r="AI63" i="16"/>
  <c r="AD5" i="2" s="1"/>
  <c r="AI83" i="16"/>
  <c r="AD25" i="2" s="1"/>
  <c r="AI72" i="16"/>
  <c r="AD14" i="2" s="1"/>
  <c r="AJ79" i="16"/>
  <c r="AE21" i="2" s="1"/>
  <c r="AJ89" i="16"/>
  <c r="AE31" i="2" s="1"/>
  <c r="AI86" i="16"/>
  <c r="AD28" i="2" s="1"/>
  <c r="AI77" i="16"/>
  <c r="AD19" i="2" s="1"/>
  <c r="AI96" i="16"/>
  <c r="AD38" i="2" s="1"/>
  <c r="AI60" i="16"/>
  <c r="AD2" i="2" s="1"/>
  <c r="AI93" i="16"/>
  <c r="AD35" i="2" s="1"/>
  <c r="AI73" i="16"/>
  <c r="AD15" i="2" s="1"/>
  <c r="AI100" i="16"/>
  <c r="AD42" i="2" s="1"/>
  <c r="AI101" i="16"/>
  <c r="AD43" i="2" s="1"/>
  <c r="AI66" i="16"/>
  <c r="AD8" i="2" s="1"/>
  <c r="AI95" i="16"/>
  <c r="AD37" i="2" s="1"/>
  <c r="AI84" i="16"/>
  <c r="AD26" i="2" s="1"/>
  <c r="AI78" i="16"/>
  <c r="AD20" i="2" s="1"/>
  <c r="AI82" i="16"/>
  <c r="AD24" i="2" s="1"/>
  <c r="AI71" i="16"/>
  <c r="AD13" i="2" s="1"/>
  <c r="AI68" i="16"/>
  <c r="AD10" i="2" s="1"/>
  <c r="AI80" i="16"/>
  <c r="AD22" i="2" s="1"/>
  <c r="AJ76" i="16"/>
  <c r="AE18" i="2" s="1"/>
  <c r="AJ77" i="16"/>
  <c r="AE19" i="2" s="1"/>
  <c r="AJ66" i="16"/>
  <c r="AE8" i="2" s="1"/>
  <c r="AK75" i="16"/>
  <c r="AF17" i="2" s="1"/>
  <c r="AJ87" i="16"/>
  <c r="AE29" i="2" s="1"/>
  <c r="AJ82" i="16"/>
  <c r="AE24" i="2" s="1"/>
  <c r="AK79" i="16"/>
  <c r="AF21" i="2" s="1"/>
  <c r="AJ74" i="16"/>
  <c r="AE16" i="2" s="1"/>
  <c r="AJ96" i="16"/>
  <c r="AE38" i="2" s="1"/>
  <c r="AJ92" i="16"/>
  <c r="AE34" i="2" s="1"/>
  <c r="AJ99" i="16"/>
  <c r="AE41" i="2" s="1"/>
  <c r="AJ70" i="16"/>
  <c r="AE12" i="2" s="1"/>
  <c r="AJ80" i="16"/>
  <c r="AE22" i="2" s="1"/>
  <c r="AJ85" i="16"/>
  <c r="AE27" i="2" s="1"/>
  <c r="AJ93" i="16"/>
  <c r="AE35" i="2" s="1"/>
  <c r="AJ72" i="16"/>
  <c r="AE14" i="2" s="1"/>
  <c r="AJ98" i="16"/>
  <c r="AE40" i="2" s="1"/>
  <c r="AJ64" i="16"/>
  <c r="AE6" i="2" s="1"/>
  <c r="AJ78" i="16"/>
  <c r="AE20" i="2" s="1"/>
  <c r="AJ95" i="16"/>
  <c r="AE37" i="2" s="1"/>
  <c r="AJ88" i="16"/>
  <c r="AE30" i="2" s="1"/>
  <c r="AJ68" i="16"/>
  <c r="AE10" i="2" s="1"/>
  <c r="AJ84" i="16"/>
  <c r="AE26" i="2" s="1"/>
  <c r="AJ63" i="16"/>
  <c r="AE5" i="2" s="1"/>
  <c r="AJ94" i="16"/>
  <c r="AE36" i="2" s="1"/>
  <c r="AJ71" i="16"/>
  <c r="AE13" i="2" s="1"/>
  <c r="AJ61" i="16"/>
  <c r="AE3" i="2" s="1"/>
  <c r="AJ101" i="16"/>
  <c r="AE43" i="2" s="1"/>
  <c r="AJ100" i="16"/>
  <c r="AE42" i="2" s="1"/>
  <c r="AJ69" i="16"/>
  <c r="AE11" i="2" s="1"/>
  <c r="AJ90" i="16"/>
  <c r="AE32" i="2" s="1"/>
  <c r="AK67" i="16"/>
  <c r="AF9" i="2" s="1"/>
  <c r="AJ60" i="16"/>
  <c r="AE2" i="2" s="1"/>
  <c r="AJ83" i="16"/>
  <c r="AE25" i="2" s="1"/>
  <c r="AJ62" i="16"/>
  <c r="AE4" i="2" s="1"/>
  <c r="AJ81" i="16"/>
  <c r="AE23" i="2" s="1"/>
  <c r="AJ86" i="16"/>
  <c r="AE28" i="2" s="1"/>
  <c r="AJ73" i="16"/>
  <c r="AE15" i="2" s="1"/>
  <c r="AJ91" i="16"/>
  <c r="AE33" i="2" s="1"/>
  <c r="AK89" i="16"/>
  <c r="AF31" i="2" s="1"/>
  <c r="AJ97" i="16"/>
  <c r="AE39" i="2" s="1"/>
  <c r="AJ65" i="16"/>
  <c r="AE7" i="2" s="1"/>
  <c r="AK81" i="16"/>
  <c r="AF23" i="2" s="1"/>
  <c r="AK101" i="16"/>
  <c r="AF43" i="2" s="1"/>
  <c r="AK95" i="16"/>
  <c r="AF37" i="2" s="1"/>
  <c r="AK94" i="16"/>
  <c r="AF36" i="2" s="1"/>
  <c r="AK96" i="16"/>
  <c r="AF38" i="2" s="1"/>
  <c r="AK65" i="16"/>
  <c r="AF7" i="2" s="1"/>
  <c r="AK77" i="16"/>
  <c r="AF19" i="2" s="1"/>
  <c r="AK97" i="16"/>
  <c r="AF39" i="2" s="1"/>
  <c r="AK70" i="16"/>
  <c r="AF12" i="2" s="1"/>
  <c r="F20" i="16"/>
  <c r="G20" i="16" s="1"/>
  <c r="AK88" i="16"/>
  <c r="AF30" i="2" s="1"/>
  <c r="AK86" i="16"/>
  <c r="AF28" i="2" s="1"/>
  <c r="AK71" i="16"/>
  <c r="AF13" i="2" s="1"/>
  <c r="AK92" i="16"/>
  <c r="AF34" i="2" s="1"/>
  <c r="AK69" i="16"/>
  <c r="AF11" i="2" s="1"/>
  <c r="AK76" i="16"/>
  <c r="AF18" i="2" s="1"/>
  <c r="F34" i="16"/>
  <c r="G34" i="16" s="1"/>
  <c r="AK68" i="16"/>
  <c r="AF10" i="2" s="1"/>
  <c r="AK60" i="16"/>
  <c r="AF2" i="2" s="1"/>
  <c r="AK74" i="16"/>
  <c r="AF16" i="2" s="1"/>
  <c r="AK72" i="16"/>
  <c r="AF14" i="2" s="1"/>
  <c r="AK82" i="16"/>
  <c r="AF24" i="2" s="1"/>
  <c r="AK91" i="16"/>
  <c r="AF33" i="2" s="1"/>
  <c r="AK61" i="16"/>
  <c r="AF3" i="2" s="1"/>
  <c r="F24" i="16"/>
  <c r="G24" i="16" s="1"/>
  <c r="AK63" i="16"/>
  <c r="AF5" i="2" s="1"/>
  <c r="AK87" i="16"/>
  <c r="AF29" i="2" s="1"/>
  <c r="AK84" i="16"/>
  <c r="AF26" i="2" s="1"/>
  <c r="AK62" i="16"/>
  <c r="AF4" i="2" s="1"/>
  <c r="AK78" i="16"/>
  <c r="AF20" i="2" s="1"/>
  <c r="AK83" i="16"/>
  <c r="AF25" i="2" s="1"/>
  <c r="AK64" i="16"/>
  <c r="AF6" i="2" s="1"/>
  <c r="AK93" i="16"/>
  <c r="AF35" i="2" s="1"/>
  <c r="AK66" i="16"/>
  <c r="AF8" i="2" s="1"/>
  <c r="F12" i="16"/>
  <c r="G12" i="16" s="1"/>
  <c r="AK90" i="16"/>
  <c r="AF32" i="2" s="1"/>
  <c r="AK85" i="16"/>
  <c r="AF27" i="2" s="1"/>
  <c r="AK99" i="16"/>
  <c r="AF41" i="2" s="1"/>
  <c r="AK73" i="16"/>
  <c r="AF15" i="2" s="1"/>
  <c r="AK100" i="16"/>
  <c r="AF42" i="2" s="1"/>
  <c r="AK98" i="16"/>
  <c r="AF40" i="2" s="1"/>
  <c r="AK80" i="16"/>
  <c r="AF22" i="2" s="1"/>
  <c r="F35" i="16"/>
  <c r="G35" i="16" s="1"/>
  <c r="F28" i="16"/>
  <c r="G28" i="16" s="1"/>
  <c r="F27" i="16"/>
  <c r="G27" i="16" s="1"/>
  <c r="F41" i="16"/>
  <c r="G41" i="16" s="1"/>
  <c r="F10" i="16"/>
  <c r="G10" i="16" s="1"/>
  <c r="F43" i="16"/>
  <c r="G43" i="16" s="1"/>
  <c r="F6" i="16"/>
  <c r="G6" i="16" s="1"/>
  <c r="F30" i="16"/>
  <c r="G30" i="16" s="1"/>
  <c r="F25" i="16"/>
  <c r="G25" i="16" s="1"/>
  <c r="F22" i="16"/>
  <c r="G22" i="16" s="1"/>
  <c r="F33" i="16"/>
  <c r="G33" i="16" s="1"/>
  <c r="F5" i="16"/>
  <c r="G5" i="16" s="1"/>
  <c r="F38" i="16"/>
  <c r="G38" i="16" s="1"/>
  <c r="F23" i="16"/>
  <c r="G23" i="16" s="1"/>
  <c r="F15" i="16"/>
  <c r="G15" i="16" s="1"/>
  <c r="F45" i="16"/>
  <c r="G45" i="16" s="1"/>
  <c r="F44" i="16"/>
  <c r="G44" i="16" s="1"/>
  <c r="F46" i="16"/>
  <c r="G46" i="16" s="1"/>
  <c r="F7" i="16"/>
  <c r="G7" i="16" s="1"/>
  <c r="F9" i="16"/>
  <c r="G9" i="16" s="1"/>
  <c r="F8" i="16"/>
  <c r="G8" i="16" s="1"/>
  <c r="F16" i="16"/>
  <c r="G16" i="16" s="1"/>
  <c r="F39" i="16"/>
  <c r="G39" i="16" s="1"/>
  <c r="F36" i="16"/>
  <c r="G36" i="16" s="1"/>
  <c r="F21" i="16"/>
  <c r="G21" i="16" s="1"/>
  <c r="F18" i="16"/>
  <c r="G18" i="16" s="1"/>
  <c r="F14" i="16"/>
  <c r="G14" i="16" s="1"/>
  <c r="F42" i="16"/>
  <c r="G42" i="16" s="1"/>
  <c r="F31" i="16"/>
  <c r="G31" i="16" s="1"/>
  <c r="F17" i="16"/>
  <c r="G17" i="16" s="1"/>
  <c r="F40" i="16"/>
  <c r="G40" i="16" s="1"/>
  <c r="F13" i="16"/>
  <c r="G13" i="16" s="1"/>
  <c r="F11" i="16"/>
  <c r="G11" i="16" s="1"/>
  <c r="F37" i="16"/>
  <c r="G37" i="16" s="1"/>
  <c r="F26" i="16"/>
  <c r="G26" i="16" s="1"/>
  <c r="F29" i="16"/>
  <c r="G29" i="16" s="1"/>
  <c r="F32" i="16"/>
  <c r="G32" i="16" s="1"/>
  <c r="F19" i="16"/>
  <c r="G19" i="16" s="1"/>
  <c r="G48" i="16" l="1"/>
  <c r="D56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<sst xmlns="http://schemas.openxmlformats.org/spreadsheetml/2006/main" count="1564" uniqueCount="858">
  <si>
    <t>Source:</t>
  </si>
  <si>
    <t>OECD</t>
  </si>
  <si>
    <t>Notes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</si>
  <si>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</si>
  <si>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</si>
  <si>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</si>
  <si>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</si>
  <si>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</si>
  <si>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</si>
  <si>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</si>
  <si>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</si>
  <si>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</si>
  <si>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</si>
  <si>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</si>
  <si>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</si>
  <si>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</si>
  <si>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</si>
  <si>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</si>
  <si>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</si>
  <si>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</si>
  <si>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</si>
  <si>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</si>
  <si>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</si>
  <si>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</si>
  <si>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</si>
  <si>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</si>
  <si>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</si>
  <si>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</si>
  <si>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</si>
  <si>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</si>
  <si>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</si>
  <si>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</si>
  <si>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</si>
  <si>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</si>
  <si>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USD</t>
  </si>
  <si>
    <t>Output</t>
  </si>
  <si>
    <t>ISIC 20</t>
  </si>
  <si>
    <t>ISIC 21</t>
  </si>
  <si>
    <t>U.S. Bureau of Labor Statistics</t>
  </si>
  <si>
    <t>Value Added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</si>
  <si>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</si>
  <si>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</si>
  <si>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</si>
  <si>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</si>
  <si>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</si>
  <si>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</si>
  <si>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</si>
  <si>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</si>
  <si>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</si>
  <si>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Table 2.7 Employment and Output by Industry</t>
  </si>
  <si>
    <t>Industry</t>
  </si>
  <si>
    <t xml:space="preserve"> 2017 NAICS</t>
  </si>
  <si>
    <t>Employment</t>
  </si>
  <si>
    <t>Thousands of Jobs</t>
  </si>
  <si>
    <t>Change</t>
  </si>
  <si>
    <t>Compound Annual Rate of Change</t>
  </si>
  <si>
    <t>Billions of Chained 2012 Dollars</t>
  </si>
  <si>
    <t>2009 - 2019</t>
  </si>
  <si>
    <t>2019 - 2029</t>
  </si>
  <si>
    <r>
      <t>Total</t>
    </r>
    <r>
      <rPr>
        <b/>
        <vertAlign val="superscript"/>
        <sz val="10"/>
        <rFont val="Arial"/>
        <family val="2"/>
      </rPr>
      <t>(1)(2)</t>
    </r>
  </si>
  <si>
    <t xml:space="preserve">  </t>
  </si>
  <si>
    <t xml:space="preserve">Nonagriculture wage and salary </t>
  </si>
  <si>
    <t xml:space="preserve">NA </t>
  </si>
  <si>
    <t xml:space="preserve">Mining </t>
  </si>
  <si>
    <t xml:space="preserve">21 </t>
  </si>
  <si>
    <t xml:space="preserve">Oil and gas extraction </t>
  </si>
  <si>
    <t xml:space="preserve">211 </t>
  </si>
  <si>
    <t xml:space="preserve">Mining, except oil and gas </t>
  </si>
  <si>
    <t xml:space="preserve">212 </t>
  </si>
  <si>
    <t xml:space="preserve">Coal mining </t>
  </si>
  <si>
    <t xml:space="preserve">2121 </t>
  </si>
  <si>
    <t xml:space="preserve">Metal ore mining </t>
  </si>
  <si>
    <t xml:space="preserve">2122 </t>
  </si>
  <si>
    <t xml:space="preserve">Nonmetallic mineral mining and quarrying </t>
  </si>
  <si>
    <t xml:space="preserve">2123 </t>
  </si>
  <si>
    <t xml:space="preserve">Support activities for mining </t>
  </si>
  <si>
    <t xml:space="preserve">213 </t>
  </si>
  <si>
    <t xml:space="preserve">Utilities </t>
  </si>
  <si>
    <t xml:space="preserve">22 </t>
  </si>
  <si>
    <t xml:space="preserve">Electric power generation, transmission and distribution </t>
  </si>
  <si>
    <t xml:space="preserve">2211 </t>
  </si>
  <si>
    <t xml:space="preserve">Natural gas distribution </t>
  </si>
  <si>
    <t xml:space="preserve">2212 </t>
  </si>
  <si>
    <t xml:space="preserve">Water, sewage and other systems </t>
  </si>
  <si>
    <t xml:space="preserve">2213 </t>
  </si>
  <si>
    <t xml:space="preserve">Construction </t>
  </si>
  <si>
    <t xml:space="preserve">23 </t>
  </si>
  <si>
    <t xml:space="preserve">Manufacturing </t>
  </si>
  <si>
    <t xml:space="preserve">31-33 </t>
  </si>
  <si>
    <t xml:space="preserve">Food manufacturing </t>
  </si>
  <si>
    <t xml:space="preserve">311 </t>
  </si>
  <si>
    <t xml:space="preserve">Animal food manufacturing </t>
  </si>
  <si>
    <t xml:space="preserve">3111 </t>
  </si>
  <si>
    <t xml:space="preserve">Grain and oilseed milling </t>
  </si>
  <si>
    <t xml:space="preserve">3112 </t>
  </si>
  <si>
    <t xml:space="preserve">Sugar and confectionery product manufacturing </t>
  </si>
  <si>
    <t xml:space="preserve">3113 </t>
  </si>
  <si>
    <t xml:space="preserve">Fruit and vegetable preserving and specialty food manufacturing </t>
  </si>
  <si>
    <t xml:space="preserve">3114 </t>
  </si>
  <si>
    <t xml:space="preserve">Dairy product manufacturing </t>
  </si>
  <si>
    <t xml:space="preserve">3115 </t>
  </si>
  <si>
    <t xml:space="preserve">Animal slaughtering and processing </t>
  </si>
  <si>
    <t xml:space="preserve">3116 </t>
  </si>
  <si>
    <t xml:space="preserve">Seafood product preparation and packaging </t>
  </si>
  <si>
    <t xml:space="preserve">3117 </t>
  </si>
  <si>
    <t xml:space="preserve">Bakeries and tortilla manufacturing </t>
  </si>
  <si>
    <t xml:space="preserve">3118 </t>
  </si>
  <si>
    <t xml:space="preserve">Other food manufacturing </t>
  </si>
  <si>
    <t xml:space="preserve">3119 </t>
  </si>
  <si>
    <t xml:space="preserve">Beverage and tobacco product </t>
  </si>
  <si>
    <t xml:space="preserve">312 </t>
  </si>
  <si>
    <t xml:space="preserve">Beverage manufacturing </t>
  </si>
  <si>
    <t xml:space="preserve">3121 </t>
  </si>
  <si>
    <t xml:space="preserve">Tobacco manufacturing </t>
  </si>
  <si>
    <t xml:space="preserve">3122 </t>
  </si>
  <si>
    <t xml:space="preserve">Textile mills and textile product mills </t>
  </si>
  <si>
    <t xml:space="preserve">313,314 </t>
  </si>
  <si>
    <t xml:space="preserve">Apparel, leather and allied product manufacturing </t>
  </si>
  <si>
    <t xml:space="preserve">315, 316 </t>
  </si>
  <si>
    <t xml:space="preserve">Wood product manufacturing </t>
  </si>
  <si>
    <t xml:space="preserve">321 </t>
  </si>
  <si>
    <t xml:space="preserve">Sawmills and wood preservation </t>
  </si>
  <si>
    <t xml:space="preserve">3211 </t>
  </si>
  <si>
    <t xml:space="preserve">Veneer, plywood, and engineered wood product manufacturing </t>
  </si>
  <si>
    <t xml:space="preserve">3212 </t>
  </si>
  <si>
    <t>Other wood product manufacturing</t>
  </si>
  <si>
    <t xml:space="preserve">3219 </t>
  </si>
  <si>
    <t xml:space="preserve">Paper manufacturing </t>
  </si>
  <si>
    <t xml:space="preserve">322 </t>
  </si>
  <si>
    <t xml:space="preserve">Pulp, paper, and paperboard mills </t>
  </si>
  <si>
    <t xml:space="preserve">3221 </t>
  </si>
  <si>
    <t xml:space="preserve">Converted paper product manufacturing </t>
  </si>
  <si>
    <t xml:space="preserve">3222 </t>
  </si>
  <si>
    <t xml:space="preserve">Printing and related support activities </t>
  </si>
  <si>
    <t xml:space="preserve">323 </t>
  </si>
  <si>
    <t xml:space="preserve">Petroleum and coal products manufacturing </t>
  </si>
  <si>
    <t xml:space="preserve">324 </t>
  </si>
  <si>
    <t xml:space="preserve">Chemical manufacturing </t>
  </si>
  <si>
    <t xml:space="preserve">325 </t>
  </si>
  <si>
    <t xml:space="preserve">Basic chemical manufacturing </t>
  </si>
  <si>
    <t xml:space="preserve">3251 </t>
  </si>
  <si>
    <t xml:space="preserve">Resin, synthetic rubber, and artificial synthetic fibers and filaments manufacturing </t>
  </si>
  <si>
    <t xml:space="preserve">3252 </t>
  </si>
  <si>
    <t xml:space="preserve">Pesticide, fertilizer, and other agricultural chemical manufacturing </t>
  </si>
  <si>
    <t xml:space="preserve">3253 </t>
  </si>
  <si>
    <t xml:space="preserve">Pharmaceutical and medicine manufacturing </t>
  </si>
  <si>
    <t xml:space="preserve">3254 </t>
  </si>
  <si>
    <t xml:space="preserve">Paint, coating, and adhesive manufacturing </t>
  </si>
  <si>
    <t xml:space="preserve">3255 </t>
  </si>
  <si>
    <t xml:space="preserve">Soap, cleaning compound, and toilet preparation manufacturing </t>
  </si>
  <si>
    <t xml:space="preserve">3256 </t>
  </si>
  <si>
    <t xml:space="preserve">Other chemical product and preparation manufacturing </t>
  </si>
  <si>
    <t xml:space="preserve">3259 </t>
  </si>
  <si>
    <t xml:space="preserve">Plastics and rubber products manufacturing </t>
  </si>
  <si>
    <t xml:space="preserve">326 </t>
  </si>
  <si>
    <t xml:space="preserve">Plastics product manufacturing </t>
  </si>
  <si>
    <t xml:space="preserve">3261 </t>
  </si>
  <si>
    <t xml:space="preserve">Rubber product manufacturing </t>
  </si>
  <si>
    <t xml:space="preserve">3262 </t>
  </si>
  <si>
    <t xml:space="preserve">Nonmetallic mineral product manufacturing </t>
  </si>
  <si>
    <t xml:space="preserve">327 </t>
  </si>
  <si>
    <t xml:space="preserve">Clay product and refractory manufacturing </t>
  </si>
  <si>
    <t xml:space="preserve">3271 </t>
  </si>
  <si>
    <t xml:space="preserve">Glass and glass product manufacturing </t>
  </si>
  <si>
    <t xml:space="preserve">3272 </t>
  </si>
  <si>
    <t xml:space="preserve">Cement and concrete product manufacturing </t>
  </si>
  <si>
    <t xml:space="preserve">3273 </t>
  </si>
  <si>
    <t xml:space="preserve">Lime, gypsum and other nonmetallic mineral product manufacturing </t>
  </si>
  <si>
    <t xml:space="preserve">3274, 3279 </t>
  </si>
  <si>
    <t xml:space="preserve">Primary metal manufacturing </t>
  </si>
  <si>
    <t xml:space="preserve">331 </t>
  </si>
  <si>
    <t xml:space="preserve">Iron and steel mills and ferroalloy manufacturing </t>
  </si>
  <si>
    <t xml:space="preserve">3311 </t>
  </si>
  <si>
    <t xml:space="preserve">Steel product manufacturing from purchased steel </t>
  </si>
  <si>
    <t xml:space="preserve">3312 </t>
  </si>
  <si>
    <t xml:space="preserve">Alumina and aluminum production and processing </t>
  </si>
  <si>
    <t xml:space="preserve">3313 </t>
  </si>
  <si>
    <t xml:space="preserve">Nonferrous metal (except aluminum) production and processing </t>
  </si>
  <si>
    <t xml:space="preserve">3314 </t>
  </si>
  <si>
    <t xml:space="preserve">Foundries </t>
  </si>
  <si>
    <t xml:space="preserve">3315 </t>
  </si>
  <si>
    <t xml:space="preserve">Fabricated metal product manufacturing </t>
  </si>
  <si>
    <t xml:space="preserve">332 </t>
  </si>
  <si>
    <t xml:space="preserve">Forging and stamping </t>
  </si>
  <si>
    <t xml:space="preserve">3321 </t>
  </si>
  <si>
    <t xml:space="preserve">Cutlery and handtool manufacturing </t>
  </si>
  <si>
    <t xml:space="preserve">3322 </t>
  </si>
  <si>
    <t xml:space="preserve">Architectural and structural metals manufacturing </t>
  </si>
  <si>
    <t xml:space="preserve">3323 </t>
  </si>
  <si>
    <t xml:space="preserve">Boiler, tank, and shipping container manufacturing </t>
  </si>
  <si>
    <t xml:space="preserve">3324 </t>
  </si>
  <si>
    <t xml:space="preserve">Hardware manufacturing </t>
  </si>
  <si>
    <t xml:space="preserve">3325 </t>
  </si>
  <si>
    <t xml:space="preserve">Spring and wire product manufacturing </t>
  </si>
  <si>
    <t xml:space="preserve">3326 </t>
  </si>
  <si>
    <t xml:space="preserve">Machine shops; turned product; and screw, nut, and bolt manufacturing </t>
  </si>
  <si>
    <t xml:space="preserve">3327 </t>
  </si>
  <si>
    <t xml:space="preserve">Coating, engraving, heat treating, and allied activities </t>
  </si>
  <si>
    <t xml:space="preserve">3328 </t>
  </si>
  <si>
    <t xml:space="preserve">Other fabricated metal product manufacturing </t>
  </si>
  <si>
    <t xml:space="preserve">3329 </t>
  </si>
  <si>
    <t xml:space="preserve">Machinery manufacturing </t>
  </si>
  <si>
    <t xml:space="preserve">333 </t>
  </si>
  <si>
    <t xml:space="preserve">Agriculture, construction, and mining machinery manufacturing </t>
  </si>
  <si>
    <t xml:space="preserve">3331 </t>
  </si>
  <si>
    <t xml:space="preserve">Industrial machinery manufacturing </t>
  </si>
  <si>
    <t xml:space="preserve">3332 </t>
  </si>
  <si>
    <t xml:space="preserve">Commercial and service industry machinery manufacturing, including digital camera manufacturing </t>
  </si>
  <si>
    <t xml:space="preserve">3333 </t>
  </si>
  <si>
    <t xml:space="preserve">Ventilation, heating, air-conditioning, and commercial refrigeration equipment manufacturing </t>
  </si>
  <si>
    <t xml:space="preserve">3334 </t>
  </si>
  <si>
    <t xml:space="preserve">Metalworking machinery manufacturing </t>
  </si>
  <si>
    <t xml:space="preserve">3335 </t>
  </si>
  <si>
    <t xml:space="preserve">Engine, turbine, and power transmission equipment manufacturing </t>
  </si>
  <si>
    <t xml:space="preserve">3336 </t>
  </si>
  <si>
    <t xml:space="preserve">Other general purpose machinery manufacturing </t>
  </si>
  <si>
    <t xml:space="preserve">3339 </t>
  </si>
  <si>
    <t xml:space="preserve">Computer and electronic product manufacturing </t>
  </si>
  <si>
    <t xml:space="preserve">334 </t>
  </si>
  <si>
    <t xml:space="preserve">Computer and peripheral equipment manufacturing, excluding digital camera manufacturing </t>
  </si>
  <si>
    <t xml:space="preserve">3341 </t>
  </si>
  <si>
    <t xml:space="preserve">Communications equipment manufacturing </t>
  </si>
  <si>
    <t xml:space="preserve">3342 </t>
  </si>
  <si>
    <t xml:space="preserve">Audio and video equipment manufacturing </t>
  </si>
  <si>
    <t xml:space="preserve">3343 </t>
  </si>
  <si>
    <t xml:space="preserve">Semiconductor and other electronic component manufacturing </t>
  </si>
  <si>
    <t xml:space="preserve">3344 </t>
  </si>
  <si>
    <t xml:space="preserve">Navigational, measuring, electromedical, and control instruments manufacturing </t>
  </si>
  <si>
    <t xml:space="preserve">3345 </t>
  </si>
  <si>
    <t xml:space="preserve">Manufacturing and reproducing magnetic and optical media </t>
  </si>
  <si>
    <t xml:space="preserve">3346 </t>
  </si>
  <si>
    <t xml:space="preserve">Electrical equipment, appliance, and component manufacturing </t>
  </si>
  <si>
    <t xml:space="preserve">335 </t>
  </si>
  <si>
    <t xml:space="preserve">Electric lighting equipment manufacturing </t>
  </si>
  <si>
    <t xml:space="preserve">3351 </t>
  </si>
  <si>
    <t xml:space="preserve">Household appliance manufacturing </t>
  </si>
  <si>
    <t xml:space="preserve">3352 </t>
  </si>
  <si>
    <t xml:space="preserve">Electrical equipment manufacturing </t>
  </si>
  <si>
    <t xml:space="preserve">3353 </t>
  </si>
  <si>
    <t xml:space="preserve">Other electrical equipment and component manufacturing </t>
  </si>
  <si>
    <t xml:space="preserve">3359 </t>
  </si>
  <si>
    <t xml:space="preserve">Transportation equipment manufacturing </t>
  </si>
  <si>
    <t xml:space="preserve">336 </t>
  </si>
  <si>
    <t xml:space="preserve">Motor vehicle manufacturing </t>
  </si>
  <si>
    <t xml:space="preserve">3361 </t>
  </si>
  <si>
    <t xml:space="preserve">Motor vehicle body and trailer manufacturing </t>
  </si>
  <si>
    <t xml:space="preserve">3362 </t>
  </si>
  <si>
    <t xml:space="preserve">Motor vehicle parts manufacturing </t>
  </si>
  <si>
    <t xml:space="preserve">3363 </t>
  </si>
  <si>
    <t xml:space="preserve">Aerospace product and parts manufacturing </t>
  </si>
  <si>
    <t xml:space="preserve">3364 </t>
  </si>
  <si>
    <t xml:space="preserve">Railroad rolling stock manufacturing </t>
  </si>
  <si>
    <t xml:space="preserve">3365 </t>
  </si>
  <si>
    <t xml:space="preserve">Ship and boat building </t>
  </si>
  <si>
    <t xml:space="preserve">3366 </t>
  </si>
  <si>
    <t xml:space="preserve">Other transportation equipment manufacturing </t>
  </si>
  <si>
    <t xml:space="preserve">3369 </t>
  </si>
  <si>
    <t xml:space="preserve">Furniture and related product manufacturing </t>
  </si>
  <si>
    <t xml:space="preserve">337 </t>
  </si>
  <si>
    <t>Household and institutional furniture and kitchen cabinet manufacturing</t>
  </si>
  <si>
    <t xml:space="preserve">3371 </t>
  </si>
  <si>
    <t xml:space="preserve">Office furniture (including fixtures) manufacturing </t>
  </si>
  <si>
    <t xml:space="preserve">3372 </t>
  </si>
  <si>
    <t xml:space="preserve">Other furniture related product manufacturing </t>
  </si>
  <si>
    <t xml:space="preserve">3379 </t>
  </si>
  <si>
    <t xml:space="preserve">Miscellaneous manufacturing </t>
  </si>
  <si>
    <t xml:space="preserve">339 </t>
  </si>
  <si>
    <t xml:space="preserve">Medical equipment and supplies manufacturing </t>
  </si>
  <si>
    <t xml:space="preserve">3391 </t>
  </si>
  <si>
    <t xml:space="preserve">Other miscellaneous manufacturing </t>
  </si>
  <si>
    <t xml:space="preserve">3399 </t>
  </si>
  <si>
    <t xml:space="preserve">Wholesale trade </t>
  </si>
  <si>
    <t xml:space="preserve">42 </t>
  </si>
  <si>
    <t xml:space="preserve">Retail trade </t>
  </si>
  <si>
    <t xml:space="preserve">44, 45 </t>
  </si>
  <si>
    <t xml:space="preserve">Motor vehicle and parts dealers </t>
  </si>
  <si>
    <t xml:space="preserve">441 </t>
  </si>
  <si>
    <t xml:space="preserve">Food and beverage stores </t>
  </si>
  <si>
    <t xml:space="preserve">445 </t>
  </si>
  <si>
    <t xml:space="preserve">General Merchandise stores </t>
  </si>
  <si>
    <t xml:space="preserve">452 </t>
  </si>
  <si>
    <t xml:space="preserve">All other retail </t>
  </si>
  <si>
    <t xml:space="preserve">442-4, 446-8, 451, 453-4 </t>
  </si>
  <si>
    <t xml:space="preserve">Transportation and warehousing </t>
  </si>
  <si>
    <t xml:space="preserve">48, 492, 493 </t>
  </si>
  <si>
    <t xml:space="preserve">Air transportation </t>
  </si>
  <si>
    <t xml:space="preserve">481 </t>
  </si>
  <si>
    <t xml:space="preserve">Rail transportation </t>
  </si>
  <si>
    <t xml:space="preserve">482 </t>
  </si>
  <si>
    <t xml:space="preserve">Water transportation </t>
  </si>
  <si>
    <t xml:space="preserve">483 </t>
  </si>
  <si>
    <t xml:space="preserve">Truck transportation </t>
  </si>
  <si>
    <t xml:space="preserve">484 </t>
  </si>
  <si>
    <t xml:space="preserve">Transit and ground passenger transportation </t>
  </si>
  <si>
    <t xml:space="preserve">485 </t>
  </si>
  <si>
    <t xml:space="preserve">Pipeline transportation </t>
  </si>
  <si>
    <t xml:space="preserve">486 </t>
  </si>
  <si>
    <t xml:space="preserve">Scenic and sightseeing transportation and support activities for transportation </t>
  </si>
  <si>
    <t xml:space="preserve">487,488 </t>
  </si>
  <si>
    <t xml:space="preserve">Postal Service </t>
  </si>
  <si>
    <t xml:space="preserve">491 </t>
  </si>
  <si>
    <t xml:space="preserve">Couriers and messengers </t>
  </si>
  <si>
    <t xml:space="preserve">492 </t>
  </si>
  <si>
    <t xml:space="preserve">Warehousing and storage </t>
  </si>
  <si>
    <t xml:space="preserve">493 </t>
  </si>
  <si>
    <t xml:space="preserve">Information </t>
  </si>
  <si>
    <t xml:space="preserve">51 </t>
  </si>
  <si>
    <t xml:space="preserve">Publishing industries </t>
  </si>
  <si>
    <t xml:space="preserve">511 </t>
  </si>
  <si>
    <t xml:space="preserve">Newspaper, periodical, book, and directory publishers </t>
  </si>
  <si>
    <t xml:space="preserve">5111 </t>
  </si>
  <si>
    <t xml:space="preserve">Software publishers </t>
  </si>
  <si>
    <t xml:space="preserve">5112 </t>
  </si>
  <si>
    <t xml:space="preserve">Motion picture, video, and sound recording industries </t>
  </si>
  <si>
    <t xml:space="preserve">512 </t>
  </si>
  <si>
    <t xml:space="preserve">Broadcasting (except Internet) </t>
  </si>
  <si>
    <t xml:space="preserve">515 </t>
  </si>
  <si>
    <t xml:space="preserve">Radio and television broadcasting </t>
  </si>
  <si>
    <t xml:space="preserve">5151 </t>
  </si>
  <si>
    <t xml:space="preserve">Cable and other subscription programming </t>
  </si>
  <si>
    <t xml:space="preserve">5152 </t>
  </si>
  <si>
    <t xml:space="preserve">Telecommunications </t>
  </si>
  <si>
    <t xml:space="preserve">517 </t>
  </si>
  <si>
    <t xml:space="preserve">. </t>
  </si>
  <si>
    <t xml:space="preserve">Wired telecommunications carriers </t>
  </si>
  <si>
    <t xml:space="preserve">5171 </t>
  </si>
  <si>
    <t xml:space="preserve">Wireless telecommunications carriers (except satellite) </t>
  </si>
  <si>
    <t xml:space="preserve">5172 </t>
  </si>
  <si>
    <t xml:space="preserve">Satellite, telecommunications resellers, and all other telecommunications </t>
  </si>
  <si>
    <t xml:space="preserve">5174, 5179 </t>
  </si>
  <si>
    <t xml:space="preserve">Data processing, hosting, and related services </t>
  </si>
  <si>
    <t xml:space="preserve">518 </t>
  </si>
  <si>
    <t xml:space="preserve">Other information services </t>
  </si>
  <si>
    <t xml:space="preserve">519 </t>
  </si>
  <si>
    <t xml:space="preserve">Finance and insurance </t>
  </si>
  <si>
    <t xml:space="preserve">52 </t>
  </si>
  <si>
    <t xml:space="preserve">Monetary authorities, credit intermediation, and related activities </t>
  </si>
  <si>
    <t xml:space="preserve">521, 522 </t>
  </si>
  <si>
    <t xml:space="preserve">Securities, commodity contracts, funds, trusts and other financial investments and related activities </t>
  </si>
  <si>
    <t xml:space="preserve">523, 525 </t>
  </si>
  <si>
    <t xml:space="preserve">Insurance carriers and related activities </t>
  </si>
  <si>
    <t xml:space="preserve">524 </t>
  </si>
  <si>
    <t xml:space="preserve">Insurance carriers </t>
  </si>
  <si>
    <t xml:space="preserve">5241 </t>
  </si>
  <si>
    <t xml:space="preserve">Agencies, brokerages, and other insurance related activities </t>
  </si>
  <si>
    <t xml:space="preserve">5242 </t>
  </si>
  <si>
    <t xml:space="preserve">Real estate, rental, and leasing </t>
  </si>
  <si>
    <t xml:space="preserve">53 </t>
  </si>
  <si>
    <t xml:space="preserve">Real estate </t>
  </si>
  <si>
    <t xml:space="preserve">531 </t>
  </si>
  <si>
    <t xml:space="preserve">Rental and leasing services and lessors of intangible assets </t>
  </si>
  <si>
    <t xml:space="preserve">532,533 </t>
  </si>
  <si>
    <t xml:space="preserve">Automotive equipment rental and leasing </t>
  </si>
  <si>
    <t xml:space="preserve">5321 </t>
  </si>
  <si>
    <t xml:space="preserve">Consumer goods rental and general rental centers </t>
  </si>
  <si>
    <t xml:space="preserve">5322, 5323 </t>
  </si>
  <si>
    <t xml:space="preserve">Commercial and industrial machinery and equipment rental and leasing </t>
  </si>
  <si>
    <t xml:space="preserve">5324 </t>
  </si>
  <si>
    <t xml:space="preserve">Lessors of nonfinancial intangible assets (except copyrighted works) </t>
  </si>
  <si>
    <t xml:space="preserve">533 </t>
  </si>
  <si>
    <t xml:space="preserve">Professional, scientific, and technical services </t>
  </si>
  <si>
    <t xml:space="preserve">54 </t>
  </si>
  <si>
    <t xml:space="preserve">Legal services </t>
  </si>
  <si>
    <t xml:space="preserve">5411 </t>
  </si>
  <si>
    <t xml:space="preserve">Accounting, tax preparation, bookkeeping, and payroll services </t>
  </si>
  <si>
    <t xml:space="preserve">5412 </t>
  </si>
  <si>
    <t xml:space="preserve">Architectural, engineering, and related services </t>
  </si>
  <si>
    <t xml:space="preserve">5413 </t>
  </si>
  <si>
    <t xml:space="preserve">Specialized design services </t>
  </si>
  <si>
    <t xml:space="preserve">5414 </t>
  </si>
  <si>
    <t xml:space="preserve">Computer systems design and related services </t>
  </si>
  <si>
    <t xml:space="preserve">5415 </t>
  </si>
  <si>
    <t xml:space="preserve">Management, scientific, and technical consulting services </t>
  </si>
  <si>
    <t xml:space="preserve">5416 </t>
  </si>
  <si>
    <t xml:space="preserve">Scientific research and development services </t>
  </si>
  <si>
    <t xml:space="preserve">5417 </t>
  </si>
  <si>
    <t xml:space="preserve">Advertising and related services </t>
  </si>
  <si>
    <t xml:space="preserve">5418 </t>
  </si>
  <si>
    <t xml:space="preserve">Other professional, scientific, and technical services </t>
  </si>
  <si>
    <t xml:space="preserve">5419 </t>
  </si>
  <si>
    <t xml:space="preserve">Management of companies and enterprises </t>
  </si>
  <si>
    <t xml:space="preserve">55 </t>
  </si>
  <si>
    <t xml:space="preserve">Administrative and support and waste management and remediation services </t>
  </si>
  <si>
    <t xml:space="preserve">56 </t>
  </si>
  <si>
    <t xml:space="preserve">Administrative and support services </t>
  </si>
  <si>
    <t xml:space="preserve">561 </t>
  </si>
  <si>
    <t xml:space="preserve">Office administrative services </t>
  </si>
  <si>
    <t xml:space="preserve">5611 </t>
  </si>
  <si>
    <t xml:space="preserve">Facilities support services </t>
  </si>
  <si>
    <t xml:space="preserve">5612 </t>
  </si>
  <si>
    <t xml:space="preserve">Employment services </t>
  </si>
  <si>
    <t xml:space="preserve">5613 </t>
  </si>
  <si>
    <t xml:space="preserve">Business support services </t>
  </si>
  <si>
    <t xml:space="preserve">5614 </t>
  </si>
  <si>
    <t xml:space="preserve">Travel arrangement and reservation services </t>
  </si>
  <si>
    <t xml:space="preserve">5615 </t>
  </si>
  <si>
    <t xml:space="preserve">Investigation and security services </t>
  </si>
  <si>
    <t xml:space="preserve">5616 </t>
  </si>
  <si>
    <t xml:space="preserve">Services to buildings and dwellings </t>
  </si>
  <si>
    <t xml:space="preserve">5617 </t>
  </si>
  <si>
    <t xml:space="preserve">Other support services </t>
  </si>
  <si>
    <t xml:space="preserve">5619 </t>
  </si>
  <si>
    <t xml:space="preserve">Waste management and remediation services </t>
  </si>
  <si>
    <t xml:space="preserve">562 </t>
  </si>
  <si>
    <t xml:space="preserve">Education services </t>
  </si>
  <si>
    <t xml:space="preserve">61 </t>
  </si>
  <si>
    <t xml:space="preserve">Elementary and secondary schools </t>
  </si>
  <si>
    <t xml:space="preserve">6111 </t>
  </si>
  <si>
    <t xml:space="preserve">Junior colleges, colleges, universities, and professional schools </t>
  </si>
  <si>
    <t xml:space="preserve">6112, 6113 </t>
  </si>
  <si>
    <t xml:space="preserve">Other educational services </t>
  </si>
  <si>
    <t xml:space="preserve">6114-7 </t>
  </si>
  <si>
    <t xml:space="preserve">Health care and social assistance </t>
  </si>
  <si>
    <t xml:space="preserve">62 </t>
  </si>
  <si>
    <t xml:space="preserve">Ambulatory health care services </t>
  </si>
  <si>
    <t xml:space="preserve">621 </t>
  </si>
  <si>
    <t xml:space="preserve">Offices of physicians </t>
  </si>
  <si>
    <t xml:space="preserve">6211 </t>
  </si>
  <si>
    <t xml:space="preserve">Offices of dentists </t>
  </si>
  <si>
    <t xml:space="preserve">6212 </t>
  </si>
  <si>
    <t xml:space="preserve">Offices of other health practitioners </t>
  </si>
  <si>
    <t xml:space="preserve">6213 </t>
  </si>
  <si>
    <t xml:space="preserve">Outpatient care centers </t>
  </si>
  <si>
    <t xml:space="preserve">6214 </t>
  </si>
  <si>
    <t xml:space="preserve">Medical and diagnostic laboratories </t>
  </si>
  <si>
    <t xml:space="preserve">6215 </t>
  </si>
  <si>
    <t xml:space="preserve">Home health care services </t>
  </si>
  <si>
    <t xml:space="preserve">6216 </t>
  </si>
  <si>
    <t xml:space="preserve">Other ambulatory health care services </t>
  </si>
  <si>
    <t xml:space="preserve">6219 </t>
  </si>
  <si>
    <t xml:space="preserve">Hospitals </t>
  </si>
  <si>
    <t xml:space="preserve">622 </t>
  </si>
  <si>
    <t xml:space="preserve">Nursing and residential care facilities </t>
  </si>
  <si>
    <t xml:space="preserve">623 </t>
  </si>
  <si>
    <t xml:space="preserve">Social assistance </t>
  </si>
  <si>
    <t xml:space="preserve">624 </t>
  </si>
  <si>
    <t xml:space="preserve">Individual and family services </t>
  </si>
  <si>
    <t xml:space="preserve">6241 </t>
  </si>
  <si>
    <t xml:space="preserve">Community, and vocational rehabilitation services </t>
  </si>
  <si>
    <t xml:space="preserve">6242, 6243 </t>
  </si>
  <si>
    <t xml:space="preserve">Child day care services </t>
  </si>
  <si>
    <t xml:space="preserve">6244 </t>
  </si>
  <si>
    <t xml:space="preserve">Arts, entertainment, and recreation </t>
  </si>
  <si>
    <t xml:space="preserve">71 </t>
  </si>
  <si>
    <t xml:space="preserve">Performing arts, spectator sports, and related industries </t>
  </si>
  <si>
    <t xml:space="preserve">711 </t>
  </si>
  <si>
    <t xml:space="preserve">Performing arts companies </t>
  </si>
  <si>
    <t xml:space="preserve">7111 </t>
  </si>
  <si>
    <t xml:space="preserve">Spectator sports </t>
  </si>
  <si>
    <t xml:space="preserve">7112 </t>
  </si>
  <si>
    <t xml:space="preserve">Promoters of  events, and agents and managers </t>
  </si>
  <si>
    <t xml:space="preserve">7113, 7114 </t>
  </si>
  <si>
    <t xml:space="preserve">Independent artists, writers, and performers </t>
  </si>
  <si>
    <t xml:space="preserve">7115 </t>
  </si>
  <si>
    <t xml:space="preserve">Museums, historical sites, and similar institutions </t>
  </si>
  <si>
    <t xml:space="preserve">712 </t>
  </si>
  <si>
    <t xml:space="preserve">Amusement, gambling, and recreation industries </t>
  </si>
  <si>
    <t xml:space="preserve">713 </t>
  </si>
  <si>
    <t xml:space="preserve">Amusement parks and arcades </t>
  </si>
  <si>
    <t xml:space="preserve">7131 </t>
  </si>
  <si>
    <t xml:space="preserve">Gambling industries (except casino hotels) </t>
  </si>
  <si>
    <t xml:space="preserve">7132 </t>
  </si>
  <si>
    <t xml:space="preserve">Other amusement and recreation industries </t>
  </si>
  <si>
    <t xml:space="preserve">7139 </t>
  </si>
  <si>
    <t xml:space="preserve">Accommodation and food services </t>
  </si>
  <si>
    <t xml:space="preserve">72 </t>
  </si>
  <si>
    <t xml:space="preserve">Accommodation </t>
  </si>
  <si>
    <t xml:space="preserve">721 </t>
  </si>
  <si>
    <t xml:space="preserve">Food services and drinking places </t>
  </si>
  <si>
    <t xml:space="preserve">722 </t>
  </si>
  <si>
    <t xml:space="preserve">Other services </t>
  </si>
  <si>
    <t xml:space="preserve">81 </t>
  </si>
  <si>
    <t xml:space="preserve">Repair and maintenance </t>
  </si>
  <si>
    <t xml:space="preserve">811 </t>
  </si>
  <si>
    <t xml:space="preserve">Automotive repair and maintenance </t>
  </si>
  <si>
    <t xml:space="preserve">8111 </t>
  </si>
  <si>
    <t xml:space="preserve">Electronic and precision equipment repair and maintenance </t>
  </si>
  <si>
    <t xml:space="preserve">8112 </t>
  </si>
  <si>
    <t xml:space="preserve">Commercial and industrial machinery and equipment (except automotive and electronic) repair and maintenance </t>
  </si>
  <si>
    <t xml:space="preserve">8113 </t>
  </si>
  <si>
    <t xml:space="preserve">Personal and household goods repair and maintenance </t>
  </si>
  <si>
    <t xml:space="preserve">8114 </t>
  </si>
  <si>
    <t xml:space="preserve">Personal and laundry services </t>
  </si>
  <si>
    <t xml:space="preserve">812 </t>
  </si>
  <si>
    <t xml:space="preserve">Personal care services </t>
  </si>
  <si>
    <t xml:space="preserve">8121 </t>
  </si>
  <si>
    <t xml:space="preserve">Death care services </t>
  </si>
  <si>
    <t xml:space="preserve">8122 </t>
  </si>
  <si>
    <t xml:space="preserve">Drycleaning and laundry services </t>
  </si>
  <si>
    <t xml:space="preserve">8123 </t>
  </si>
  <si>
    <t xml:space="preserve">Other personal services </t>
  </si>
  <si>
    <t xml:space="preserve">8129 </t>
  </si>
  <si>
    <t xml:space="preserve">Religious, grantmaking, civic, professional, and similar organizations </t>
  </si>
  <si>
    <t xml:space="preserve">Religious organizations </t>
  </si>
  <si>
    <t xml:space="preserve">8131 </t>
  </si>
  <si>
    <t xml:space="preserve">Grantmaking and giving services and social advocacy organizations </t>
  </si>
  <si>
    <t xml:space="preserve">8132, 8133 </t>
  </si>
  <si>
    <t xml:space="preserve">Civic, social, professional, and similar organizations </t>
  </si>
  <si>
    <t xml:space="preserve">8134, 8139 </t>
  </si>
  <si>
    <t xml:space="preserve">Private households </t>
  </si>
  <si>
    <t xml:space="preserve">814 </t>
  </si>
  <si>
    <t>.</t>
  </si>
  <si>
    <t xml:space="preserve">Federal government </t>
  </si>
  <si>
    <t xml:space="preserve">Federal electric utilities </t>
  </si>
  <si>
    <t xml:space="preserve">Federal enterprises except the Postal Service and electric utilities </t>
  </si>
  <si>
    <t xml:space="preserve">Federal defense government compensation </t>
  </si>
  <si>
    <t xml:space="preserve">Federal defense government consumption of fixed capital </t>
  </si>
  <si>
    <t xml:space="preserve">Federal defense government except compensation and consumption of fixed capital </t>
  </si>
  <si>
    <t xml:space="preserve">Federal non-defense government compensation - except enterprises </t>
  </si>
  <si>
    <t xml:space="preserve">Federal non-defense government consumption of fixed capital </t>
  </si>
  <si>
    <t xml:space="preserve">Federal non-defense government except compensation and consumption of fixed capital </t>
  </si>
  <si>
    <t xml:space="preserve">Federal government except enterprises </t>
  </si>
  <si>
    <t xml:space="preserve">State and local government </t>
  </si>
  <si>
    <t xml:space="preserve">Local government passenger transit </t>
  </si>
  <si>
    <t xml:space="preserve">Local government enterprises except passenger transit </t>
  </si>
  <si>
    <t xml:space="preserve">Local government hospitals - compensation </t>
  </si>
  <si>
    <t xml:space="preserve">Local government educational services - compensation </t>
  </si>
  <si>
    <t xml:space="preserve">Local government excluding enterprises, educational services, and hospitals - compensation </t>
  </si>
  <si>
    <t xml:space="preserve">State government enterprises </t>
  </si>
  <si>
    <t xml:space="preserve">State government hospitals - compensation </t>
  </si>
  <si>
    <t xml:space="preserve">State government educational services - compensation </t>
  </si>
  <si>
    <t xml:space="preserve">State government, other compensation </t>
  </si>
  <si>
    <t xml:space="preserve">State and local government capital services </t>
  </si>
  <si>
    <t xml:space="preserve">General state and local government  except compensation and capital services </t>
  </si>
  <si>
    <t xml:space="preserve">Owner-occupied dwellings </t>
  </si>
  <si>
    <r>
      <t>Agriculture, forestry, fishing, and hunting</t>
    </r>
    <r>
      <rPr>
        <vertAlign val="superscript"/>
        <sz val="10"/>
        <rFont val="Arial"/>
        <family val="2"/>
      </rPr>
      <t>(3)</t>
    </r>
  </si>
  <si>
    <t xml:space="preserve">11 </t>
  </si>
  <si>
    <t xml:space="preserve">Crop production </t>
  </si>
  <si>
    <t xml:space="preserve">111 </t>
  </si>
  <si>
    <t xml:space="preserve">Animal production </t>
  </si>
  <si>
    <t xml:space="preserve">112 </t>
  </si>
  <si>
    <t xml:space="preserve">Forestry </t>
  </si>
  <si>
    <t xml:space="preserve">1131, 1132 </t>
  </si>
  <si>
    <t xml:space="preserve">Logging </t>
  </si>
  <si>
    <t xml:space="preserve">1133 </t>
  </si>
  <si>
    <t xml:space="preserve">Fishing, hunting and trapping </t>
  </si>
  <si>
    <t xml:space="preserve">114 </t>
  </si>
  <si>
    <t xml:space="preserve">Support activities for agriculture and forestry </t>
  </si>
  <si>
    <t xml:space="preserve">115 </t>
  </si>
  <si>
    <r>
      <t>Nonagriculture self-employed</t>
    </r>
    <r>
      <rPr>
        <b/>
        <vertAlign val="superscript"/>
        <sz val="10"/>
        <color theme="1"/>
        <rFont val="Arial"/>
        <family val="2"/>
      </rPr>
      <t xml:space="preserve">(4) </t>
    </r>
  </si>
  <si>
    <t>Footnotes: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</si>
  <si>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Employment data for wage and salary workers are from the BLS Current Employment Statistics survey, which counts jobs, whereas self-employed and agriculture, forestry, fishing, and hunting are from the Current Population Survey (household survey), which counts workers.</t>
    </r>
  </si>
  <si>
    <r>
      <rPr>
        <vertAlign val="super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 xml:space="preserve"> Output subcategories do not necessarily add to higher categories as a byproduct of chain-weighting.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</si>
  <si>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Includes agriculture, forestry, fishing, and hunting wage and salary, and self-employed data from the Current Population Survey, except logging, which is from Current Employment Statistics survey. Government wage and salary workers are excluded.</t>
    </r>
  </si>
  <si>
    <r>
      <rPr>
        <vertAlign val="superscript"/>
        <sz val="10"/>
        <color indexed="8"/>
        <rFont val="Arial"/>
        <family val="2"/>
      </rPr>
      <t>4</t>
    </r>
    <r>
      <rPr>
        <sz val="10"/>
        <color indexed="8"/>
        <rFont val="Arial"/>
        <family val="2"/>
      </rPr>
      <t xml:space="preserve"> Comparable estimate of output growth is not available.</t>
    </r>
  </si>
  <si>
    <t>SOURCE: U.S. Bureau of Labor Statistics</t>
  </si>
  <si>
    <t>ref2021.d113020a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</si>
  <si>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</si>
  <si>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</si>
  <si>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</si>
  <si>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</si>
  <si>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</si>
  <si>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</si>
  <si>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</si>
  <si>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</si>
  <si>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</si>
  <si>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ISM000</t>
  </si>
  <si>
    <t>23. Industrial Sector Macroeconomic Indicators</t>
  </si>
  <si>
    <t>Compound</t>
  </si>
  <si>
    <t xml:space="preserve"> Growth </t>
  </si>
  <si>
    <t xml:space="preserve">2020-2050 </t>
  </si>
  <si>
    <t xml:space="preserve"> Indicators</t>
  </si>
  <si>
    <t>(percent)</t>
  </si>
  <si>
    <t>ISM000:ba_GDP(billionm_</t>
  </si>
  <si>
    <t>Gross Domestic Product (billion 2012 dollars)</t>
  </si>
  <si>
    <t>ISM000:ca_NonfarmEmploy</t>
  </si>
  <si>
    <t>Nonfarm Employment (millions)</t>
  </si>
  <si>
    <t>Value of Shipments (billion 2012 dollars)</t>
  </si>
  <si>
    <t>Nonmanufacturing Sector</t>
  </si>
  <si>
    <t>ISM000:ea_Agricultural</t>
  </si>
  <si>
    <t xml:space="preserve">  Agriculture/Forestry/Fishing/Hunting</t>
  </si>
  <si>
    <t>ISM000:ea_Mining</t>
  </si>
  <si>
    <t xml:space="preserve">  Mining</t>
  </si>
  <si>
    <t>ISM000:ea_Construction</t>
  </si>
  <si>
    <t xml:space="preserve">  Construction</t>
  </si>
  <si>
    <t>Manufacturing Sector</t>
  </si>
  <si>
    <t>ISM000:fa_FoodandKindre</t>
  </si>
  <si>
    <t xml:space="preserve">  Food Products</t>
  </si>
  <si>
    <t>ISM000:fa_BeveragesandT</t>
  </si>
  <si>
    <t xml:space="preserve">  Beverages and Tobacco Products</t>
  </si>
  <si>
    <t>ISM000:fa_TextileMillPr</t>
  </si>
  <si>
    <t xml:space="preserve">  Textile Mills and Products</t>
  </si>
  <si>
    <t>ISM000:fa_LumberandWood</t>
  </si>
  <si>
    <t xml:space="preserve">  Wood Products</t>
  </si>
  <si>
    <t>ISM000:fa_FurnitureandF</t>
  </si>
  <si>
    <t xml:space="preserve">  Furniture and Related Products</t>
  </si>
  <si>
    <t>ISM000:fa_PaperandAllie</t>
  </si>
  <si>
    <t xml:space="preserve">  Paper Products</t>
  </si>
  <si>
    <t>ISM000:fa_PrintingandPu</t>
  </si>
  <si>
    <t xml:space="preserve">  Printing</t>
  </si>
  <si>
    <t>ISM000:fa_ChemicalandAl</t>
  </si>
  <si>
    <t xml:space="preserve">  Chemical Manufacturing</t>
  </si>
  <si>
    <t>ISM000:fa_BulkChemicals</t>
  </si>
  <si>
    <t xml:space="preserve">    Bulk Chemicals</t>
  </si>
  <si>
    <t>ISM000:fa_Inorganic</t>
  </si>
  <si>
    <t xml:space="preserve">      Inorganic</t>
  </si>
  <si>
    <t>ISM000:fa_Organic</t>
  </si>
  <si>
    <t xml:space="preserve">      Organic</t>
  </si>
  <si>
    <t>ISM000:fa_Resins</t>
  </si>
  <si>
    <t xml:space="preserve">      Resin, Synthetic Rubber, and Fibers</t>
  </si>
  <si>
    <t>ISM000:fa_AgriculturalC</t>
  </si>
  <si>
    <t xml:space="preserve">      Agricultural Chemicals</t>
  </si>
  <si>
    <t>ISM000:fa_OtherChemical</t>
  </si>
  <si>
    <t xml:space="preserve">    Other Chemical Products</t>
  </si>
  <si>
    <t>ISM000:fa_PetroleumandC</t>
  </si>
  <si>
    <t xml:space="preserve">  Petroleum and Coal Products</t>
  </si>
  <si>
    <t>ISM000:fa_PetroleumRefi</t>
  </si>
  <si>
    <t xml:space="preserve">    Petroleum Refineries</t>
  </si>
  <si>
    <t>ISM000:fa_OtherPetroleu</t>
  </si>
  <si>
    <t xml:space="preserve">    Other Petroleum and Coal Products</t>
  </si>
  <si>
    <t>ISM000:fa_RubberandMisc</t>
  </si>
  <si>
    <t xml:space="preserve">  Plastics and Rubber Products</t>
  </si>
  <si>
    <t>ISM000:fa_Stone,Clay,an</t>
  </si>
  <si>
    <t xml:space="preserve">  Stone, Clay, and Glass Products</t>
  </si>
  <si>
    <t>ISM000:fa_GlassandGlass</t>
  </si>
  <si>
    <t xml:space="preserve">    Glass and Glass Products</t>
  </si>
  <si>
    <t>ISM000:fa_CementandHydr</t>
  </si>
  <si>
    <t xml:space="preserve">    Cement and Lime</t>
  </si>
  <si>
    <t>ISM000:fa_OtherStone,Cl</t>
  </si>
  <si>
    <t xml:space="preserve">    Other Nonmetallic Mineral Products</t>
  </si>
  <si>
    <t>ISM000:ga_PrimaryMetals</t>
  </si>
  <si>
    <t xml:space="preserve">  Primary Metals Industry</t>
  </si>
  <si>
    <t>ISM000:ga_BlastFurnacea</t>
  </si>
  <si>
    <t xml:space="preserve">    Iron and Steel Mills and Products</t>
  </si>
  <si>
    <t>ISM000:ga_Aluminum</t>
  </si>
  <si>
    <t xml:space="preserve">    Alumina and Aluminum Products</t>
  </si>
  <si>
    <t>ISM000:ga_OtherPrimaryM</t>
  </si>
  <si>
    <t xml:space="preserve">    Other Primary Metal Products</t>
  </si>
  <si>
    <t>ISM000:ga_FabricatedMet</t>
  </si>
  <si>
    <t xml:space="preserve">  Fabricated Metal Products</t>
  </si>
  <si>
    <t>ISM000:ga_IndustrialMac</t>
  </si>
  <si>
    <t xml:space="preserve">  Machinery</t>
  </si>
  <si>
    <t>ISM000:ga_Electronicand</t>
  </si>
  <si>
    <t xml:space="preserve">  Computers and Electronics</t>
  </si>
  <si>
    <t>ISM000:ga_Transportatio</t>
  </si>
  <si>
    <t xml:space="preserve">  Transportation Equipment</t>
  </si>
  <si>
    <t>ISM000:ga_Instrumentsan</t>
  </si>
  <si>
    <t xml:space="preserve">  Electrical Equipment</t>
  </si>
  <si>
    <t>ISM000:ga_Miscellaneous</t>
  </si>
  <si>
    <t xml:space="preserve">  Miscellaneous Manufacturing</t>
  </si>
  <si>
    <t>ISM000:ha_TotalIndustri</t>
  </si>
  <si>
    <t>Total Industrial Value of Shipments</t>
  </si>
  <si>
    <t>Note:  Totals may not equal sum of components due to independent rounding.</t>
  </si>
  <si>
    <t>Sources:  2020:  IHS Markit, Macroeconomic model, May 2019.</t>
  </si>
  <si>
    <t>Projections:  U.S. Energy Information Administration, AEO2021 National Energy Modeling System run ref2021.d113020a.</t>
  </si>
  <si>
    <t>U.S. EIA</t>
  </si>
  <si>
    <t>https://www.eia.gov/outlooks/aeo/tables_ref.php</t>
  </si>
  <si>
    <t>Table 23: Industrial Sector Macroeconomic Indicators</t>
  </si>
  <si>
    <t>Industry Output and Employment</t>
  </si>
  <si>
    <t>https://www.bls.gov/emp/tables/industry-employment-and-output.htm</t>
  </si>
  <si>
    <t>Table 2.7: Output and Employment by Industry</t>
  </si>
  <si>
    <t>Assigned ISIC Code</t>
  </si>
  <si>
    <t>2009-2019</t>
  </si>
  <si>
    <t>2019-2029</t>
  </si>
  <si>
    <t>Compound Growth Rate (output-weighted average of components of each ISIC code)</t>
  </si>
  <si>
    <t>BLS Data</t>
  </si>
  <si>
    <t>EIA AEO Data</t>
  </si>
  <si>
    <t>ISIC 05, ISIC 06, ISIC 07T08</t>
  </si>
  <si>
    <t>ISIC 29, ISIC 30</t>
  </si>
  <si>
    <t>2020-2050</t>
  </si>
  <si>
    <t>Chosen Rates by Year</t>
  </si>
  <si>
    <t>Note that since EIA AEO doesn't disaggregate "Mining," we use BLS data for mining, as the trends are quite different for different types of mining.</t>
  </si>
  <si>
    <t>For years 2026-2050, we use EIA AEO data for ISIC codes for which data are available and BLS data for other ISIC codes.</t>
  </si>
  <si>
    <t>For years 2021-2025, we smooth the transition between the two regimes above, to avoid sudden discontinuities.</t>
  </si>
  <si>
    <t>For years 2015-2019, we use BLS data, because AEO data starts with 2020.</t>
  </si>
  <si>
    <t>BPCiObIC BAU Percent Change in Output by ISIC Code</t>
  </si>
  <si>
    <t>Change Relative to IO Input Data Year</t>
  </si>
  <si>
    <t>Unit: dimensionless (% change)</t>
  </si>
  <si>
    <t>Now that we have growth rates by ISIC code, we rescale all growth rates together such that BAU Value Added</t>
  </si>
  <si>
    <t>(summed across ISIC codes) reflects the BAU GDP projection in the final year of the model run.</t>
  </si>
  <si>
    <t>2015 Value Added</t>
  </si>
  <si>
    <t>Unscaled Cng by 2050</t>
  </si>
  <si>
    <t>Unscaled 2050 Value Added</t>
  </si>
  <si>
    <t>Total</t>
  </si>
  <si>
    <t>Unscaled Percent Growth of GDP</t>
  </si>
  <si>
    <t>Percent Growth of GDP from Input Data</t>
  </si>
  <si>
    <t>Scaling Factor to Fit GDP Projection</t>
  </si>
  <si>
    <t>Scaled Cng by 2050</t>
  </si>
  <si>
    <t>Scaled 2050 Value Added</t>
  </si>
  <si>
    <t>Scaled Percent Growth of GDP (double check)</t>
  </si>
  <si>
    <t>Scaled Change Relative to IO Input Data Year</t>
  </si>
  <si>
    <t>We need a set of scaling factors to convert the I/O variables that contain static data (for one historical year)</t>
  </si>
  <si>
    <t>to future time series data.</t>
  </si>
  <si>
    <t>We base these scaling factors on the projected change in output for each ISIC code, which is readily</t>
  </si>
  <si>
    <t>because we need to know how industries grow or shrink relative to one-another, not just how they</t>
  </si>
  <si>
    <t>available disaggregated by ISIC code.  It is crucial for these projections to be disaggregated by ISIC code,</t>
  </si>
  <si>
    <t>grow or shrink overall to fit GDP growth.</t>
  </si>
  <si>
    <t>For the U.S., we use projections from the BLS and EIA AEO.  The BLS has growth rates for all ISIC codes,</t>
  </si>
  <si>
    <t>but only out to 2029.  The EIA has projections for only certain ISIC codes, but out to 2050.</t>
  </si>
  <si>
    <t>Our static I/O data largely comes from the OECD database and is for year 2015.</t>
  </si>
  <si>
    <t>We use EIA and BLS to find growth rates out to 2050 (see the "Growth Rates" tab).  We smooth</t>
  </si>
  <si>
    <t>the transition around 2020 to avoid discontinuities.</t>
  </si>
  <si>
    <t>As a final step, we rescale all the growth rates such that, when applied to Value Added quantities,</t>
  </si>
  <si>
    <t>the growth in total Value Added across the economy equals the growth of GDP (on a percentage basis),</t>
  </si>
  <si>
    <t>which ensures our results are aligned to the top-level GDP projection while preserving differences</t>
  </si>
  <si>
    <t>in underlying growth (or shrinkage) of specific ISIC codes.</t>
  </si>
  <si>
    <t>If you do not have projected changes in output (or any other useful quantity, such as employment</t>
  </si>
  <si>
    <t>changes in which industries will become more or less important relative to one another, but at least</t>
  </si>
  <si>
    <t>value added, employment, etc.).</t>
  </si>
  <si>
    <t>Note for Adaptation to Other Regions that Lack Projections Disaggregated by ISIC Code</t>
  </si>
  <si>
    <t>or value added) for future years, you should use the percent change in GDP from input variable io-model/BGDP</t>
  </si>
  <si>
    <t>for each modeled year (i.e., the change in GDP relative to GDP in the year of your I/O data) for all</t>
  </si>
  <si>
    <t>ISIC codes in this variable.  This will fail to capture underlying</t>
  </si>
  <si>
    <t>it allows the model to function and gives correct overall magnitude of the I/O variables (such as GDP,</t>
  </si>
  <si>
    <t>GDP Projection</t>
  </si>
  <si>
    <t>Future Year Projected Changes in Output by ISIC Code</t>
  </si>
  <si>
    <t>Quarterly National Accounts</t>
  </si>
  <si>
    <t>https://data.oecd.org/gdp/gdp-long-term-forecast.htm</t>
  </si>
  <si>
    <t>Real GDP long-term forecast</t>
  </si>
  <si>
    <t>LOCATION</t>
  </si>
  <si>
    <t>INDICATOR</t>
  </si>
  <si>
    <t>SUBJECT</t>
  </si>
  <si>
    <t>MEASURE</t>
  </si>
  <si>
    <t>FREQUENCY</t>
  </si>
  <si>
    <t>TIME</t>
  </si>
  <si>
    <t>Value</t>
  </si>
  <si>
    <t>USA</t>
  </si>
  <si>
    <t>GDPLTFORECAST</t>
  </si>
  <si>
    <t>TOT</t>
  </si>
  <si>
    <t>MLN_USD</t>
  </si>
  <si>
    <t>A</t>
  </si>
  <si>
    <t>The OECD long-term forecast gives GDPs in millions of 2010 USD with Purchasing Power Parity.</t>
  </si>
  <si>
    <t>In the U.S. model, input data are converted to 2012 USD (then converted to the</t>
  </si>
  <si>
    <t>output currency year in web-app/OCCF).  Therefore, we use these conversion factors:</t>
  </si>
  <si>
    <t>2012 dollars per 2010 dollar</t>
  </si>
  <si>
    <t>dollars per million dollars</t>
  </si>
  <si>
    <t>U.S. GDP Forecaste Notes</t>
  </si>
  <si>
    <t>Value (2012 USD)</t>
  </si>
  <si>
    <t>Table 23.  Industrial Sector Macroeconomic Indicators</t>
  </si>
  <si>
    <t>https://www.eia.gov/outlooks/aeo/data/browser/#/?id=34-AEO2022&amp;cases=lowmacro&amp;sid=lowmacro-d011222a.10-114-AEO2022&amp;sourcekey=0</t>
  </si>
  <si>
    <t>Thu Jul 14 2022 09:36:04 GMT-0400 (Eastern Daylight Time)</t>
  </si>
  <si>
    <t>Source: U.S. Energy Information Administration</t>
  </si>
  <si>
    <t>full name</t>
  </si>
  <si>
    <t>api key</t>
  </si>
  <si>
    <t>units</t>
  </si>
  <si>
    <t>Growth (2021-2050)</t>
  </si>
  <si>
    <t>Pinned Series</t>
  </si>
  <si>
    <t>34-AEO2022.10.lowmacro-d011222a</t>
  </si>
  <si>
    <t>Industrial Macroeconomic: Gross Domestic Product: Low economic growth</t>
  </si>
  <si>
    <t>34-AEO2022.2.lowmacro-d011222a</t>
  </si>
  <si>
    <t>billion 2012 $</t>
  </si>
  <si>
    <t>Industrial Macroeconomic: Employment, Nonfarm: Low economic growth</t>
  </si>
  <si>
    <t>34-AEO2022.4.lowmacro-d011222a</t>
  </si>
  <si>
    <t>millions</t>
  </si>
  <si>
    <t>34-AEO2022.6.</t>
  </si>
  <si>
    <t>34-AEO2022.8.</t>
  </si>
  <si>
    <t>Agriculture/Forestry/Fishing/Hunting</t>
  </si>
  <si>
    <t>Industrial Macroeconomic: Nonmanufacturing: Agriculture/Forestry/Fishing/Hunting: Low economic growth</t>
  </si>
  <si>
    <t>34-AEO2022.9.lowmacro-d011222a</t>
  </si>
  <si>
    <t>Mining</t>
  </si>
  <si>
    <t>Industrial Macroeconomic: Nonmanufacturing: Mining: Low economic growth</t>
  </si>
  <si>
    <t>Construction</t>
  </si>
  <si>
    <t>Industrial Macroeconomic: Nonmanufacturing: Construction: Low economic growth</t>
  </si>
  <si>
    <t>34-AEO2022.14.lowmacro-d011222a</t>
  </si>
  <si>
    <t>34-AEO2022.16.</t>
  </si>
  <si>
    <t>Food Products</t>
  </si>
  <si>
    <t>Industrial Macroeconomic: Manufacturing: Food Products: Low economic growth</t>
  </si>
  <si>
    <t>34-AEO2022.17.lowmacro-d011222a</t>
  </si>
  <si>
    <t>Beverages and Tobacco Products</t>
  </si>
  <si>
    <t>Industrial Macroeconomic: Manufacturing: Beverages and Tobacco Products: Low economic growth</t>
  </si>
  <si>
    <t>34-AEO2022.22.lowmacro-d011222a</t>
  </si>
  <si>
    <t>Textile Mills and Products</t>
  </si>
  <si>
    <t>Industrial Macroeconomic: Manufacturing: Textile Mills and Products: Low economic growth</t>
  </si>
  <si>
    <t>34-AEO2022.23.lowmacro-d011222a</t>
  </si>
  <si>
    <t>Wood Products</t>
  </si>
  <si>
    <t>Industrial Macroeconomic: Manufacturing: Wood Products: Low economic growth</t>
  </si>
  <si>
    <t>34-AEO2022.24.lowmacro-d011222a</t>
  </si>
  <si>
    <t>Furniture and Related Products</t>
  </si>
  <si>
    <t>Industrial Macroeconomic: Manufacturing: Furniture and Related Products: Low economic growth</t>
  </si>
  <si>
    <t>34-AEO2022.25.lowmacro-d011222a</t>
  </si>
  <si>
    <t>Paper Products</t>
  </si>
  <si>
    <t>Industrial Macroeconomic: Manufacturing: Paper Products: Low economic growth</t>
  </si>
  <si>
    <t>34-AEO2022.26.lowmacro-d011222a</t>
  </si>
  <si>
    <t>Printing</t>
  </si>
  <si>
    <t>Industrial Macroeconomic: Manufacturing: Printing: Low economic growth</t>
  </si>
  <si>
    <t>34-AEO2022.30.lowmacro-d011222a</t>
  </si>
  <si>
    <t>Chemical Manufacturing</t>
  </si>
  <si>
    <t>Industrial Macroeconomic: Manufacturing: Chemical Manufacturing: Low economic growth</t>
  </si>
  <si>
    <t>34-AEO2022.31.lowmacro-d011222a</t>
  </si>
  <si>
    <t>Bulk Chemicals</t>
  </si>
  <si>
    <t>Industrial Macroeconomic: Manufacturing: Chemicals: Bulk Chemicals: Low economic growth</t>
  </si>
  <si>
    <t>34-AEO2022.32.lowmacro-d011222a</t>
  </si>
  <si>
    <t>Inorganic</t>
  </si>
  <si>
    <t>Industrial Macroeconomic: Manufacturing: Chemicals: Bulk Chemicals: Inorganic: Low economic growth</t>
  </si>
  <si>
    <t>34-AEO2022.33.lowmacro-d011222a</t>
  </si>
  <si>
    <t>Organic</t>
  </si>
  <si>
    <t>Industrial Macroeconomic: Manufacturing: Chemicals: Bulk Chemicals: Organic: Low economic growth</t>
  </si>
  <si>
    <t>34-AEO2022.34.lowmacro-d011222a</t>
  </si>
  <si>
    <t>Resin</t>
  </si>
  <si>
    <t xml:space="preserve"> Synthetic Rubber</t>
  </si>
  <si>
    <t xml:space="preserve"> and Fibers</t>
  </si>
  <si>
    <t>Industrial Macroeconomic: Manufacturing: Chemicals: Bulk Chemicals: Resin, Synthetic Rubber, and Fibers: Low economic growth</t>
  </si>
  <si>
    <t>34-AEO2022.36.lowmacro-d011222a</t>
  </si>
  <si>
    <t>Agricultural Chemicals</t>
  </si>
  <si>
    <t>Industrial Macroeconomic: Manufacturing: Chemicals: Bulk Chemicals: Agricultural Chemicals: Low economic growth</t>
  </si>
  <si>
    <t>34-AEO2022.37.lowmacro-d011222a</t>
  </si>
  <si>
    <t>Other Chemical Products</t>
  </si>
  <si>
    <t>Industrial Macroeconomic: Manufacturing: Chemicals: Other Chemical Products: Low economic growth</t>
  </si>
  <si>
    <t>34-AEO2022.38.lowmacro-d011222a</t>
  </si>
  <si>
    <t>Petroleum and Coal Products</t>
  </si>
  <si>
    <t>Industrial Macroeconomic: Manufacturing: Petroleum and Coal Products: Low economic growth</t>
  </si>
  <si>
    <t>34-AEO2022.43.lowmacro-d011222a</t>
  </si>
  <si>
    <t>Petroleum Refineries</t>
  </si>
  <si>
    <t>Industrial Macroeconomic: Manufacturing: Petroleum and Coal: Petroleum Refineries: Low economic growth</t>
  </si>
  <si>
    <t>34-AEO2022.44.lowmacro-d011222a</t>
  </si>
  <si>
    <t>Other Petroleum and Coal Products</t>
  </si>
  <si>
    <t>Industrial Macroeconomic: Manufacturing: Petroleum and Coal: Other Petroleum &amp; Coal Products: Low economic growth</t>
  </si>
  <si>
    <t>34-AEO2022.45.lowmacro-d011222a</t>
  </si>
  <si>
    <t>Plastics and Rubber Products</t>
  </si>
  <si>
    <t>Industrial Macroeconomic: Manufacturing: Plastics and Rubber Products: Low economic growth</t>
  </si>
  <si>
    <t>34-AEO2022.46.lowmacro-d011222a</t>
  </si>
  <si>
    <t>Stone</t>
  </si>
  <si>
    <t xml:space="preserve"> Clay</t>
  </si>
  <si>
    <t xml:space="preserve"> and Glass Products</t>
  </si>
  <si>
    <t>Industrial Macroeconomic: Manufacturing: Stone, Clay, and Glass Products: Low economic growth</t>
  </si>
  <si>
    <t>34-AEO2022.47.lowmacro-d011222a</t>
  </si>
  <si>
    <t>Glass and Glass Products</t>
  </si>
  <si>
    <t>Industrial Macroeconomic: Manufacturing: Stone, Clay, and Glass: Glass and Glass Products: Low economic growth</t>
  </si>
  <si>
    <t>34-AEO2022.48.lowmacro-d011222a</t>
  </si>
  <si>
    <t>Cement and Lime</t>
  </si>
  <si>
    <t>Industrial Macroeconomic: Manufacturing: Stone, Clay, and Glass: Cement and Lime: Low economic growth</t>
  </si>
  <si>
    <t>34-AEO2022.50.lowmacro-d011222a</t>
  </si>
  <si>
    <t>Other Nonmetallic Mineral Products</t>
  </si>
  <si>
    <t>Industrial Macroeconomic: Manufacturing: Stone, Clay, and Glass: Other Nonmetallic Mineral Products: Low economic growth</t>
  </si>
  <si>
    <t>34-AEO2022.53.lowmacro-d011222a</t>
  </si>
  <si>
    <t>Primary Metals Industry</t>
  </si>
  <si>
    <t>Industrial Macroeconomic: Manufacturing: Primary Metals Industry: Low economic growth</t>
  </si>
  <si>
    <t>34-AEO2022.54.lowmacro-d011222a</t>
  </si>
  <si>
    <t>Iron and Steel Mills and Products</t>
  </si>
  <si>
    <t>Industrial Macroeconomic: Manufacturing: Primary Metals: Iron and Steel Mills and Products: Low economic growth</t>
  </si>
  <si>
    <t>34-AEO2022.55.lowmacro-d011222a</t>
  </si>
  <si>
    <t>Alumina and Aluminum Products</t>
  </si>
  <si>
    <t>Industrial Macroeconomic: Manufacturing: Primary Metals: Alumina and Aluminum Products: Low economic growth</t>
  </si>
  <si>
    <t>34-AEO2022.56.lowmacro-d011222a</t>
  </si>
  <si>
    <t>Other Primary Metal Products</t>
  </si>
  <si>
    <t>Industrial Macroeconomic: Manufacturing: Primary Metals: Other Primary Metal Products: Low economic growth</t>
  </si>
  <si>
    <t>34-AEO2022.57.lowmacro-d011222a</t>
  </si>
  <si>
    <t>Fabricated Metal Products</t>
  </si>
  <si>
    <t>Industrial Macroeconomic: Manufacturing: Fabricated Metal Products: Low economic growth</t>
  </si>
  <si>
    <t>34-AEO2022.58.lowmacro-d011222a</t>
  </si>
  <si>
    <t>Machinery</t>
  </si>
  <si>
    <t>Industrial Macroeconomic: Manufacturing: Machinery: Low economic growth</t>
  </si>
  <si>
    <t>34-AEO2022.59.lowmacro-d011222a</t>
  </si>
  <si>
    <t>Computers and Electronics</t>
  </si>
  <si>
    <t>Industrial Macroeconomic: Manufacturing: Computers and Electronics: Low economic growth</t>
  </si>
  <si>
    <t>34-AEO2022.60.lowmacro-d011222a</t>
  </si>
  <si>
    <t>Transportation Equipment</t>
  </si>
  <si>
    <t>Industrial Macroeconomic: Manufacturing: Transportation Equipment: Low economic growth</t>
  </si>
  <si>
    <t>34-AEO2022.61.lowmacro-d011222a</t>
  </si>
  <si>
    <t>Electrical Equipment</t>
  </si>
  <si>
    <t>Industrial Macroeconomic: Manufacturing: Electrical Equipment: Low economic growth</t>
  </si>
  <si>
    <t>34-AEO2022.62.lowmacro-d011222a</t>
  </si>
  <si>
    <t>Miscellaneous Manufacturing</t>
  </si>
  <si>
    <t>Industrial Macroeconomic: Manufacturing: Miscellaneous Manufacturing: Low economic growth</t>
  </si>
  <si>
    <t>34-AEO2022.63.lowmacro-d011222a</t>
  </si>
  <si>
    <t>Industrial Macroeconomic: Total Industrial Value of Shipments: Low economic growth</t>
  </si>
  <si>
    <t>34-AEO2022.65.lowmacro-d011222a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</si>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</sst>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0.0"/>
    <numFmt numFmtId="167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vertAlign val="superscript"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color theme="1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</font>
    <font>
      <b/>
      <sz val="12"/>
      <color indexed="30"/>
      <name val="Calibri"/>
      <family val="2"/>
    </font>
    <font>
      <sz val="9"/>
      <name val="Calibri"/>
      <family val="2"/>
    </font>
    <font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8">
      <alignment wrapText="1"/>
    </xf>
    <xf numFmtId="0" fontId="18" fillId="0" borderId="0">
      <alignment horizontal="left"/>
    </xf>
    <xf numFmtId="0" fontId="16" fillId="0" borderId="9">
      <alignment wrapText="1"/>
    </xf>
    <xf numFmtId="0" fontId="15" fillId="0" borderId="10">
      <alignment wrapText="1"/>
    </xf>
    <xf numFmtId="0" fontId="15" fillId="0" borderId="11">
      <alignment wrapText="1"/>
    </xf>
  </cellStyleXfs>
  <cellXfs count="10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0" fillId="2" borderId="0" xfId="0" applyFill="1"/>
    <xf numFmtId="0" fontId="5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top" wrapText="1"/>
    </xf>
    <xf numFmtId="49" fontId="7" fillId="0" borderId="4" xfId="0" applyNumberFormat="1" applyFont="1" applyBorder="1" applyAlignment="1">
      <alignment vertical="top" wrapText="1"/>
    </xf>
    <xf numFmtId="164" fontId="8" fillId="0" borderId="0" xfId="0" applyNumberFormat="1" applyFont="1" applyAlignment="1">
      <alignment horizontal="right"/>
    </xf>
    <xf numFmtId="165" fontId="3" fillId="0" borderId="4" xfId="3" applyNumberFormat="1" applyFont="1" applyFill="1" applyBorder="1" applyAlignment="1">
      <alignment horizontal="right"/>
    </xf>
    <xf numFmtId="164" fontId="3" fillId="0" borderId="4" xfId="3" applyNumberFormat="1" applyFont="1" applyFill="1" applyBorder="1" applyAlignment="1">
      <alignment horizontal="right"/>
    </xf>
    <xf numFmtId="165" fontId="8" fillId="0" borderId="0" xfId="0" applyNumberFormat="1" applyFont="1" applyAlignment="1">
      <alignment horizontal="right"/>
    </xf>
    <xf numFmtId="0" fontId="7" fillId="0" borderId="5" xfId="0" applyFont="1" applyBorder="1" applyAlignment="1">
      <alignment vertical="top" wrapText="1"/>
    </xf>
    <xf numFmtId="49" fontId="7" fillId="0" borderId="6" xfId="0" applyNumberFormat="1" applyFont="1" applyBorder="1" applyAlignment="1">
      <alignment vertical="top" wrapText="1"/>
    </xf>
    <xf numFmtId="0" fontId="8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8" fillId="0" borderId="0" xfId="0" applyFont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10" fillId="0" borderId="5" xfId="0" applyFont="1" applyBorder="1" applyAlignment="1">
      <alignment vertical="top" wrapText="1"/>
    </xf>
    <xf numFmtId="49" fontId="8" fillId="0" borderId="5" xfId="0" applyNumberFormat="1" applyFont="1" applyBorder="1" applyAlignment="1">
      <alignment vertical="top" wrapText="1"/>
    </xf>
    <xf numFmtId="164" fontId="8" fillId="0" borderId="5" xfId="0" applyNumberFormat="1" applyFont="1" applyBorder="1" applyAlignment="1">
      <alignment horizontal="right"/>
    </xf>
    <xf numFmtId="166" fontId="8" fillId="0" borderId="0" xfId="3" applyNumberFormat="1" applyFont="1" applyAlignment="1">
      <alignment horizontal="right"/>
    </xf>
    <xf numFmtId="164" fontId="0" fillId="0" borderId="0" xfId="0" applyNumberFormat="1"/>
    <xf numFmtId="49" fontId="3" fillId="0" borderId="5" xfId="0" applyNumberFormat="1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166" fontId="8" fillId="0" borderId="0" xfId="3" applyNumberFormat="1" applyFont="1" applyFill="1" applyAlignment="1">
      <alignment horizontal="right"/>
    </xf>
    <xf numFmtId="164" fontId="8" fillId="0" borderId="7" xfId="0" applyNumberFormat="1" applyFont="1" applyBorder="1" applyAlignment="1">
      <alignment horizontal="right"/>
    </xf>
    <xf numFmtId="166" fontId="8" fillId="0" borderId="5" xfId="0" quotePrefix="1" applyNumberFormat="1" applyFont="1" applyBorder="1" applyAlignment="1">
      <alignment horizontal="right"/>
    </xf>
    <xf numFmtId="164" fontId="8" fillId="0" borderId="5" xfId="0" quotePrefix="1" applyNumberFormat="1" applyFont="1" applyBorder="1" applyAlignment="1">
      <alignment horizontal="right"/>
    </xf>
    <xf numFmtId="0" fontId="8" fillId="0" borderId="5" xfId="0" quotePrefix="1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3" fillId="0" borderId="0" xfId="0" applyFont="1"/>
    <xf numFmtId="0" fontId="8" fillId="0" borderId="0" xfId="0" applyFont="1" applyAlignment="1">
      <alignment wrapText="1"/>
    </xf>
    <xf numFmtId="0" fontId="15" fillId="0" borderId="0" xfId="5"/>
    <xf numFmtId="0" fontId="15" fillId="0" borderId="0" xfId="6"/>
    <xf numFmtId="0" fontId="16" fillId="0" borderId="8" xfId="7">
      <alignment wrapText="1"/>
    </xf>
    <xf numFmtId="0" fontId="17" fillId="0" borderId="0" xfId="5" applyFont="1"/>
    <xf numFmtId="0" fontId="4" fillId="0" borderId="0" xfId="5" applyFont="1"/>
    <xf numFmtId="0" fontId="18" fillId="0" borderId="0" xfId="8">
      <alignment horizontal="left"/>
    </xf>
    <xf numFmtId="0" fontId="16" fillId="0" borderId="0" xfId="5" applyFont="1" applyAlignment="1">
      <alignment horizontal="right"/>
    </xf>
    <xf numFmtId="0" fontId="15" fillId="0" borderId="0" xfId="5" applyAlignment="1">
      <alignment horizontal="left"/>
    </xf>
    <xf numFmtId="0" fontId="16" fillId="0" borderId="8" xfId="7" applyAlignment="1">
      <alignment horizontal="right" wrapText="1"/>
    </xf>
    <xf numFmtId="0" fontId="16" fillId="0" borderId="9" xfId="9">
      <alignment wrapText="1"/>
    </xf>
    <xf numFmtId="3" fontId="16" fillId="0" borderId="9" xfId="9" applyNumberFormat="1" applyAlignment="1">
      <alignment horizontal="right" wrapText="1"/>
    </xf>
    <xf numFmtId="0" fontId="0" fillId="0" borderId="10" xfId="10" applyFont="1">
      <alignment wrapText="1"/>
    </xf>
    <xf numFmtId="3" fontId="0" fillId="0" borderId="10" xfId="10" applyNumberFormat="1" applyFont="1" applyAlignment="1">
      <alignment horizontal="right" wrapText="1"/>
    </xf>
    <xf numFmtId="0" fontId="19" fillId="0" borderId="0" xfId="5" applyFont="1"/>
    <xf numFmtId="0" fontId="15" fillId="0" borderId="0" xfId="5" applyAlignment="1">
      <alignment horizontal="left" indent="1"/>
    </xf>
    <xf numFmtId="0" fontId="1" fillId="3" borderId="0" xfId="0" applyFont="1" applyFill="1" applyAlignment="1">
      <alignment horizontal="left"/>
    </xf>
    <xf numFmtId="0" fontId="2" fillId="0" borderId="0" xfId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right"/>
    </xf>
    <xf numFmtId="167" fontId="0" fillId="0" borderId="0" xfId="4" applyNumberFormat="1" applyFont="1"/>
    <xf numFmtId="0" fontId="1" fillId="6" borderId="0" xfId="0" applyFont="1" applyFill="1"/>
    <xf numFmtId="0" fontId="0" fillId="6" borderId="0" xfId="0" applyFill="1"/>
    <xf numFmtId="0" fontId="16" fillId="2" borderId="0" xfId="5" applyFont="1" applyFill="1"/>
    <xf numFmtId="0" fontId="4" fillId="3" borderId="0" xfId="5" applyFont="1" applyFill="1"/>
    <xf numFmtId="10" fontId="0" fillId="0" borderId="0" xfId="4" applyNumberFormat="1" applyFont="1"/>
    <xf numFmtId="0" fontId="1" fillId="5" borderId="0" xfId="0" applyFont="1" applyFill="1"/>
    <xf numFmtId="10" fontId="0" fillId="2" borderId="0" xfId="4" applyNumberFormat="1" applyFont="1" applyFill="1"/>
    <xf numFmtId="167" fontId="0" fillId="0" borderId="0" xfId="0" applyNumberFormat="1"/>
    <xf numFmtId="0" fontId="1" fillId="7" borderId="0" xfId="0" applyFont="1" applyFill="1"/>
    <xf numFmtId="9" fontId="0" fillId="0" borderId="0" xfId="4" applyFont="1"/>
    <xf numFmtId="9" fontId="0" fillId="0" borderId="0" xfId="0" applyNumberFormat="1"/>
    <xf numFmtId="0" fontId="1" fillId="8" borderId="0" xfId="0" applyFont="1" applyFill="1"/>
    <xf numFmtId="0" fontId="0" fillId="8" borderId="0" xfId="0" applyFill="1"/>
    <xf numFmtId="0" fontId="1" fillId="0" borderId="0" xfId="0" applyFont="1" applyAlignment="1">
      <alignment horizontal="right" wrapText="1"/>
    </xf>
    <xf numFmtId="0" fontId="1" fillId="4" borderId="0" xfId="0" applyFont="1" applyFill="1"/>
    <xf numFmtId="0" fontId="0" fillId="2" borderId="0" xfId="0" applyFill="1" applyAlignment="1">
      <alignment horizontal="left"/>
    </xf>
    <xf numFmtId="2" fontId="0" fillId="0" borderId="0" xfId="0" applyNumberFormat="1"/>
    <xf numFmtId="0" fontId="0" fillId="7" borderId="0" xfId="0" applyFill="1" applyAlignment="1">
      <alignment horizontal="left"/>
    </xf>
    <xf numFmtId="0" fontId="1" fillId="2" borderId="0" xfId="0" applyFont="1" applyFill="1" applyAlignment="1">
      <alignment horizontal="right"/>
    </xf>
    <xf numFmtId="10" fontId="0" fillId="0" borderId="0" xfId="0" applyNumberFormat="1"/>
    <xf numFmtId="3" fontId="16" fillId="9" borderId="9" xfId="9" applyNumberFormat="1" applyFill="1" applyAlignment="1">
      <alignment horizontal="right" wrapText="1"/>
    </xf>
    <xf numFmtId="0" fontId="15" fillId="9" borderId="0" xfId="5" applyFill="1"/>
    <xf numFmtId="3" fontId="0" fillId="9" borderId="10" xfId="10" applyNumberFormat="1" applyFont="1" applyFill="1" applyAlignment="1">
      <alignment horizontal="right" wrapText="1"/>
    </xf>
    <xf numFmtId="167" fontId="16" fillId="9" borderId="9" xfId="4" applyNumberFormat="1" applyFont="1" applyFill="1" applyBorder="1" applyAlignment="1">
      <alignment horizontal="right" wrapText="1"/>
    </xf>
    <xf numFmtId="167" fontId="15" fillId="9" borderId="0" xfId="4" applyNumberFormat="1" applyFont="1" applyFill="1"/>
    <xf numFmtId="167" fontId="0" fillId="9" borderId="10" xfId="4" applyNumberFormat="1" applyFont="1" applyFill="1" applyBorder="1" applyAlignment="1">
      <alignment horizontal="right" wrapText="1"/>
    </xf>
    <xf numFmtId="14" fontId="0" fillId="0" borderId="0" xfId="0" applyNumberFormat="1"/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49" fontId="3" fillId="0" borderId="0" xfId="0" applyNumberFormat="1" applyFont="1" applyAlignment="1">
      <alignment horizontal="left" wrapText="1"/>
    </xf>
    <xf numFmtId="0" fontId="10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49" fontId="13" fillId="0" borderId="0" xfId="0" applyNumberFormat="1" applyFont="1" applyAlignment="1">
      <alignment wrapText="1"/>
    </xf>
    <xf numFmtId="0" fontId="15" fillId="0" borderId="0" xfId="5"/>
    <xf numFmtId="0" fontId="15" fillId="0" borderId="11" xfId="11">
      <alignment wrapText="1"/>
    </xf>
    <xf numFmtId="0" fontId="15" fillId="0" borderId="0" xfId="5" applyAlignment="1">
      <alignment horizontal="left"/>
    </xf>
    <xf numFmtId="0" fontId="20" fillId="0" borderId="0" xfId="5" applyFont="1"/>
  </cellXfs>
  <cellStyles count="12">
    <cellStyle name="Body: normal cell" xfId="10" xr:uid="{1E571901-62A3-490E-A9CE-5146011C1E6C}"/>
    <cellStyle name="Comma" xfId="3" builtinId="3"/>
    <cellStyle name="Font: Calibri, 9pt regular" xfId="6" xr:uid="{25FCE220-E6F3-428F-8DE7-22D731B9712E}"/>
    <cellStyle name="Footnotes: top row" xfId="11" xr:uid="{2677079D-F511-4F68-B05E-FB845AB9D3F4}"/>
    <cellStyle name="Header: bottom row" xfId="7" xr:uid="{469194D9-C3F1-450B-9B02-CB17498708FE}"/>
    <cellStyle name="Hyperlink" xfId="1" builtinId="8"/>
    <cellStyle name="Normal" xfId="0" builtinId="0"/>
    <cellStyle name="Normal 2" xfId="2" xr:uid="{3ADF3FF5-E4D2-4BC8-9960-7408DCCB591E}"/>
    <cellStyle name="Normal 3" xfId="5" xr:uid="{30826B47-D06C-4748-9DDD-ABA68B8B9493}"/>
    <cellStyle name="Parent row" xfId="9" xr:uid="{667DBEB3-6D87-4DEF-AC53-30ED1A57F70C}"/>
    <cellStyle name="Percent" xfId="4" builtinId="5"/>
    <cellStyle name="Table title" xfId="8" xr:uid="{FD69BB4F-2344-4CC5-A7F5-9C09A713F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oecd.org/gdp/gdp-long-term-forecast.htm" TargetMode="External"/><Relationship Id="rId1" Type="http://schemas.openxmlformats.org/officeDocument/2006/relationships/hyperlink" Target="https://www.eia.gov/outlooks/aeo/tables_ref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workbookViewId="0"/>
  </sheetViews>
  <sheetFormatPr defaultRowHeight="15" x14ac:dyDescent="0.25"/>
  <cols>
    <col min="2" max="2" width="77.5703125" style="2" customWidth="1"/>
  </cols>
  <sheetData>
    <row r="1" spans="1:3" x14ac:dyDescent="0.25">
      <c r="A1" s="1" t="s">
        <v>665</v>
      </c>
      <c r="B1" s="2" t="s">
        <v>857</v>
      </c>
      <c r="C1" s="88">
        <v>44810</v>
      </c>
    </row>
    <row r="3" spans="1:3" x14ac:dyDescent="0.25">
      <c r="A3" s="1" t="s">
        <v>0</v>
      </c>
      <c r="B3" s="57" t="s">
        <v>705</v>
      </c>
    </row>
    <row r="4" spans="1:3" x14ac:dyDescent="0.25">
      <c r="B4" s="2" t="s">
        <v>645</v>
      </c>
    </row>
    <row r="5" spans="1:3" x14ac:dyDescent="0.25">
      <c r="B5" s="2">
        <v>2021</v>
      </c>
    </row>
    <row r="6" spans="1:3" x14ac:dyDescent="0.25">
      <c r="B6" s="2" t="s">
        <v>548</v>
      </c>
    </row>
    <row r="7" spans="1:3" x14ac:dyDescent="0.25">
      <c r="B7" s="58" t="s">
        <v>646</v>
      </c>
    </row>
    <row r="8" spans="1:3" x14ac:dyDescent="0.25">
      <c r="B8" s="2" t="s">
        <v>647</v>
      </c>
    </row>
    <row r="10" spans="1:3" x14ac:dyDescent="0.25">
      <c r="B10" s="2" t="s">
        <v>38</v>
      </c>
    </row>
    <row r="11" spans="1:3" x14ac:dyDescent="0.25">
      <c r="B11" s="2">
        <v>2020</v>
      </c>
    </row>
    <row r="12" spans="1:3" x14ac:dyDescent="0.25">
      <c r="B12" s="2" t="s">
        <v>648</v>
      </c>
    </row>
    <row r="13" spans="1:3" x14ac:dyDescent="0.25">
      <c r="B13" s="2" t="s">
        <v>649</v>
      </c>
    </row>
    <row r="14" spans="1:3" x14ac:dyDescent="0.25">
      <c r="B14" s="2" t="s">
        <v>650</v>
      </c>
    </row>
    <row r="16" spans="1:3" x14ac:dyDescent="0.25">
      <c r="B16" s="57" t="s">
        <v>704</v>
      </c>
    </row>
    <row r="17" spans="1:2" x14ac:dyDescent="0.25">
      <c r="B17" t="s">
        <v>1</v>
      </c>
    </row>
    <row r="18" spans="1:2" x14ac:dyDescent="0.25">
      <c r="B18" s="2">
        <v>2018</v>
      </c>
    </row>
    <row r="19" spans="1:2" x14ac:dyDescent="0.25">
      <c r="B19" t="s">
        <v>706</v>
      </c>
    </row>
    <row r="20" spans="1:2" x14ac:dyDescent="0.25">
      <c r="B20" s="3" t="s">
        <v>707</v>
      </c>
    </row>
    <row r="21" spans="1:2" x14ac:dyDescent="0.25">
      <c r="B21" t="s">
        <v>708</v>
      </c>
    </row>
    <row r="23" spans="1:2" x14ac:dyDescent="0.25">
      <c r="A23" s="1" t="s">
        <v>2</v>
      </c>
    </row>
    <row r="25" spans="1:2" x14ac:dyDescent="0.25">
      <c r="A25" t="s">
        <v>681</v>
      </c>
    </row>
    <row r="26" spans="1:2" x14ac:dyDescent="0.25">
      <c r="A26" t="s">
        <v>682</v>
      </c>
    </row>
    <row r="28" spans="1:2" x14ac:dyDescent="0.25">
      <c r="A28" t="s">
        <v>683</v>
      </c>
    </row>
    <row r="29" spans="1:2" x14ac:dyDescent="0.25">
      <c r="A29" t="s">
        <v>685</v>
      </c>
    </row>
    <row r="30" spans="1:2" x14ac:dyDescent="0.25">
      <c r="A30" t="s">
        <v>684</v>
      </c>
    </row>
    <row r="31" spans="1:2" x14ac:dyDescent="0.25">
      <c r="A31" t="s">
        <v>686</v>
      </c>
    </row>
    <row r="33" spans="1:2" x14ac:dyDescent="0.25">
      <c r="A33" t="s">
        <v>687</v>
      </c>
    </row>
    <row r="34" spans="1:2" x14ac:dyDescent="0.25">
      <c r="A34" t="s">
        <v>688</v>
      </c>
    </row>
    <row r="35" spans="1:2" x14ac:dyDescent="0.25">
      <c r="A35" t="s">
        <v>689</v>
      </c>
    </row>
    <row r="37" spans="1:2" x14ac:dyDescent="0.25">
      <c r="A37" t="s">
        <v>690</v>
      </c>
    </row>
    <row r="38" spans="1:2" x14ac:dyDescent="0.25">
      <c r="A38" t="s">
        <v>691</v>
      </c>
    </row>
    <row r="40" spans="1:2" x14ac:dyDescent="0.25">
      <c r="A40" t="s">
        <v>692</v>
      </c>
    </row>
    <row r="41" spans="1:2" x14ac:dyDescent="0.25">
      <c r="A41" t="s">
        <v>693</v>
      </c>
    </row>
    <row r="42" spans="1:2" x14ac:dyDescent="0.25">
      <c r="A42" t="s">
        <v>694</v>
      </c>
    </row>
    <row r="43" spans="1:2" x14ac:dyDescent="0.25">
      <c r="A43" t="s">
        <v>695</v>
      </c>
    </row>
    <row r="45" spans="1:2" x14ac:dyDescent="0.25">
      <c r="A45" s="59" t="s">
        <v>699</v>
      </c>
      <c r="B45" s="77"/>
    </row>
    <row r="47" spans="1:2" x14ac:dyDescent="0.25">
      <c r="A47" t="s">
        <v>696</v>
      </c>
    </row>
    <row r="48" spans="1:2" x14ac:dyDescent="0.25">
      <c r="A48" t="s">
        <v>700</v>
      </c>
    </row>
    <row r="49" spans="1:2" x14ac:dyDescent="0.25">
      <c r="A49" t="s">
        <v>701</v>
      </c>
    </row>
    <row r="50" spans="1:2" x14ac:dyDescent="0.25">
      <c r="A50" t="s">
        <v>702</v>
      </c>
    </row>
    <row r="51" spans="1:2" x14ac:dyDescent="0.25">
      <c r="A51" t="s">
        <v>697</v>
      </c>
    </row>
    <row r="52" spans="1:2" x14ac:dyDescent="0.25">
      <c r="A52" t="s">
        <v>703</v>
      </c>
    </row>
    <row r="53" spans="1:2" x14ac:dyDescent="0.25">
      <c r="A53" t="s">
        <v>698</v>
      </c>
    </row>
    <row r="55" spans="1:2" x14ac:dyDescent="0.25">
      <c r="A55" s="70" t="s">
        <v>726</v>
      </c>
      <c r="B55" s="79"/>
    </row>
    <row r="57" spans="1:2" x14ac:dyDescent="0.25">
      <c r="A57" t="s">
        <v>721</v>
      </c>
      <c r="B57"/>
    </row>
    <row r="58" spans="1:2" x14ac:dyDescent="0.25">
      <c r="B58"/>
    </row>
    <row r="59" spans="1:2" x14ac:dyDescent="0.25">
      <c r="A59" t="s">
        <v>722</v>
      </c>
      <c r="B59"/>
    </row>
    <row r="60" spans="1:2" x14ac:dyDescent="0.25">
      <c r="A60" t="s">
        <v>723</v>
      </c>
      <c r="B60"/>
    </row>
    <row r="61" spans="1:2" x14ac:dyDescent="0.25">
      <c r="B61"/>
    </row>
    <row r="62" spans="1:2" x14ac:dyDescent="0.25">
      <c r="A62">
        <v>1.0529130131709286</v>
      </c>
      <c r="B62" t="s">
        <v>724</v>
      </c>
    </row>
    <row r="63" spans="1:2" x14ac:dyDescent="0.25">
      <c r="A63">
        <f>10^6</f>
        <v>1000000</v>
      </c>
      <c r="B63" t="s">
        <v>725</v>
      </c>
    </row>
  </sheetData>
  <hyperlinks>
    <hyperlink ref="B7" r:id="rId1" xr:uid="{45204913-A7F0-449B-B5F2-3CB3DA1AD8A7}"/>
    <hyperlink ref="B20" r:id="rId2" xr:uid="{00BD3F90-606D-4472-9F50-4CB5D7D7B76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972C-4710-44BC-A3E2-90D8574575CF}">
  <sheetPr>
    <pageSetUpPr fitToPage="1"/>
  </sheetPr>
  <dimension ref="A1:S270"/>
  <sheetViews>
    <sheetView zoomScaleNormal="100" workbookViewId="0">
      <pane ySplit="4" topLeftCell="A5" activePane="bottomLeft" state="frozen"/>
      <selection sqref="A1:N1"/>
      <selection pane="bottomLeft" sqref="A1:N1"/>
    </sheetView>
  </sheetViews>
  <sheetFormatPr defaultColWidth="9.140625" defaultRowHeight="15" x14ac:dyDescent="0.25"/>
  <cols>
    <col min="1" max="1" width="50.7109375" customWidth="1"/>
    <col min="2" max="2" width="10.7109375" customWidth="1"/>
    <col min="3" max="14" width="11.42578125" customWidth="1"/>
    <col min="15" max="15" width="28.140625" customWidth="1"/>
  </cols>
  <sheetData>
    <row r="1" spans="1:19" ht="15.75" thickBot="1" x14ac:dyDescent="0.3">
      <c r="A1" s="89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9" ht="15.75" thickBot="1" x14ac:dyDescent="0.3">
      <c r="A2" s="91" t="s">
        <v>50</v>
      </c>
      <c r="B2" s="92" t="s">
        <v>51</v>
      </c>
      <c r="C2" s="91" t="s">
        <v>52</v>
      </c>
      <c r="D2" s="91"/>
      <c r="E2" s="91"/>
      <c r="F2" s="91"/>
      <c r="G2" s="91"/>
      <c r="H2" s="91"/>
      <c r="I2" s="91"/>
      <c r="J2" s="91" t="s">
        <v>35</v>
      </c>
      <c r="K2" s="91"/>
      <c r="L2" s="91"/>
      <c r="M2" s="91"/>
      <c r="N2" s="91"/>
    </row>
    <row r="3" spans="1:19" ht="33.75" customHeight="1" thickBot="1" x14ac:dyDescent="0.3">
      <c r="A3" s="91"/>
      <c r="B3" s="92"/>
      <c r="C3" s="93" t="s">
        <v>53</v>
      </c>
      <c r="D3" s="93"/>
      <c r="E3" s="93"/>
      <c r="F3" s="93" t="s">
        <v>54</v>
      </c>
      <c r="G3" s="93"/>
      <c r="H3" s="91" t="s">
        <v>55</v>
      </c>
      <c r="I3" s="91"/>
      <c r="J3" s="91" t="s">
        <v>56</v>
      </c>
      <c r="K3" s="91"/>
      <c r="L3" s="91"/>
      <c r="M3" s="91" t="s">
        <v>55</v>
      </c>
      <c r="N3" s="94"/>
      <c r="O3" s="6"/>
    </row>
    <row r="4" spans="1:19" ht="15.75" thickBot="1" x14ac:dyDescent="0.3">
      <c r="A4" s="91"/>
      <c r="B4" s="92"/>
      <c r="C4" s="12">
        <v>2009</v>
      </c>
      <c r="D4" s="13">
        <v>2019</v>
      </c>
      <c r="E4" s="13">
        <v>2029</v>
      </c>
      <c r="F4" s="13" t="s">
        <v>57</v>
      </c>
      <c r="G4" s="13" t="s">
        <v>58</v>
      </c>
      <c r="H4" s="13" t="s">
        <v>57</v>
      </c>
      <c r="I4" s="13" t="s">
        <v>58</v>
      </c>
      <c r="J4" s="12">
        <v>2009</v>
      </c>
      <c r="K4" s="13">
        <v>2019</v>
      </c>
      <c r="L4" s="13">
        <v>2029</v>
      </c>
      <c r="M4" s="13" t="s">
        <v>57</v>
      </c>
      <c r="N4" s="13" t="s">
        <v>58</v>
      </c>
      <c r="O4" s="59" t="s">
        <v>651</v>
      </c>
    </row>
    <row r="5" spans="1:19" ht="14.45" customHeight="1" x14ac:dyDescent="0.25">
      <c r="A5" s="14" t="s">
        <v>59</v>
      </c>
      <c r="B5" s="15" t="s">
        <v>60</v>
      </c>
      <c r="C5" s="16">
        <v>143036.39999999997</v>
      </c>
      <c r="D5" s="17">
        <v>162795.6</v>
      </c>
      <c r="E5" s="17">
        <v>168834.7</v>
      </c>
      <c r="F5" s="16">
        <v>19759.200000000041</v>
      </c>
      <c r="G5" s="18">
        <v>6039.1</v>
      </c>
      <c r="H5" s="19">
        <v>1.3</v>
      </c>
      <c r="I5" s="18">
        <v>0.4</v>
      </c>
      <c r="J5" s="17">
        <v>27293.3</v>
      </c>
      <c r="K5" s="17">
        <v>34049.9</v>
      </c>
      <c r="L5" s="17">
        <v>40867.599999999999</v>
      </c>
      <c r="M5" s="18">
        <v>2.2000000000000002</v>
      </c>
      <c r="N5" s="18">
        <v>1.8</v>
      </c>
      <c r="O5" s="9"/>
    </row>
    <row r="6" spans="1:19" ht="14.45" customHeight="1" x14ac:dyDescent="0.25">
      <c r="A6" s="20" t="s">
        <v>60</v>
      </c>
      <c r="B6" s="21"/>
      <c r="C6" s="22"/>
      <c r="D6" s="23"/>
      <c r="E6" s="23"/>
      <c r="F6" s="24"/>
      <c r="G6" s="25"/>
      <c r="H6" s="24"/>
      <c r="I6" s="25"/>
      <c r="J6" s="23"/>
      <c r="K6" s="23"/>
      <c r="L6" s="23"/>
      <c r="M6" s="26"/>
      <c r="N6" s="26"/>
    </row>
    <row r="7" spans="1:19" ht="14.45" customHeight="1" x14ac:dyDescent="0.25">
      <c r="A7" s="27" t="s">
        <v>61</v>
      </c>
      <c r="B7" s="28" t="s">
        <v>62</v>
      </c>
      <c r="C7" s="16">
        <v>132029.19999999998</v>
      </c>
      <c r="D7" s="29">
        <v>151709.70000000001</v>
      </c>
      <c r="E7" s="29">
        <v>158115.6</v>
      </c>
      <c r="F7" s="16">
        <v>19680.500000000029</v>
      </c>
      <c r="G7" s="29">
        <v>6405.9</v>
      </c>
      <c r="H7" s="30">
        <v>1.4</v>
      </c>
      <c r="I7" s="29">
        <v>0.4</v>
      </c>
      <c r="J7" s="29">
        <v>26836.2</v>
      </c>
      <c r="K7" s="29">
        <v>33487.1</v>
      </c>
      <c r="L7" s="29">
        <v>40193.300000000003</v>
      </c>
      <c r="M7" s="29">
        <v>2.2000000000000002</v>
      </c>
      <c r="N7" s="29">
        <v>1.8</v>
      </c>
      <c r="O7" s="9"/>
      <c r="P7" s="31"/>
      <c r="Q7" s="31"/>
      <c r="R7" s="31"/>
      <c r="S7" s="31"/>
    </row>
    <row r="8" spans="1:19" ht="14.45" customHeight="1" x14ac:dyDescent="0.25">
      <c r="A8" s="32" t="s">
        <v>63</v>
      </c>
      <c r="B8" s="32" t="s">
        <v>64</v>
      </c>
      <c r="C8" s="16">
        <v>643.29999999999995</v>
      </c>
      <c r="D8" s="29">
        <v>684.6</v>
      </c>
      <c r="E8" s="29">
        <v>777.8</v>
      </c>
      <c r="F8" s="16">
        <v>41.300000000000068</v>
      </c>
      <c r="G8" s="29">
        <v>93.2</v>
      </c>
      <c r="H8" s="30">
        <v>0.6</v>
      </c>
      <c r="I8" s="29">
        <v>1.3</v>
      </c>
      <c r="J8" s="29">
        <v>485.8</v>
      </c>
      <c r="K8" s="29">
        <v>635.29999999999995</v>
      </c>
      <c r="L8" s="29">
        <v>835.5</v>
      </c>
      <c r="M8" s="29">
        <v>2.7</v>
      </c>
      <c r="N8" s="29">
        <v>2.8</v>
      </c>
      <c r="O8" s="9"/>
      <c r="P8" s="31"/>
      <c r="Q8" s="31"/>
      <c r="R8" s="31"/>
    </row>
    <row r="9" spans="1:19" ht="14.45" customHeight="1" x14ac:dyDescent="0.25">
      <c r="A9" s="33" t="s">
        <v>65</v>
      </c>
      <c r="B9" s="32" t="s">
        <v>66</v>
      </c>
      <c r="C9" s="16">
        <v>159.80000000000001</v>
      </c>
      <c r="D9" s="29">
        <v>150.1</v>
      </c>
      <c r="E9" s="29">
        <v>129.69999999999999</v>
      </c>
      <c r="F9" s="16">
        <v>-9.7000000000000171</v>
      </c>
      <c r="G9" s="29">
        <v>-20.399999999999999</v>
      </c>
      <c r="H9" s="30">
        <v>-0.6</v>
      </c>
      <c r="I9" s="29">
        <v>-1.4</v>
      </c>
      <c r="J9" s="29">
        <v>278.2</v>
      </c>
      <c r="K9" s="29">
        <v>474.3</v>
      </c>
      <c r="L9" s="29">
        <v>659.6</v>
      </c>
      <c r="M9" s="29">
        <v>5.5</v>
      </c>
      <c r="N9" s="29">
        <v>3.4</v>
      </c>
      <c r="O9" t="s">
        <v>41</v>
      </c>
      <c r="P9" s="31"/>
      <c r="Q9" s="31"/>
      <c r="R9" s="31"/>
    </row>
    <row r="10" spans="1:19" x14ac:dyDescent="0.25">
      <c r="A10" s="33" t="s">
        <v>67</v>
      </c>
      <c r="B10" s="32" t="s">
        <v>68</v>
      </c>
      <c r="C10" s="16">
        <v>208.3</v>
      </c>
      <c r="D10" s="29">
        <v>191.4</v>
      </c>
      <c r="E10" s="29">
        <v>193.9</v>
      </c>
      <c r="F10" s="16">
        <v>-16.900000000000006</v>
      </c>
      <c r="G10" s="29">
        <v>2.5</v>
      </c>
      <c r="H10" s="30">
        <v>-0.8</v>
      </c>
      <c r="I10" s="29">
        <v>0.1</v>
      </c>
      <c r="J10" s="29">
        <v>124.6</v>
      </c>
      <c r="K10" s="29">
        <v>108.1</v>
      </c>
      <c r="L10" s="29">
        <v>114.2</v>
      </c>
      <c r="M10" s="29">
        <v>-1.4</v>
      </c>
      <c r="N10" s="29">
        <v>0.6</v>
      </c>
      <c r="O10" s="9"/>
      <c r="P10" s="31"/>
      <c r="Q10" s="31"/>
      <c r="R10" s="31"/>
    </row>
    <row r="11" spans="1:19" ht="15.75" customHeight="1" x14ac:dyDescent="0.25">
      <c r="A11" s="33" t="s">
        <v>69</v>
      </c>
      <c r="B11" s="32" t="s">
        <v>70</v>
      </c>
      <c r="C11" s="16">
        <v>81.5</v>
      </c>
      <c r="D11" s="29">
        <v>51.9</v>
      </c>
      <c r="E11" s="29">
        <v>43.6</v>
      </c>
      <c r="F11" s="16">
        <v>-29.6</v>
      </c>
      <c r="G11" s="29">
        <v>-8.3000000000000007</v>
      </c>
      <c r="H11" s="30">
        <v>-4.4000000000000004</v>
      </c>
      <c r="I11" s="29">
        <v>-1.7</v>
      </c>
      <c r="J11" s="29">
        <v>50.9</v>
      </c>
      <c r="K11" s="29">
        <v>44.8</v>
      </c>
      <c r="L11" s="29">
        <v>43.8</v>
      </c>
      <c r="M11" s="29">
        <v>-1.3</v>
      </c>
      <c r="N11" s="29">
        <v>-0.2</v>
      </c>
      <c r="O11" t="s">
        <v>40</v>
      </c>
      <c r="P11" s="31"/>
      <c r="Q11" s="31"/>
      <c r="R11" s="31"/>
    </row>
    <row r="12" spans="1:19" x14ac:dyDescent="0.25">
      <c r="A12" s="33" t="s">
        <v>71</v>
      </c>
      <c r="B12" s="32" t="s">
        <v>72</v>
      </c>
      <c r="C12" s="16">
        <v>34.799999999999997</v>
      </c>
      <c r="D12" s="29">
        <v>41.8</v>
      </c>
      <c r="E12" s="29">
        <v>48.6</v>
      </c>
      <c r="F12" s="16">
        <v>7</v>
      </c>
      <c r="G12" s="29">
        <v>6.8</v>
      </c>
      <c r="H12" s="30">
        <v>1.8</v>
      </c>
      <c r="I12" s="29">
        <v>1.5</v>
      </c>
      <c r="J12" s="29">
        <v>40.9</v>
      </c>
      <c r="K12" s="29">
        <v>36.200000000000003</v>
      </c>
      <c r="L12" s="29">
        <v>38</v>
      </c>
      <c r="M12" s="29">
        <v>-1.2</v>
      </c>
      <c r="N12" s="29">
        <v>0.5</v>
      </c>
      <c r="O12" t="s">
        <v>4</v>
      </c>
      <c r="P12" s="31"/>
      <c r="Q12" s="31"/>
      <c r="R12" s="31"/>
    </row>
    <row r="13" spans="1:19" x14ac:dyDescent="0.25">
      <c r="A13" s="33" t="s">
        <v>73</v>
      </c>
      <c r="B13" s="32" t="s">
        <v>74</v>
      </c>
      <c r="C13" s="16">
        <v>92</v>
      </c>
      <c r="D13" s="29">
        <v>97.7</v>
      </c>
      <c r="E13" s="29">
        <v>101.7</v>
      </c>
      <c r="F13" s="16">
        <v>5.7000000000000028</v>
      </c>
      <c r="G13" s="29">
        <v>4</v>
      </c>
      <c r="H13" s="30">
        <v>0.6</v>
      </c>
      <c r="I13" s="29">
        <v>0.4</v>
      </c>
      <c r="J13" s="29">
        <v>33.4</v>
      </c>
      <c r="K13" s="29">
        <v>27.3</v>
      </c>
      <c r="L13" s="29">
        <v>32.200000000000003</v>
      </c>
      <c r="M13" s="29">
        <v>-2</v>
      </c>
      <c r="N13" s="29">
        <v>1.6</v>
      </c>
      <c r="O13" t="s">
        <v>4</v>
      </c>
      <c r="P13" s="31"/>
      <c r="Q13" s="31"/>
      <c r="R13" s="31"/>
    </row>
    <row r="14" spans="1:19" x14ac:dyDescent="0.25">
      <c r="A14" s="33" t="s">
        <v>75</v>
      </c>
      <c r="B14" s="32" t="s">
        <v>76</v>
      </c>
      <c r="C14" s="16">
        <v>275.2</v>
      </c>
      <c r="D14" s="29">
        <v>343.1</v>
      </c>
      <c r="E14" s="29">
        <v>454.2</v>
      </c>
      <c r="F14" s="16">
        <v>67.900000000000034</v>
      </c>
      <c r="G14" s="29">
        <v>111.1</v>
      </c>
      <c r="H14" s="30">
        <v>2.2000000000000002</v>
      </c>
      <c r="I14" s="29">
        <v>2.8</v>
      </c>
      <c r="J14" s="29">
        <v>83.5</v>
      </c>
      <c r="K14" s="29">
        <v>82.3</v>
      </c>
      <c r="L14" s="29">
        <v>109</v>
      </c>
      <c r="M14" s="29">
        <v>-0.1</v>
      </c>
      <c r="N14" s="29">
        <v>2.9</v>
      </c>
      <c r="O14" t="s">
        <v>5</v>
      </c>
      <c r="P14" s="31"/>
      <c r="Q14" s="31"/>
      <c r="R14" s="31"/>
    </row>
    <row r="15" spans="1:19" x14ac:dyDescent="0.25">
      <c r="A15" s="33" t="s">
        <v>77</v>
      </c>
      <c r="B15" s="32" t="s">
        <v>78</v>
      </c>
      <c r="C15" s="16">
        <v>560.1</v>
      </c>
      <c r="D15" s="29">
        <v>549</v>
      </c>
      <c r="E15" s="29">
        <v>506.7</v>
      </c>
      <c r="F15" s="16">
        <v>-11.100000000000023</v>
      </c>
      <c r="G15" s="29">
        <v>-42.3</v>
      </c>
      <c r="H15" s="30">
        <v>-0.2</v>
      </c>
      <c r="I15" s="29">
        <v>-0.8</v>
      </c>
      <c r="J15" s="29">
        <v>443.6</v>
      </c>
      <c r="K15" s="29">
        <v>458.6</v>
      </c>
      <c r="L15" s="29">
        <v>534.5</v>
      </c>
      <c r="M15" s="29">
        <v>0.3</v>
      </c>
      <c r="N15" s="29">
        <v>1.5</v>
      </c>
      <c r="O15" s="9"/>
      <c r="P15" s="31"/>
      <c r="Q15" s="31"/>
      <c r="R15" s="31"/>
    </row>
    <row r="16" spans="1:19" x14ac:dyDescent="0.25">
      <c r="A16" s="33" t="s">
        <v>79</v>
      </c>
      <c r="B16" s="32" t="s">
        <v>80</v>
      </c>
      <c r="C16" s="16">
        <v>404.1</v>
      </c>
      <c r="D16" s="29">
        <v>385.5</v>
      </c>
      <c r="E16" s="29">
        <v>352</v>
      </c>
      <c r="F16" s="16">
        <v>-18.600000000000023</v>
      </c>
      <c r="G16" s="29">
        <v>-33.5</v>
      </c>
      <c r="H16" s="30">
        <v>-0.5</v>
      </c>
      <c r="I16" s="29">
        <v>-0.9</v>
      </c>
      <c r="J16" s="29">
        <v>340.5</v>
      </c>
      <c r="K16" s="29">
        <v>357</v>
      </c>
      <c r="L16" s="29">
        <v>422.3</v>
      </c>
      <c r="M16" s="29">
        <v>0.5</v>
      </c>
      <c r="N16" s="29">
        <v>1.7</v>
      </c>
      <c r="O16" t="s">
        <v>46</v>
      </c>
      <c r="P16" s="31"/>
      <c r="Q16" s="31"/>
      <c r="R16" s="31"/>
    </row>
    <row r="17" spans="1:18" x14ac:dyDescent="0.25">
      <c r="A17" s="32" t="s">
        <v>81</v>
      </c>
      <c r="B17" s="32" t="s">
        <v>82</v>
      </c>
      <c r="C17" s="16">
        <v>108.7</v>
      </c>
      <c r="D17" s="29">
        <v>110.3</v>
      </c>
      <c r="E17" s="29">
        <v>99</v>
      </c>
      <c r="F17" s="16">
        <v>1.5999999999999943</v>
      </c>
      <c r="G17" s="29">
        <v>-11.3</v>
      </c>
      <c r="H17" s="30">
        <v>0.1</v>
      </c>
      <c r="I17" s="29">
        <v>-1.1000000000000001</v>
      </c>
      <c r="J17" s="29">
        <v>88.7</v>
      </c>
      <c r="K17" s="29">
        <v>90.8</v>
      </c>
      <c r="L17" s="29">
        <v>98.8</v>
      </c>
      <c r="M17" s="29">
        <v>0.2</v>
      </c>
      <c r="N17" s="29">
        <v>0.8</v>
      </c>
      <c r="O17" t="s">
        <v>47</v>
      </c>
      <c r="P17" s="31"/>
      <c r="Q17" s="31"/>
      <c r="R17" s="31"/>
    </row>
    <row r="18" spans="1:18" x14ac:dyDescent="0.25">
      <c r="A18" s="33" t="s">
        <v>83</v>
      </c>
      <c r="B18" s="32" t="s">
        <v>84</v>
      </c>
      <c r="C18" s="16">
        <v>47.3</v>
      </c>
      <c r="D18" s="29">
        <v>53.2</v>
      </c>
      <c r="E18" s="29">
        <v>55.6</v>
      </c>
      <c r="F18" s="16">
        <v>5.9000000000000057</v>
      </c>
      <c r="G18" s="29">
        <v>2.4</v>
      </c>
      <c r="H18" s="30">
        <v>1.2</v>
      </c>
      <c r="I18" s="29">
        <v>0.4</v>
      </c>
      <c r="J18" s="29">
        <v>13</v>
      </c>
      <c r="K18" s="29">
        <v>11.4</v>
      </c>
      <c r="L18" s="29">
        <v>12.8</v>
      </c>
      <c r="M18" s="29">
        <v>-1.3</v>
      </c>
      <c r="N18" s="29">
        <v>1.1000000000000001</v>
      </c>
      <c r="O18" t="s">
        <v>48</v>
      </c>
      <c r="P18" s="31"/>
      <c r="Q18" s="31"/>
      <c r="R18" s="31"/>
    </row>
    <row r="19" spans="1:18" x14ac:dyDescent="0.25">
      <c r="A19" s="33" t="s">
        <v>85</v>
      </c>
      <c r="B19" s="32" t="s">
        <v>86</v>
      </c>
      <c r="C19" s="16">
        <v>6016.5</v>
      </c>
      <c r="D19" s="29">
        <v>7492.2</v>
      </c>
      <c r="E19" s="29">
        <v>7792.4</v>
      </c>
      <c r="F19" s="16">
        <v>1475.6999999999998</v>
      </c>
      <c r="G19" s="29">
        <v>300.2</v>
      </c>
      <c r="H19" s="30">
        <v>2.2000000000000002</v>
      </c>
      <c r="I19" s="29">
        <v>0.4</v>
      </c>
      <c r="J19" s="29">
        <v>1161.5</v>
      </c>
      <c r="K19" s="29">
        <v>1418.9</v>
      </c>
      <c r="L19" s="29">
        <v>1616.3</v>
      </c>
      <c r="M19" s="29">
        <v>2</v>
      </c>
      <c r="N19" s="29">
        <v>1.3</v>
      </c>
      <c r="O19" t="s">
        <v>19</v>
      </c>
      <c r="P19" s="31"/>
      <c r="Q19" s="31"/>
      <c r="R19" s="31"/>
    </row>
    <row r="20" spans="1:18" x14ac:dyDescent="0.25">
      <c r="A20" s="33" t="s">
        <v>87</v>
      </c>
      <c r="B20" s="32" t="s">
        <v>88</v>
      </c>
      <c r="C20" s="16">
        <v>11847.9</v>
      </c>
      <c r="D20" s="29">
        <v>12839.5</v>
      </c>
      <c r="E20" s="29">
        <v>12394.7</v>
      </c>
      <c r="F20" s="16">
        <v>991.60000000000036</v>
      </c>
      <c r="G20" s="29">
        <v>-444.8</v>
      </c>
      <c r="H20" s="30">
        <v>0.8</v>
      </c>
      <c r="I20" s="29">
        <v>-0.4</v>
      </c>
      <c r="J20" s="29">
        <v>5261.6</v>
      </c>
      <c r="K20" s="29">
        <v>6384.1</v>
      </c>
      <c r="L20" s="29">
        <v>7434</v>
      </c>
      <c r="M20" s="29">
        <v>2</v>
      </c>
      <c r="N20" s="29">
        <v>1.5</v>
      </c>
      <c r="O20" s="9"/>
      <c r="P20" s="31"/>
      <c r="Q20" s="31"/>
      <c r="R20" s="31"/>
    </row>
    <row r="21" spans="1:18" x14ac:dyDescent="0.25">
      <c r="A21" s="33" t="s">
        <v>89</v>
      </c>
      <c r="B21" s="32" t="s">
        <v>90</v>
      </c>
      <c r="C21" s="16">
        <v>1456.4</v>
      </c>
      <c r="D21" s="29">
        <v>1643.2</v>
      </c>
      <c r="E21" s="29">
        <v>1649.6</v>
      </c>
      <c r="F21" s="16">
        <v>186.79999999999995</v>
      </c>
      <c r="G21" s="29">
        <v>6.4</v>
      </c>
      <c r="H21" s="30">
        <v>1.2</v>
      </c>
      <c r="I21" s="29">
        <v>0</v>
      </c>
      <c r="J21" s="29">
        <v>736</v>
      </c>
      <c r="K21" s="29">
        <v>825</v>
      </c>
      <c r="L21" s="29">
        <v>972.1</v>
      </c>
      <c r="M21" s="29">
        <v>1.1000000000000001</v>
      </c>
      <c r="N21" s="29">
        <v>1.7</v>
      </c>
      <c r="O21" t="s">
        <v>6</v>
      </c>
      <c r="P21" s="31"/>
      <c r="Q21" s="31"/>
      <c r="R21" s="31"/>
    </row>
    <row r="22" spans="1:18" x14ac:dyDescent="0.25">
      <c r="A22" s="32" t="s">
        <v>91</v>
      </c>
      <c r="B22" s="28" t="s">
        <v>92</v>
      </c>
      <c r="C22" s="16">
        <v>51.8</v>
      </c>
      <c r="D22" s="29">
        <v>64</v>
      </c>
      <c r="E22" s="29">
        <v>74.8</v>
      </c>
      <c r="F22" s="16">
        <v>12.200000000000003</v>
      </c>
      <c r="G22" s="29">
        <v>10.8</v>
      </c>
      <c r="H22" s="30">
        <v>2.1</v>
      </c>
      <c r="I22" s="29">
        <v>1.6</v>
      </c>
      <c r="J22" s="29">
        <v>52.7</v>
      </c>
      <c r="K22" s="29">
        <v>65.7</v>
      </c>
      <c r="L22" s="29">
        <v>80.7</v>
      </c>
      <c r="M22" s="29">
        <v>2.2000000000000002</v>
      </c>
      <c r="N22" s="29">
        <v>2.1</v>
      </c>
      <c r="O22" s="9"/>
      <c r="P22" s="31"/>
      <c r="Q22" s="31"/>
      <c r="R22" s="31"/>
    </row>
    <row r="23" spans="1:18" x14ac:dyDescent="0.25">
      <c r="A23" s="32" t="s">
        <v>93</v>
      </c>
      <c r="B23" s="28" t="s">
        <v>94</v>
      </c>
      <c r="C23" s="16">
        <v>59.7</v>
      </c>
      <c r="D23" s="29">
        <v>60.6</v>
      </c>
      <c r="E23" s="29">
        <v>56.1</v>
      </c>
      <c r="F23" s="16">
        <v>0.89999999999999858</v>
      </c>
      <c r="G23" s="29">
        <v>-4.5</v>
      </c>
      <c r="H23" s="30">
        <v>0.1</v>
      </c>
      <c r="I23" s="29">
        <v>-0.8</v>
      </c>
      <c r="J23" s="29">
        <v>95</v>
      </c>
      <c r="K23" s="29">
        <v>142.69999999999999</v>
      </c>
      <c r="L23" s="29">
        <v>178.5</v>
      </c>
      <c r="M23" s="29">
        <v>4.2</v>
      </c>
      <c r="N23" s="29">
        <v>2.2999999999999998</v>
      </c>
      <c r="O23" s="9"/>
      <c r="P23" s="31"/>
      <c r="Q23" s="31"/>
      <c r="R23" s="31"/>
    </row>
    <row r="24" spans="1:18" x14ac:dyDescent="0.25">
      <c r="A24" s="33" t="s">
        <v>95</v>
      </c>
      <c r="B24" s="32" t="s">
        <v>96</v>
      </c>
      <c r="C24" s="16">
        <v>70.900000000000006</v>
      </c>
      <c r="D24" s="29">
        <v>78.8</v>
      </c>
      <c r="E24" s="29">
        <v>66.8</v>
      </c>
      <c r="F24" s="16">
        <v>7.8999999999999915</v>
      </c>
      <c r="G24" s="29">
        <v>-12</v>
      </c>
      <c r="H24" s="30">
        <v>1.1000000000000001</v>
      </c>
      <c r="I24" s="29">
        <v>-1.6</v>
      </c>
      <c r="J24" s="29">
        <v>33.5</v>
      </c>
      <c r="K24" s="29">
        <v>37.1</v>
      </c>
      <c r="L24" s="29">
        <v>38.6</v>
      </c>
      <c r="M24" s="29">
        <v>1</v>
      </c>
      <c r="N24" s="29">
        <v>0.4</v>
      </c>
      <c r="O24" s="9"/>
      <c r="P24" s="31"/>
      <c r="Q24" s="31"/>
      <c r="R24" s="31"/>
    </row>
    <row r="25" spans="1:18" ht="25.5" x14ac:dyDescent="0.25">
      <c r="A25" s="33" t="s">
        <v>97</v>
      </c>
      <c r="B25" s="32" t="s">
        <v>98</v>
      </c>
      <c r="C25" s="16">
        <v>172.3</v>
      </c>
      <c r="D25" s="29">
        <v>173.3</v>
      </c>
      <c r="E25" s="29">
        <v>158.69999999999999</v>
      </c>
      <c r="F25" s="16">
        <v>1</v>
      </c>
      <c r="G25" s="29">
        <v>-14.6</v>
      </c>
      <c r="H25" s="30">
        <v>0.1</v>
      </c>
      <c r="I25" s="29">
        <v>-0.9</v>
      </c>
      <c r="J25" s="29">
        <v>64.7</v>
      </c>
      <c r="K25" s="29">
        <v>66.599999999999994</v>
      </c>
      <c r="L25" s="29">
        <v>72.5</v>
      </c>
      <c r="M25" s="29">
        <v>0.3</v>
      </c>
      <c r="N25" s="29">
        <v>0.9</v>
      </c>
      <c r="O25" s="9"/>
      <c r="P25" s="31"/>
      <c r="Q25" s="31"/>
      <c r="R25" s="31"/>
    </row>
    <row r="26" spans="1:18" x14ac:dyDescent="0.25">
      <c r="A26" s="33" t="s">
        <v>99</v>
      </c>
      <c r="B26" s="32" t="s">
        <v>100</v>
      </c>
      <c r="C26" s="16">
        <v>130.69999999999999</v>
      </c>
      <c r="D26" s="29">
        <v>155.6</v>
      </c>
      <c r="E26" s="29">
        <v>158.69999999999999</v>
      </c>
      <c r="F26" s="16">
        <v>24.900000000000006</v>
      </c>
      <c r="G26" s="29">
        <v>3.1</v>
      </c>
      <c r="H26" s="30">
        <v>1.8</v>
      </c>
      <c r="I26" s="29">
        <v>0.2</v>
      </c>
      <c r="J26" s="29">
        <v>116.8</v>
      </c>
      <c r="K26" s="29">
        <v>123.1</v>
      </c>
      <c r="L26" s="29">
        <v>149.4</v>
      </c>
      <c r="M26" s="29">
        <v>0.5</v>
      </c>
      <c r="N26" s="29">
        <v>2</v>
      </c>
      <c r="O26" s="9"/>
      <c r="P26" s="31"/>
      <c r="Q26" s="31"/>
      <c r="R26" s="31"/>
    </row>
    <row r="27" spans="1:18" x14ac:dyDescent="0.25">
      <c r="A27" s="33" t="s">
        <v>101</v>
      </c>
      <c r="B27" s="32" t="s">
        <v>102</v>
      </c>
      <c r="C27" s="16">
        <v>497.2</v>
      </c>
      <c r="D27" s="29">
        <v>531.4</v>
      </c>
      <c r="E27" s="29">
        <v>545.4</v>
      </c>
      <c r="F27" s="16">
        <v>34.199999999999989</v>
      </c>
      <c r="G27" s="29">
        <v>14</v>
      </c>
      <c r="H27" s="30">
        <v>0.7</v>
      </c>
      <c r="I27" s="29">
        <v>0.3</v>
      </c>
      <c r="J27" s="29">
        <v>213.2</v>
      </c>
      <c r="K27" s="29">
        <v>219.9</v>
      </c>
      <c r="L27" s="29">
        <v>257.89999999999998</v>
      </c>
      <c r="M27" s="29">
        <v>0.3</v>
      </c>
      <c r="N27" s="29">
        <v>1.6</v>
      </c>
      <c r="O27" s="9"/>
      <c r="P27" s="31"/>
      <c r="Q27" s="31"/>
      <c r="R27" s="31"/>
    </row>
    <row r="28" spans="1:18" x14ac:dyDescent="0.25">
      <c r="A28" s="33" t="s">
        <v>103</v>
      </c>
      <c r="B28" s="32" t="s">
        <v>104</v>
      </c>
      <c r="C28" s="16">
        <v>38.1</v>
      </c>
      <c r="D28" s="29">
        <v>35.299999999999997</v>
      </c>
      <c r="E28" s="29">
        <v>29.3</v>
      </c>
      <c r="F28" s="16">
        <v>-2.8000000000000043</v>
      </c>
      <c r="G28" s="29">
        <v>-6</v>
      </c>
      <c r="H28" s="30">
        <v>-0.8</v>
      </c>
      <c r="I28" s="29">
        <v>-1.8</v>
      </c>
      <c r="J28" s="29">
        <v>11.6</v>
      </c>
      <c r="K28" s="29">
        <v>10.9</v>
      </c>
      <c r="L28" s="29">
        <v>13</v>
      </c>
      <c r="M28" s="29">
        <v>-0.6</v>
      </c>
      <c r="N28" s="29">
        <v>1.8</v>
      </c>
      <c r="O28" s="9"/>
      <c r="P28" s="31"/>
      <c r="Q28" s="31"/>
      <c r="R28" s="31"/>
    </row>
    <row r="29" spans="1:18" x14ac:dyDescent="0.25">
      <c r="A29" s="33" t="s">
        <v>105</v>
      </c>
      <c r="B29" s="32" t="s">
        <v>106</v>
      </c>
      <c r="C29" s="16">
        <v>273</v>
      </c>
      <c r="D29" s="29">
        <v>315.8</v>
      </c>
      <c r="E29" s="29">
        <v>303.10000000000002</v>
      </c>
      <c r="F29" s="16">
        <v>42.800000000000011</v>
      </c>
      <c r="G29" s="29">
        <v>-12.7</v>
      </c>
      <c r="H29" s="30">
        <v>1.5</v>
      </c>
      <c r="I29" s="29">
        <v>-0.4</v>
      </c>
      <c r="J29" s="29">
        <v>60.7</v>
      </c>
      <c r="K29" s="29">
        <v>66.3</v>
      </c>
      <c r="L29" s="29">
        <v>74.8</v>
      </c>
      <c r="M29" s="29">
        <v>0.9</v>
      </c>
      <c r="N29" s="29">
        <v>1.2</v>
      </c>
      <c r="O29" s="9"/>
      <c r="P29" s="31"/>
      <c r="Q29" s="31"/>
      <c r="R29" s="31"/>
    </row>
    <row r="30" spans="1:18" x14ac:dyDescent="0.25">
      <c r="A30" s="33" t="s">
        <v>107</v>
      </c>
      <c r="B30" s="32" t="s">
        <v>108</v>
      </c>
      <c r="C30" s="16">
        <v>162.69999999999999</v>
      </c>
      <c r="D30" s="29">
        <v>228.4</v>
      </c>
      <c r="E30" s="29">
        <v>256.7</v>
      </c>
      <c r="F30" s="16">
        <v>65.700000000000017</v>
      </c>
      <c r="G30" s="29">
        <v>28.3</v>
      </c>
      <c r="H30" s="30">
        <v>3.5</v>
      </c>
      <c r="I30" s="29">
        <v>1.2</v>
      </c>
      <c r="J30" s="29">
        <v>88.4</v>
      </c>
      <c r="K30" s="29">
        <v>96.8</v>
      </c>
      <c r="L30" s="29">
        <v>115</v>
      </c>
      <c r="M30" s="29">
        <v>0.9</v>
      </c>
      <c r="N30" s="29">
        <v>1.7</v>
      </c>
      <c r="O30" s="9"/>
      <c r="P30" s="31"/>
      <c r="Q30" s="31"/>
      <c r="R30" s="31"/>
    </row>
    <row r="31" spans="1:18" x14ac:dyDescent="0.25">
      <c r="A31" s="33" t="s">
        <v>109</v>
      </c>
      <c r="B31" s="32" t="s">
        <v>110</v>
      </c>
      <c r="C31" s="16">
        <v>187.4</v>
      </c>
      <c r="D31" s="29">
        <v>285.8</v>
      </c>
      <c r="E31" s="29">
        <v>296.10000000000002</v>
      </c>
      <c r="F31" s="16">
        <v>98.4</v>
      </c>
      <c r="G31" s="29">
        <v>10.3</v>
      </c>
      <c r="H31" s="30">
        <v>4.3</v>
      </c>
      <c r="I31" s="29">
        <v>0.4</v>
      </c>
      <c r="J31" s="29">
        <v>167.3</v>
      </c>
      <c r="K31" s="29">
        <v>168.2</v>
      </c>
      <c r="L31" s="29">
        <v>181.3</v>
      </c>
      <c r="M31" s="29">
        <v>0.1</v>
      </c>
      <c r="N31" s="29">
        <v>0.8</v>
      </c>
      <c r="O31" t="s">
        <v>6</v>
      </c>
      <c r="P31" s="31"/>
      <c r="Q31" s="31"/>
      <c r="R31" s="31"/>
    </row>
    <row r="32" spans="1:18" x14ac:dyDescent="0.25">
      <c r="A32" s="33" t="s">
        <v>111</v>
      </c>
      <c r="B32" s="32" t="s">
        <v>112</v>
      </c>
      <c r="C32" s="16">
        <v>168.7</v>
      </c>
      <c r="D32" s="29">
        <v>275</v>
      </c>
      <c r="E32" s="29">
        <v>289.39999999999998</v>
      </c>
      <c r="F32" s="16">
        <v>106.30000000000001</v>
      </c>
      <c r="G32" s="29">
        <v>14.4</v>
      </c>
      <c r="H32" s="30">
        <v>5</v>
      </c>
      <c r="I32" s="29">
        <v>0.5</v>
      </c>
      <c r="J32" s="29">
        <v>103.9</v>
      </c>
      <c r="K32" s="29">
        <v>121.8</v>
      </c>
      <c r="L32" s="29">
        <v>148.19999999999999</v>
      </c>
      <c r="M32" s="29">
        <v>1.6</v>
      </c>
      <c r="N32" s="29">
        <v>2</v>
      </c>
      <c r="O32" s="9"/>
      <c r="P32" s="31"/>
      <c r="Q32" s="31"/>
      <c r="R32" s="31"/>
    </row>
    <row r="33" spans="1:18" x14ac:dyDescent="0.25">
      <c r="A33" s="33" t="s">
        <v>113</v>
      </c>
      <c r="B33" s="32" t="s">
        <v>114</v>
      </c>
      <c r="C33" s="16">
        <v>18.7</v>
      </c>
      <c r="D33" s="29">
        <v>11.3</v>
      </c>
      <c r="E33" s="29">
        <v>6.7</v>
      </c>
      <c r="F33" s="16">
        <v>-7.3999999999999986</v>
      </c>
      <c r="G33" s="29">
        <v>-4.7</v>
      </c>
      <c r="H33" s="30">
        <v>-4.9000000000000004</v>
      </c>
      <c r="I33" s="29">
        <v>-5.2</v>
      </c>
      <c r="J33" s="29">
        <v>63.7</v>
      </c>
      <c r="K33" s="29">
        <v>47.3</v>
      </c>
      <c r="L33" s="29">
        <v>38.299999999999997</v>
      </c>
      <c r="M33" s="29">
        <v>-2.9</v>
      </c>
      <c r="N33" s="29">
        <v>-2.1</v>
      </c>
      <c r="O33" s="9"/>
      <c r="P33" s="31"/>
      <c r="Q33" s="31"/>
      <c r="R33" s="31"/>
    </row>
    <row r="34" spans="1:18" x14ac:dyDescent="0.25">
      <c r="A34" s="33" t="s">
        <v>115</v>
      </c>
      <c r="B34" s="32" t="s">
        <v>116</v>
      </c>
      <c r="C34" s="16">
        <v>250.1</v>
      </c>
      <c r="D34" s="29">
        <v>222</v>
      </c>
      <c r="E34" s="29">
        <v>198.3</v>
      </c>
      <c r="F34" s="16">
        <v>-28.099999999999994</v>
      </c>
      <c r="G34" s="29">
        <v>-23.7</v>
      </c>
      <c r="H34" s="30">
        <v>-1.2</v>
      </c>
      <c r="I34" s="29">
        <v>-1.1000000000000001</v>
      </c>
      <c r="J34" s="29">
        <v>51.3</v>
      </c>
      <c r="K34" s="29">
        <v>52.8</v>
      </c>
      <c r="L34" s="29">
        <v>50.3</v>
      </c>
      <c r="M34" s="29">
        <v>0.3</v>
      </c>
      <c r="N34" s="29">
        <v>-0.5</v>
      </c>
      <c r="O34" t="s">
        <v>7</v>
      </c>
      <c r="P34" s="31"/>
      <c r="Q34" s="31"/>
      <c r="R34" s="31"/>
    </row>
    <row r="35" spans="1:18" x14ac:dyDescent="0.25">
      <c r="A35" s="33" t="s">
        <v>117</v>
      </c>
      <c r="B35" s="32" t="s">
        <v>118</v>
      </c>
      <c r="C35" s="16">
        <v>196.5</v>
      </c>
      <c r="D35" s="29">
        <v>137.69999999999999</v>
      </c>
      <c r="E35" s="29">
        <v>94.2</v>
      </c>
      <c r="F35" s="16">
        <v>-58.800000000000011</v>
      </c>
      <c r="G35" s="29">
        <v>-43.5</v>
      </c>
      <c r="H35" s="30">
        <v>-3.5</v>
      </c>
      <c r="I35" s="29">
        <v>-3.7</v>
      </c>
      <c r="J35" s="29">
        <v>25.6</v>
      </c>
      <c r="K35" s="29">
        <v>19.100000000000001</v>
      </c>
      <c r="L35" s="29">
        <v>20.100000000000001</v>
      </c>
      <c r="M35" s="29">
        <v>-2.8</v>
      </c>
      <c r="N35" s="29">
        <v>0.5</v>
      </c>
      <c r="O35" t="s">
        <v>7</v>
      </c>
      <c r="P35" s="31"/>
      <c r="Q35" s="31"/>
      <c r="R35" s="31"/>
    </row>
    <row r="36" spans="1:18" x14ac:dyDescent="0.25">
      <c r="A36" s="33" t="s">
        <v>119</v>
      </c>
      <c r="B36" s="32" t="s">
        <v>120</v>
      </c>
      <c r="C36" s="16">
        <v>360.2</v>
      </c>
      <c r="D36" s="29">
        <v>408.8</v>
      </c>
      <c r="E36" s="29">
        <v>382.3</v>
      </c>
      <c r="F36" s="16">
        <v>48.600000000000023</v>
      </c>
      <c r="G36" s="29">
        <v>-26.5</v>
      </c>
      <c r="H36" s="30">
        <v>1.3</v>
      </c>
      <c r="I36" s="29">
        <v>-0.7</v>
      </c>
      <c r="J36" s="29">
        <v>74.2</v>
      </c>
      <c r="K36" s="29">
        <v>94.1</v>
      </c>
      <c r="L36" s="29">
        <v>108.3</v>
      </c>
      <c r="M36" s="29">
        <v>2.4</v>
      </c>
      <c r="N36" s="29">
        <v>1.4</v>
      </c>
      <c r="O36" t="s">
        <v>8</v>
      </c>
      <c r="P36" s="31"/>
      <c r="Q36" s="31"/>
      <c r="R36" s="31"/>
    </row>
    <row r="37" spans="1:18" x14ac:dyDescent="0.25">
      <c r="A37" s="33" t="s">
        <v>121</v>
      </c>
      <c r="B37" s="32" t="s">
        <v>122</v>
      </c>
      <c r="C37" s="16">
        <v>83.2</v>
      </c>
      <c r="D37" s="29">
        <v>92.3</v>
      </c>
      <c r="E37" s="29">
        <v>85.3</v>
      </c>
      <c r="F37" s="16">
        <v>9.0999999999999943</v>
      </c>
      <c r="G37" s="29">
        <v>-7</v>
      </c>
      <c r="H37" s="30">
        <v>1</v>
      </c>
      <c r="I37" s="29">
        <v>-0.8</v>
      </c>
      <c r="J37" s="29">
        <v>21.4</v>
      </c>
      <c r="K37" s="29">
        <v>26</v>
      </c>
      <c r="L37" s="29">
        <v>30.5</v>
      </c>
      <c r="M37" s="29">
        <v>2</v>
      </c>
      <c r="N37" s="29">
        <v>1.6</v>
      </c>
      <c r="O37" s="9"/>
      <c r="P37" s="31"/>
      <c r="Q37" s="31"/>
      <c r="R37" s="31"/>
    </row>
    <row r="38" spans="1:18" ht="25.5" x14ac:dyDescent="0.25">
      <c r="A38" s="33" t="s">
        <v>123</v>
      </c>
      <c r="B38" s="32" t="s">
        <v>124</v>
      </c>
      <c r="C38" s="16">
        <v>68.3</v>
      </c>
      <c r="D38" s="29">
        <v>82.1</v>
      </c>
      <c r="E38" s="29">
        <v>87</v>
      </c>
      <c r="F38" s="16">
        <v>13.799999999999997</v>
      </c>
      <c r="G38" s="29">
        <v>4.9000000000000004</v>
      </c>
      <c r="H38" s="30">
        <v>1.9</v>
      </c>
      <c r="I38" s="29">
        <v>0.6</v>
      </c>
      <c r="J38" s="29">
        <v>17.600000000000001</v>
      </c>
      <c r="K38" s="29">
        <v>20.399999999999999</v>
      </c>
      <c r="L38" s="29">
        <v>23.8</v>
      </c>
      <c r="M38" s="29">
        <v>1.5</v>
      </c>
      <c r="N38" s="29">
        <v>1.6</v>
      </c>
      <c r="O38" s="9"/>
      <c r="P38" s="31"/>
      <c r="Q38" s="31"/>
      <c r="R38" s="31"/>
    </row>
    <row r="39" spans="1:18" x14ac:dyDescent="0.25">
      <c r="A39" s="33" t="s">
        <v>125</v>
      </c>
      <c r="B39" s="32" t="s">
        <v>126</v>
      </c>
      <c r="C39" s="16">
        <v>208.7</v>
      </c>
      <c r="D39" s="29">
        <v>234.4</v>
      </c>
      <c r="E39" s="29">
        <v>210</v>
      </c>
      <c r="F39" s="16">
        <v>25.700000000000017</v>
      </c>
      <c r="G39" s="29">
        <v>-24.4</v>
      </c>
      <c r="H39" s="30">
        <v>1.2</v>
      </c>
      <c r="I39" s="29">
        <v>-1.1000000000000001</v>
      </c>
      <c r="J39" s="29">
        <v>35.4</v>
      </c>
      <c r="K39" s="29">
        <v>47.9</v>
      </c>
      <c r="L39" s="29">
        <v>54.2</v>
      </c>
      <c r="M39" s="29">
        <v>3.1</v>
      </c>
      <c r="N39" s="29">
        <v>1.3</v>
      </c>
      <c r="O39" s="9"/>
      <c r="P39" s="31"/>
      <c r="Q39" s="31"/>
      <c r="R39" s="31"/>
    </row>
    <row r="40" spans="1:18" x14ac:dyDescent="0.25">
      <c r="A40" s="33" t="s">
        <v>127</v>
      </c>
      <c r="B40" s="32" t="s">
        <v>128</v>
      </c>
      <c r="C40" s="16">
        <v>407</v>
      </c>
      <c r="D40" s="29">
        <v>365.3</v>
      </c>
      <c r="E40" s="29">
        <v>340</v>
      </c>
      <c r="F40" s="16">
        <v>-41.699999999999989</v>
      </c>
      <c r="G40" s="29">
        <v>-25.3</v>
      </c>
      <c r="H40" s="30">
        <v>-1.1000000000000001</v>
      </c>
      <c r="I40" s="29">
        <v>-0.7</v>
      </c>
      <c r="J40" s="29">
        <v>172.6</v>
      </c>
      <c r="K40" s="29">
        <v>176.6</v>
      </c>
      <c r="L40" s="29">
        <v>183</v>
      </c>
      <c r="M40" s="29">
        <v>0.2</v>
      </c>
      <c r="N40" s="29">
        <v>0.4</v>
      </c>
      <c r="O40" t="s">
        <v>9</v>
      </c>
      <c r="P40" s="31"/>
      <c r="Q40" s="31"/>
      <c r="R40" s="31"/>
    </row>
    <row r="41" spans="1:18" x14ac:dyDescent="0.25">
      <c r="A41" s="33" t="s">
        <v>129</v>
      </c>
      <c r="B41" s="32" t="s">
        <v>130</v>
      </c>
      <c r="C41" s="16">
        <v>116.9</v>
      </c>
      <c r="D41" s="29">
        <v>96.4</v>
      </c>
      <c r="E41" s="29">
        <v>92.3</v>
      </c>
      <c r="F41" s="16">
        <v>-20.5</v>
      </c>
      <c r="G41" s="29">
        <v>-4.0999999999999996</v>
      </c>
      <c r="H41" s="30">
        <v>-1.9</v>
      </c>
      <c r="I41" s="29">
        <v>-0.4</v>
      </c>
      <c r="J41" s="29">
        <v>79.400000000000006</v>
      </c>
      <c r="K41" s="29">
        <v>81.099999999999994</v>
      </c>
      <c r="L41" s="29">
        <v>84.4</v>
      </c>
      <c r="M41" s="29">
        <v>0.2</v>
      </c>
      <c r="N41" s="29">
        <v>0.4</v>
      </c>
      <c r="O41" s="9"/>
      <c r="P41" s="31"/>
      <c r="Q41" s="31"/>
      <c r="R41" s="31"/>
    </row>
    <row r="42" spans="1:18" x14ac:dyDescent="0.25">
      <c r="A42" s="33" t="s">
        <v>131</v>
      </c>
      <c r="B42" s="32" t="s">
        <v>132</v>
      </c>
      <c r="C42" s="16">
        <v>290.10000000000002</v>
      </c>
      <c r="D42" s="29">
        <v>268.89999999999998</v>
      </c>
      <c r="E42" s="29">
        <v>247.8</v>
      </c>
      <c r="F42" s="16">
        <v>-21.200000000000045</v>
      </c>
      <c r="G42" s="29">
        <v>-21.1</v>
      </c>
      <c r="H42" s="30">
        <v>-0.8</v>
      </c>
      <c r="I42" s="29">
        <v>-0.8</v>
      </c>
      <c r="J42" s="29">
        <v>93.2</v>
      </c>
      <c r="K42" s="29">
        <v>95.5</v>
      </c>
      <c r="L42" s="29">
        <v>98.6</v>
      </c>
      <c r="M42" s="29">
        <v>0.2</v>
      </c>
      <c r="N42" s="29">
        <v>0.3</v>
      </c>
      <c r="O42" s="9"/>
      <c r="P42" s="31"/>
      <c r="Q42" s="31"/>
      <c r="R42" s="31"/>
    </row>
    <row r="43" spans="1:18" x14ac:dyDescent="0.25">
      <c r="A43" s="33" t="s">
        <v>133</v>
      </c>
      <c r="B43" s="32" t="s">
        <v>134</v>
      </c>
      <c r="C43" s="16">
        <v>521.9</v>
      </c>
      <c r="D43" s="29">
        <v>424.6</v>
      </c>
      <c r="E43" s="29">
        <v>342.3</v>
      </c>
      <c r="F43" s="16">
        <v>-97.299999999999955</v>
      </c>
      <c r="G43" s="29">
        <v>-82.3</v>
      </c>
      <c r="H43" s="30">
        <v>-2</v>
      </c>
      <c r="I43" s="29">
        <v>-2.1</v>
      </c>
      <c r="J43" s="29">
        <v>86.1</v>
      </c>
      <c r="K43" s="29">
        <v>83.7</v>
      </c>
      <c r="L43" s="29">
        <v>89.9</v>
      </c>
      <c r="M43" s="29">
        <v>-0.3</v>
      </c>
      <c r="N43" s="29">
        <v>0.7</v>
      </c>
      <c r="O43" t="s">
        <v>9</v>
      </c>
      <c r="P43" s="31"/>
      <c r="Q43" s="31"/>
      <c r="R43" s="31"/>
    </row>
    <row r="44" spans="1:18" x14ac:dyDescent="0.25">
      <c r="A44" s="33" t="s">
        <v>135</v>
      </c>
      <c r="B44" s="32" t="s">
        <v>136</v>
      </c>
      <c r="C44" s="16">
        <v>115.3</v>
      </c>
      <c r="D44" s="29">
        <v>114.5</v>
      </c>
      <c r="E44" s="29">
        <v>109.1</v>
      </c>
      <c r="F44" s="16">
        <v>-0.79999999999999716</v>
      </c>
      <c r="G44" s="29">
        <v>-5.4</v>
      </c>
      <c r="H44" s="30">
        <v>-0.1</v>
      </c>
      <c r="I44" s="29">
        <v>-0.5</v>
      </c>
      <c r="J44" s="29">
        <v>841</v>
      </c>
      <c r="K44" s="29">
        <v>899.8</v>
      </c>
      <c r="L44" s="29">
        <v>1132</v>
      </c>
      <c r="M44" s="29">
        <v>0.7</v>
      </c>
      <c r="N44" s="29">
        <v>2.2999999999999998</v>
      </c>
      <c r="O44" t="s">
        <v>10</v>
      </c>
      <c r="P44" s="31"/>
      <c r="Q44" s="31"/>
      <c r="R44" s="31"/>
    </row>
    <row r="45" spans="1:18" x14ac:dyDescent="0.25">
      <c r="A45" s="33" t="s">
        <v>137</v>
      </c>
      <c r="B45" s="32" t="s">
        <v>138</v>
      </c>
      <c r="C45" s="16">
        <v>804.1</v>
      </c>
      <c r="D45" s="29">
        <v>849.9</v>
      </c>
      <c r="E45" s="29">
        <v>877</v>
      </c>
      <c r="F45" s="16">
        <v>45.799999999999955</v>
      </c>
      <c r="G45" s="29">
        <v>27.1</v>
      </c>
      <c r="H45" s="30">
        <v>0.6</v>
      </c>
      <c r="I45" s="29">
        <v>0.3</v>
      </c>
      <c r="J45" s="29">
        <v>743.8</v>
      </c>
      <c r="K45" s="29">
        <v>863.8</v>
      </c>
      <c r="L45" s="29">
        <v>1034.3</v>
      </c>
      <c r="M45" s="29">
        <v>1.5</v>
      </c>
      <c r="N45" s="29">
        <v>1.8</v>
      </c>
      <c r="P45" s="31"/>
      <c r="Q45" s="31"/>
      <c r="R45" s="31"/>
    </row>
    <row r="46" spans="1:18" x14ac:dyDescent="0.25">
      <c r="A46" s="33" t="s">
        <v>139</v>
      </c>
      <c r="B46" s="32" t="s">
        <v>140</v>
      </c>
      <c r="C46" s="16">
        <v>145.30000000000001</v>
      </c>
      <c r="D46" s="29">
        <v>153</v>
      </c>
      <c r="E46" s="29">
        <v>160</v>
      </c>
      <c r="F46" s="16">
        <v>7.6999999999999886</v>
      </c>
      <c r="G46" s="29">
        <v>7</v>
      </c>
      <c r="H46" s="30">
        <v>0.5</v>
      </c>
      <c r="I46" s="29">
        <v>0.4</v>
      </c>
      <c r="J46" s="29">
        <v>255.7</v>
      </c>
      <c r="K46" s="29">
        <v>331.5</v>
      </c>
      <c r="L46" s="29">
        <v>409.4</v>
      </c>
      <c r="M46" s="29">
        <v>2.6</v>
      </c>
      <c r="N46" s="29">
        <v>2.1</v>
      </c>
      <c r="O46" t="s">
        <v>36</v>
      </c>
      <c r="P46" s="31"/>
      <c r="Q46" s="31"/>
      <c r="R46" s="31"/>
    </row>
    <row r="47" spans="1:18" ht="25.5" x14ac:dyDescent="0.25">
      <c r="A47" s="33" t="s">
        <v>141</v>
      </c>
      <c r="B47" s="32" t="s">
        <v>142</v>
      </c>
      <c r="C47" s="16">
        <v>92</v>
      </c>
      <c r="D47" s="29">
        <v>95.4</v>
      </c>
      <c r="E47" s="29">
        <v>94.2</v>
      </c>
      <c r="F47" s="16">
        <v>3.4000000000000057</v>
      </c>
      <c r="G47" s="29">
        <v>-1.2</v>
      </c>
      <c r="H47" s="30">
        <v>0.4</v>
      </c>
      <c r="I47" s="29">
        <v>-0.1</v>
      </c>
      <c r="J47" s="29">
        <v>102.8</v>
      </c>
      <c r="K47" s="29">
        <v>116</v>
      </c>
      <c r="L47" s="29">
        <v>138.69999999999999</v>
      </c>
      <c r="M47" s="29">
        <v>1.2</v>
      </c>
      <c r="N47" s="29">
        <v>1.8</v>
      </c>
      <c r="O47" t="s">
        <v>36</v>
      </c>
      <c r="P47" s="31"/>
      <c r="Q47" s="31"/>
      <c r="R47" s="31"/>
    </row>
    <row r="48" spans="1:18" ht="30" customHeight="1" x14ac:dyDescent="0.25">
      <c r="A48" s="33" t="s">
        <v>143</v>
      </c>
      <c r="B48" s="32" t="s">
        <v>144</v>
      </c>
      <c r="C48" s="16">
        <v>36.5</v>
      </c>
      <c r="D48" s="29">
        <v>36.6</v>
      </c>
      <c r="E48" s="29">
        <v>34.700000000000003</v>
      </c>
      <c r="F48" s="16">
        <v>0.10000000000000142</v>
      </c>
      <c r="G48" s="29">
        <v>-1.9</v>
      </c>
      <c r="H48" s="30">
        <v>0</v>
      </c>
      <c r="I48" s="29">
        <v>-0.5</v>
      </c>
      <c r="J48" s="29">
        <v>33.6</v>
      </c>
      <c r="K48" s="29">
        <v>53.6</v>
      </c>
      <c r="L48" s="29">
        <v>60.4</v>
      </c>
      <c r="M48" s="29">
        <v>4.8</v>
      </c>
      <c r="N48" s="29">
        <v>1.2</v>
      </c>
      <c r="O48" t="s">
        <v>36</v>
      </c>
      <c r="P48" s="31"/>
      <c r="Q48" s="31"/>
      <c r="R48" s="31"/>
    </row>
    <row r="49" spans="1:18" x14ac:dyDescent="0.25">
      <c r="A49" s="33" t="s">
        <v>145</v>
      </c>
      <c r="B49" s="32" t="s">
        <v>146</v>
      </c>
      <c r="C49" s="16">
        <v>284.39999999999998</v>
      </c>
      <c r="D49" s="29">
        <v>305.89999999999998</v>
      </c>
      <c r="E49" s="29">
        <v>322.3</v>
      </c>
      <c r="F49" s="16">
        <v>21.5</v>
      </c>
      <c r="G49" s="29">
        <v>16.399999999999999</v>
      </c>
      <c r="H49" s="30">
        <v>0.7</v>
      </c>
      <c r="I49" s="29">
        <v>0.5</v>
      </c>
      <c r="J49" s="29">
        <v>201.4</v>
      </c>
      <c r="K49" s="29">
        <v>193.8</v>
      </c>
      <c r="L49" s="29">
        <v>232.3</v>
      </c>
      <c r="M49" s="29">
        <v>-0.4</v>
      </c>
      <c r="N49" s="29">
        <v>1.8</v>
      </c>
      <c r="O49" t="s">
        <v>37</v>
      </c>
      <c r="P49" s="31"/>
      <c r="Q49" s="31"/>
      <c r="R49" s="31"/>
    </row>
    <row r="50" spans="1:18" x14ac:dyDescent="0.25">
      <c r="A50" s="33" t="s">
        <v>147</v>
      </c>
      <c r="B50" s="32" t="s">
        <v>148</v>
      </c>
      <c r="C50" s="16">
        <v>57.3</v>
      </c>
      <c r="D50" s="29">
        <v>65.400000000000006</v>
      </c>
      <c r="E50" s="29">
        <v>69.400000000000006</v>
      </c>
      <c r="F50" s="16">
        <v>8.1000000000000085</v>
      </c>
      <c r="G50" s="29">
        <v>4</v>
      </c>
      <c r="H50" s="30">
        <v>1.3</v>
      </c>
      <c r="I50" s="29">
        <v>0.6</v>
      </c>
      <c r="J50" s="29">
        <v>33.6</v>
      </c>
      <c r="K50" s="29">
        <v>38</v>
      </c>
      <c r="L50" s="29">
        <v>40.5</v>
      </c>
      <c r="M50" s="29">
        <v>1.2</v>
      </c>
      <c r="N50" s="29">
        <v>0.6</v>
      </c>
      <c r="O50" t="s">
        <v>36</v>
      </c>
      <c r="P50" s="31"/>
      <c r="Q50" s="31"/>
      <c r="R50" s="31"/>
    </row>
    <row r="51" spans="1:18" ht="25.5" x14ac:dyDescent="0.25">
      <c r="A51" s="33" t="s">
        <v>149</v>
      </c>
      <c r="B51" s="32" t="s">
        <v>150</v>
      </c>
      <c r="C51" s="16">
        <v>102.7</v>
      </c>
      <c r="D51" s="29">
        <v>110.2</v>
      </c>
      <c r="E51" s="29">
        <v>117</v>
      </c>
      <c r="F51" s="16">
        <v>7.5</v>
      </c>
      <c r="G51" s="29">
        <v>6.8</v>
      </c>
      <c r="H51" s="30">
        <v>0.7</v>
      </c>
      <c r="I51" s="29">
        <v>0.6</v>
      </c>
      <c r="J51" s="29">
        <v>75.3</v>
      </c>
      <c r="K51" s="29">
        <v>88.5</v>
      </c>
      <c r="L51" s="29">
        <v>110.8</v>
      </c>
      <c r="M51" s="29">
        <v>1.6</v>
      </c>
      <c r="N51" s="29">
        <v>2.2999999999999998</v>
      </c>
      <c r="O51" t="s">
        <v>36</v>
      </c>
      <c r="P51" s="31"/>
      <c r="Q51" s="31"/>
      <c r="R51" s="31"/>
    </row>
    <row r="52" spans="1:18" x14ac:dyDescent="0.25">
      <c r="A52" s="32" t="s">
        <v>151</v>
      </c>
      <c r="B52" s="32" t="s">
        <v>152</v>
      </c>
      <c r="C52" s="16">
        <v>85.9</v>
      </c>
      <c r="D52" s="29">
        <v>83.4</v>
      </c>
      <c r="E52" s="29">
        <v>79.3</v>
      </c>
      <c r="F52" s="16">
        <v>-2.5</v>
      </c>
      <c r="G52" s="29">
        <v>-4.0999999999999996</v>
      </c>
      <c r="H52" s="30">
        <v>-0.3</v>
      </c>
      <c r="I52" s="29">
        <v>-0.5</v>
      </c>
      <c r="J52" s="29">
        <v>41.8</v>
      </c>
      <c r="K52" s="29">
        <v>47.3</v>
      </c>
      <c r="L52" s="29">
        <v>49.9</v>
      </c>
      <c r="M52" s="29">
        <v>1.2</v>
      </c>
      <c r="N52" s="29">
        <v>0.5</v>
      </c>
      <c r="O52" t="s">
        <v>36</v>
      </c>
      <c r="P52" s="31"/>
      <c r="Q52" s="31"/>
      <c r="R52" s="31"/>
    </row>
    <row r="53" spans="1:18" x14ac:dyDescent="0.25">
      <c r="A53" s="33" t="s">
        <v>153</v>
      </c>
      <c r="B53" s="32" t="s">
        <v>154</v>
      </c>
      <c r="C53" s="16">
        <v>624.9</v>
      </c>
      <c r="D53" s="29">
        <v>737</v>
      </c>
      <c r="E53" s="29">
        <v>682.8</v>
      </c>
      <c r="F53" s="16">
        <v>112.10000000000002</v>
      </c>
      <c r="G53" s="29">
        <v>-54.2</v>
      </c>
      <c r="H53" s="30">
        <v>1.7</v>
      </c>
      <c r="I53" s="29">
        <v>-0.8</v>
      </c>
      <c r="J53" s="29">
        <v>188.9</v>
      </c>
      <c r="K53" s="29">
        <v>225.7</v>
      </c>
      <c r="L53" s="29">
        <v>259</v>
      </c>
      <c r="M53" s="29">
        <v>1.8</v>
      </c>
      <c r="N53" s="29">
        <v>1.4</v>
      </c>
      <c r="O53" t="s">
        <v>11</v>
      </c>
      <c r="P53" s="31"/>
      <c r="Q53" s="31"/>
      <c r="R53" s="31"/>
    </row>
    <row r="54" spans="1:18" x14ac:dyDescent="0.25">
      <c r="A54" s="33" t="s">
        <v>155</v>
      </c>
      <c r="B54" s="32" t="s">
        <v>156</v>
      </c>
      <c r="C54" s="16">
        <v>502.1</v>
      </c>
      <c r="D54" s="29">
        <v>599.1</v>
      </c>
      <c r="E54" s="29">
        <v>549.29999999999995</v>
      </c>
      <c r="F54" s="16">
        <v>97</v>
      </c>
      <c r="G54" s="29">
        <v>-49.8</v>
      </c>
      <c r="H54" s="30">
        <v>1.8</v>
      </c>
      <c r="I54" s="29">
        <v>-0.9</v>
      </c>
      <c r="J54" s="29">
        <v>150.4</v>
      </c>
      <c r="K54" s="29">
        <v>177.3</v>
      </c>
      <c r="L54" s="29">
        <v>203.1</v>
      </c>
      <c r="M54" s="29">
        <v>1.7</v>
      </c>
      <c r="N54" s="29">
        <v>1.4</v>
      </c>
      <c r="O54" s="9"/>
      <c r="P54" s="31"/>
      <c r="Q54" s="31"/>
      <c r="R54" s="31"/>
    </row>
    <row r="55" spans="1:18" x14ac:dyDescent="0.25">
      <c r="A55" s="33" t="s">
        <v>157</v>
      </c>
      <c r="B55" s="32" t="s">
        <v>158</v>
      </c>
      <c r="C55" s="16">
        <v>122.8</v>
      </c>
      <c r="D55" s="29">
        <v>137.9</v>
      </c>
      <c r="E55" s="29">
        <v>133.5</v>
      </c>
      <c r="F55" s="16">
        <v>15.100000000000009</v>
      </c>
      <c r="G55" s="29">
        <v>-4.4000000000000004</v>
      </c>
      <c r="H55" s="30">
        <v>1.2</v>
      </c>
      <c r="I55" s="29">
        <v>-0.3</v>
      </c>
      <c r="J55" s="29">
        <v>38.5</v>
      </c>
      <c r="K55" s="29">
        <v>48.5</v>
      </c>
      <c r="L55" s="29">
        <v>55.9</v>
      </c>
      <c r="M55" s="29">
        <v>2.4</v>
      </c>
      <c r="N55" s="29">
        <v>1.4</v>
      </c>
      <c r="O55" s="9"/>
      <c r="P55" s="31"/>
      <c r="Q55" s="31"/>
      <c r="R55" s="31"/>
    </row>
    <row r="56" spans="1:18" x14ac:dyDescent="0.25">
      <c r="A56" s="32" t="s">
        <v>159</v>
      </c>
      <c r="B56" s="32" t="s">
        <v>160</v>
      </c>
      <c r="C56" s="16">
        <v>394.3</v>
      </c>
      <c r="D56" s="29">
        <v>421.6</v>
      </c>
      <c r="E56" s="29">
        <v>347.9</v>
      </c>
      <c r="F56" s="16">
        <v>27.300000000000011</v>
      </c>
      <c r="G56" s="29">
        <v>-73.7</v>
      </c>
      <c r="H56" s="30">
        <v>0.7</v>
      </c>
      <c r="I56" s="29">
        <v>-1.9</v>
      </c>
      <c r="J56" s="29">
        <v>94</v>
      </c>
      <c r="K56" s="29">
        <v>120.6</v>
      </c>
      <c r="L56" s="29">
        <v>140.6</v>
      </c>
      <c r="M56" s="29">
        <v>2.5</v>
      </c>
      <c r="N56" s="29">
        <v>1.5</v>
      </c>
      <c r="O56" s="9"/>
      <c r="P56" s="31"/>
      <c r="Q56" s="31"/>
      <c r="R56" s="31"/>
    </row>
    <row r="57" spans="1:18" x14ac:dyDescent="0.25">
      <c r="A57" s="33" t="s">
        <v>161</v>
      </c>
      <c r="B57" s="32" t="s">
        <v>162</v>
      </c>
      <c r="C57" s="16">
        <v>43.6</v>
      </c>
      <c r="D57" s="29">
        <v>38.6</v>
      </c>
      <c r="E57" s="29">
        <v>29.2</v>
      </c>
      <c r="F57" s="16">
        <v>-5</v>
      </c>
      <c r="G57" s="29">
        <v>-9.4</v>
      </c>
      <c r="H57" s="30">
        <v>-1.2</v>
      </c>
      <c r="I57" s="29">
        <v>-2.8</v>
      </c>
      <c r="J57" s="29">
        <v>7.7</v>
      </c>
      <c r="K57" s="29">
        <v>10</v>
      </c>
      <c r="L57" s="29">
        <v>10.3</v>
      </c>
      <c r="M57" s="29">
        <v>2.6</v>
      </c>
      <c r="N57" s="29">
        <v>0.3</v>
      </c>
      <c r="O57" t="s">
        <v>43</v>
      </c>
      <c r="P57" s="31"/>
      <c r="Q57" s="31"/>
      <c r="R57" s="31"/>
    </row>
    <row r="58" spans="1:18" x14ac:dyDescent="0.25">
      <c r="A58" s="33" t="s">
        <v>163</v>
      </c>
      <c r="B58" s="32" t="s">
        <v>164</v>
      </c>
      <c r="C58" s="16">
        <v>83.8</v>
      </c>
      <c r="D58" s="29">
        <v>86.2</v>
      </c>
      <c r="E58" s="29">
        <v>79.3</v>
      </c>
      <c r="F58" s="16">
        <v>2.4000000000000057</v>
      </c>
      <c r="G58" s="29">
        <v>-6.9</v>
      </c>
      <c r="H58" s="30">
        <v>0.3</v>
      </c>
      <c r="I58" s="29">
        <v>-0.8</v>
      </c>
      <c r="J58" s="29">
        <v>18.7</v>
      </c>
      <c r="K58" s="29">
        <v>28.3</v>
      </c>
      <c r="L58" s="29">
        <v>33.700000000000003</v>
      </c>
      <c r="M58" s="29">
        <v>4.3</v>
      </c>
      <c r="N58" s="29">
        <v>1.8</v>
      </c>
      <c r="O58" t="s">
        <v>42</v>
      </c>
      <c r="P58" s="31"/>
      <c r="Q58" s="31"/>
      <c r="R58" s="31"/>
    </row>
    <row r="59" spans="1:18" x14ac:dyDescent="0.25">
      <c r="A59" s="33" t="s">
        <v>165</v>
      </c>
      <c r="B59" s="32" t="s">
        <v>166</v>
      </c>
      <c r="C59" s="16">
        <v>184.9</v>
      </c>
      <c r="D59" s="29">
        <v>199</v>
      </c>
      <c r="E59" s="29">
        <v>141.9</v>
      </c>
      <c r="F59" s="16">
        <v>14.099999999999994</v>
      </c>
      <c r="G59" s="29">
        <v>-57.1</v>
      </c>
      <c r="H59" s="30">
        <v>0.7</v>
      </c>
      <c r="I59" s="29">
        <v>-3.3</v>
      </c>
      <c r="J59" s="29">
        <v>42.5</v>
      </c>
      <c r="K59" s="29">
        <v>48.8</v>
      </c>
      <c r="L59" s="29">
        <v>57.3</v>
      </c>
      <c r="M59" s="29">
        <v>1.4</v>
      </c>
      <c r="N59" s="29">
        <v>1.6</v>
      </c>
      <c r="O59" t="s">
        <v>43</v>
      </c>
      <c r="P59" s="31"/>
      <c r="Q59" s="31"/>
      <c r="R59" s="31"/>
    </row>
    <row r="60" spans="1:18" ht="25.5" x14ac:dyDescent="0.25">
      <c r="A60" s="33" t="s">
        <v>167</v>
      </c>
      <c r="B60" s="32" t="s">
        <v>168</v>
      </c>
      <c r="C60" s="16">
        <v>82</v>
      </c>
      <c r="D60" s="29">
        <v>97.8</v>
      </c>
      <c r="E60" s="29">
        <v>97.5</v>
      </c>
      <c r="F60" s="16">
        <v>15.799999999999997</v>
      </c>
      <c r="G60" s="29">
        <v>-0.3</v>
      </c>
      <c r="H60" s="30">
        <v>1.8</v>
      </c>
      <c r="I60" s="29">
        <v>0</v>
      </c>
      <c r="J60" s="29">
        <v>25</v>
      </c>
      <c r="K60" s="29">
        <v>33.6</v>
      </c>
      <c r="L60" s="29">
        <v>39.5</v>
      </c>
      <c r="M60" s="29">
        <v>3</v>
      </c>
      <c r="N60" s="29">
        <v>1.6</v>
      </c>
      <c r="O60" t="s">
        <v>43</v>
      </c>
      <c r="P60" s="31"/>
      <c r="Q60" s="31"/>
      <c r="R60" s="31"/>
    </row>
    <row r="61" spans="1:18" x14ac:dyDescent="0.25">
      <c r="A61" s="32" t="s">
        <v>169</v>
      </c>
      <c r="B61" s="32" t="s">
        <v>170</v>
      </c>
      <c r="C61" s="16">
        <v>362.1</v>
      </c>
      <c r="D61" s="29">
        <v>385.1</v>
      </c>
      <c r="E61" s="29">
        <v>368.8</v>
      </c>
      <c r="F61" s="16">
        <v>23</v>
      </c>
      <c r="G61" s="29">
        <v>-16.3</v>
      </c>
      <c r="H61" s="30">
        <v>0.6</v>
      </c>
      <c r="I61" s="29">
        <v>-0.4</v>
      </c>
      <c r="J61" s="29">
        <v>203.4</v>
      </c>
      <c r="K61" s="29">
        <v>249.1</v>
      </c>
      <c r="L61" s="29">
        <v>269</v>
      </c>
      <c r="M61" s="29">
        <v>2</v>
      </c>
      <c r="N61" s="29">
        <v>0.8</v>
      </c>
      <c r="O61" s="9"/>
      <c r="P61" s="31"/>
      <c r="Q61" s="31"/>
      <c r="R61" s="31"/>
    </row>
    <row r="62" spans="1:18" x14ac:dyDescent="0.25">
      <c r="A62" s="33" t="s">
        <v>171</v>
      </c>
      <c r="B62" s="32" t="s">
        <v>172</v>
      </c>
      <c r="C62" s="16">
        <v>85.3</v>
      </c>
      <c r="D62" s="29">
        <v>86.4</v>
      </c>
      <c r="E62" s="29">
        <v>79.3</v>
      </c>
      <c r="F62" s="16">
        <v>1.1000000000000085</v>
      </c>
      <c r="G62" s="29">
        <v>-7.1</v>
      </c>
      <c r="H62" s="30">
        <v>0.1</v>
      </c>
      <c r="I62" s="29">
        <v>-0.8</v>
      </c>
      <c r="J62" s="29">
        <v>85.5</v>
      </c>
      <c r="K62" s="29">
        <v>102</v>
      </c>
      <c r="L62" s="29">
        <v>107.8</v>
      </c>
      <c r="M62" s="29">
        <v>1.8</v>
      </c>
      <c r="N62" s="29">
        <v>0.6</v>
      </c>
      <c r="O62" t="s">
        <v>44</v>
      </c>
      <c r="P62" s="31"/>
      <c r="Q62" s="31"/>
      <c r="R62" s="31"/>
    </row>
    <row r="63" spans="1:18" x14ac:dyDescent="0.25">
      <c r="A63" s="33" t="s">
        <v>173</v>
      </c>
      <c r="B63" s="32" t="s">
        <v>174</v>
      </c>
      <c r="C63" s="16">
        <v>49.8</v>
      </c>
      <c r="D63" s="29">
        <v>57.6</v>
      </c>
      <c r="E63" s="29">
        <v>57.8</v>
      </c>
      <c r="F63" s="16">
        <v>7.8000000000000043</v>
      </c>
      <c r="G63" s="29">
        <v>0.2</v>
      </c>
      <c r="H63" s="30">
        <v>1.5</v>
      </c>
      <c r="I63" s="29">
        <v>0</v>
      </c>
      <c r="J63" s="29">
        <v>17.899999999999999</v>
      </c>
      <c r="K63" s="29">
        <v>22.2</v>
      </c>
      <c r="L63" s="29">
        <v>25.2</v>
      </c>
      <c r="M63" s="29">
        <v>2.2000000000000002</v>
      </c>
      <c r="N63" s="29">
        <v>1.3</v>
      </c>
      <c r="P63" s="31"/>
      <c r="Q63" s="31"/>
      <c r="R63" s="31"/>
    </row>
    <row r="64" spans="1:18" x14ac:dyDescent="0.25">
      <c r="A64" s="33" t="s">
        <v>175</v>
      </c>
      <c r="B64" s="32" t="s">
        <v>176</v>
      </c>
      <c r="C64" s="16">
        <v>55.8</v>
      </c>
      <c r="D64" s="29">
        <v>59.8</v>
      </c>
      <c r="E64" s="29">
        <v>53.1</v>
      </c>
      <c r="F64" s="16">
        <v>4</v>
      </c>
      <c r="G64" s="29">
        <v>-6.7</v>
      </c>
      <c r="H64" s="30">
        <v>0.7</v>
      </c>
      <c r="I64" s="29">
        <v>-1.2</v>
      </c>
      <c r="J64" s="29">
        <v>29.4</v>
      </c>
      <c r="K64" s="29">
        <v>32</v>
      </c>
      <c r="L64" s="29">
        <v>29.3</v>
      </c>
      <c r="M64" s="29">
        <v>0.8</v>
      </c>
      <c r="N64" s="29">
        <v>-0.9</v>
      </c>
      <c r="O64" t="s">
        <v>45</v>
      </c>
      <c r="P64" s="31"/>
      <c r="Q64" s="31"/>
      <c r="R64" s="31"/>
    </row>
    <row r="65" spans="1:18" ht="30" customHeight="1" x14ac:dyDescent="0.25">
      <c r="A65" s="33" t="s">
        <v>177</v>
      </c>
      <c r="B65" s="32" t="s">
        <v>178</v>
      </c>
      <c r="C65" s="16">
        <v>58.2</v>
      </c>
      <c r="D65" s="29">
        <v>62</v>
      </c>
      <c r="E65" s="29">
        <v>59.5</v>
      </c>
      <c r="F65" s="16">
        <v>3.7999999999999972</v>
      </c>
      <c r="G65" s="29">
        <v>-2.5</v>
      </c>
      <c r="H65" s="30">
        <v>0.6</v>
      </c>
      <c r="I65" s="29">
        <v>-0.4</v>
      </c>
      <c r="J65" s="29">
        <v>48</v>
      </c>
      <c r="K65" s="29">
        <v>61.8</v>
      </c>
      <c r="L65" s="29">
        <v>73.8</v>
      </c>
      <c r="M65" s="29">
        <v>2.6</v>
      </c>
      <c r="N65" s="29">
        <v>1.8</v>
      </c>
      <c r="O65" t="s">
        <v>45</v>
      </c>
      <c r="P65" s="31"/>
      <c r="Q65" s="31"/>
      <c r="R65" s="31"/>
    </row>
    <row r="66" spans="1:18" x14ac:dyDescent="0.25">
      <c r="A66" s="33" t="s">
        <v>179</v>
      </c>
      <c r="B66" s="32" t="s">
        <v>180</v>
      </c>
      <c r="C66" s="16">
        <v>113</v>
      </c>
      <c r="D66" s="29">
        <v>119.3</v>
      </c>
      <c r="E66" s="29">
        <v>119</v>
      </c>
      <c r="F66" s="16">
        <v>6.2999999999999972</v>
      </c>
      <c r="G66" s="29">
        <v>-0.3</v>
      </c>
      <c r="H66" s="30">
        <v>0.5</v>
      </c>
      <c r="I66" s="29">
        <v>0</v>
      </c>
      <c r="J66" s="29">
        <v>22.6</v>
      </c>
      <c r="K66" s="29">
        <v>31.2</v>
      </c>
      <c r="L66" s="29">
        <v>32.5</v>
      </c>
      <c r="M66" s="29">
        <v>3.3</v>
      </c>
      <c r="N66" s="29">
        <v>0.4</v>
      </c>
      <c r="O66" s="9"/>
      <c r="P66" s="31"/>
      <c r="Q66" s="31"/>
      <c r="R66" s="31"/>
    </row>
    <row r="67" spans="1:18" x14ac:dyDescent="0.25">
      <c r="A67" s="33" t="s">
        <v>181</v>
      </c>
      <c r="B67" s="32" t="s">
        <v>182</v>
      </c>
      <c r="C67" s="16">
        <v>1311.8</v>
      </c>
      <c r="D67" s="29">
        <v>1491.6</v>
      </c>
      <c r="E67" s="29">
        <v>1446.2</v>
      </c>
      <c r="F67" s="16">
        <v>179.79999999999995</v>
      </c>
      <c r="G67" s="29">
        <v>-45.4</v>
      </c>
      <c r="H67" s="30">
        <v>1.3</v>
      </c>
      <c r="I67" s="29">
        <v>-0.3</v>
      </c>
      <c r="J67" s="29">
        <v>296.7</v>
      </c>
      <c r="K67" s="29">
        <v>385.7</v>
      </c>
      <c r="L67" s="29">
        <v>430.6</v>
      </c>
      <c r="M67" s="29">
        <v>2.7</v>
      </c>
      <c r="N67" s="29">
        <v>1.1000000000000001</v>
      </c>
      <c r="O67" t="s">
        <v>12</v>
      </c>
      <c r="P67" s="31"/>
      <c r="Q67" s="31"/>
      <c r="R67" s="31"/>
    </row>
    <row r="68" spans="1:18" x14ac:dyDescent="0.25">
      <c r="A68" s="33" t="s">
        <v>183</v>
      </c>
      <c r="B68" s="32" t="s">
        <v>184</v>
      </c>
      <c r="C68" s="16">
        <v>89</v>
      </c>
      <c r="D68" s="29">
        <v>101.1</v>
      </c>
      <c r="E68" s="29">
        <v>96.2</v>
      </c>
      <c r="F68" s="16">
        <v>12.099999999999994</v>
      </c>
      <c r="G68" s="29">
        <v>-4.9000000000000004</v>
      </c>
      <c r="H68" s="30">
        <v>1.3</v>
      </c>
      <c r="I68" s="29">
        <v>-0.5</v>
      </c>
      <c r="J68" s="29">
        <v>28.4</v>
      </c>
      <c r="K68" s="29">
        <v>41.7</v>
      </c>
      <c r="L68" s="29">
        <v>46.3</v>
      </c>
      <c r="M68" s="29">
        <v>3.9</v>
      </c>
      <c r="N68" s="29">
        <v>1.1000000000000001</v>
      </c>
      <c r="O68" s="9"/>
      <c r="P68" s="31"/>
      <c r="Q68" s="31"/>
      <c r="R68" s="31"/>
    </row>
    <row r="69" spans="1:18" x14ac:dyDescent="0.25">
      <c r="A69" s="32" t="s">
        <v>185</v>
      </c>
      <c r="B69" s="32" t="s">
        <v>186</v>
      </c>
      <c r="C69" s="16">
        <v>42.1</v>
      </c>
      <c r="D69" s="29">
        <v>36.4</v>
      </c>
      <c r="E69" s="29">
        <v>34.5</v>
      </c>
      <c r="F69" s="16">
        <v>-5.7000000000000028</v>
      </c>
      <c r="G69" s="29">
        <v>-1.9</v>
      </c>
      <c r="H69" s="30">
        <v>-1.4</v>
      </c>
      <c r="I69" s="29">
        <v>-0.5</v>
      </c>
      <c r="J69" s="29">
        <v>9.1999999999999993</v>
      </c>
      <c r="K69" s="29">
        <v>11.1</v>
      </c>
      <c r="L69" s="29">
        <v>11.2</v>
      </c>
      <c r="M69" s="29">
        <v>1.9</v>
      </c>
      <c r="N69" s="29">
        <v>0.1</v>
      </c>
      <c r="O69" s="9"/>
      <c r="P69" s="31"/>
      <c r="Q69" s="31"/>
      <c r="R69" s="31"/>
    </row>
    <row r="70" spans="1:18" x14ac:dyDescent="0.25">
      <c r="A70" s="33" t="s">
        <v>187</v>
      </c>
      <c r="B70" s="32" t="s">
        <v>188</v>
      </c>
      <c r="C70" s="16">
        <v>344.7</v>
      </c>
      <c r="D70" s="29">
        <v>400.5</v>
      </c>
      <c r="E70" s="29">
        <v>403.6</v>
      </c>
      <c r="F70" s="16">
        <v>55.800000000000011</v>
      </c>
      <c r="G70" s="29">
        <v>3.1</v>
      </c>
      <c r="H70" s="30">
        <v>1.5</v>
      </c>
      <c r="I70" s="29">
        <v>0.1</v>
      </c>
      <c r="J70" s="29">
        <v>74</v>
      </c>
      <c r="K70" s="29">
        <v>84.1</v>
      </c>
      <c r="L70" s="29">
        <v>96.4</v>
      </c>
      <c r="M70" s="29">
        <v>1.3</v>
      </c>
      <c r="N70" s="29">
        <v>1.4</v>
      </c>
      <c r="O70" s="9"/>
      <c r="P70" s="31"/>
      <c r="Q70" s="31"/>
      <c r="R70" s="31"/>
    </row>
    <row r="71" spans="1:18" x14ac:dyDescent="0.25">
      <c r="A71" s="33" t="s">
        <v>189</v>
      </c>
      <c r="B71" s="32" t="s">
        <v>190</v>
      </c>
      <c r="C71" s="16">
        <v>88.6</v>
      </c>
      <c r="D71" s="29">
        <v>96.2</v>
      </c>
      <c r="E71" s="29">
        <v>95.2</v>
      </c>
      <c r="F71" s="16">
        <v>7.6000000000000085</v>
      </c>
      <c r="G71" s="29">
        <v>-1</v>
      </c>
      <c r="H71" s="30">
        <v>0.8</v>
      </c>
      <c r="I71" s="29">
        <v>-0.1</v>
      </c>
      <c r="J71" s="29">
        <v>26.9</v>
      </c>
      <c r="K71" s="29">
        <v>39.299999999999997</v>
      </c>
      <c r="L71" s="29">
        <v>44</v>
      </c>
      <c r="M71" s="29">
        <v>3.9</v>
      </c>
      <c r="N71" s="29">
        <v>1.1000000000000001</v>
      </c>
      <c r="O71" s="9"/>
      <c r="P71" s="31"/>
      <c r="Q71" s="31"/>
      <c r="R71" s="31"/>
    </row>
    <row r="72" spans="1:18" ht="18.75" customHeight="1" x14ac:dyDescent="0.25">
      <c r="A72" s="32" t="s">
        <v>191</v>
      </c>
      <c r="B72" s="32" t="s">
        <v>192</v>
      </c>
      <c r="C72" s="16">
        <v>24.3</v>
      </c>
      <c r="D72" s="29">
        <v>25.5</v>
      </c>
      <c r="E72" s="29">
        <v>23.9</v>
      </c>
      <c r="F72" s="16">
        <v>1.1999999999999993</v>
      </c>
      <c r="G72" s="29">
        <v>-1.6</v>
      </c>
      <c r="H72" s="30">
        <v>0.5</v>
      </c>
      <c r="I72" s="29">
        <v>-0.7</v>
      </c>
      <c r="J72" s="29">
        <v>7.6</v>
      </c>
      <c r="K72" s="29">
        <v>7.8</v>
      </c>
      <c r="L72" s="29">
        <v>8.3000000000000007</v>
      </c>
      <c r="M72" s="29">
        <v>0.2</v>
      </c>
      <c r="N72" s="29">
        <v>0.5</v>
      </c>
      <c r="O72" s="9"/>
      <c r="P72" s="31"/>
      <c r="Q72" s="31"/>
      <c r="R72" s="31"/>
    </row>
    <row r="73" spans="1:18" x14ac:dyDescent="0.25">
      <c r="A73" s="33" t="s">
        <v>193</v>
      </c>
      <c r="B73" s="32" t="s">
        <v>194</v>
      </c>
      <c r="C73" s="16">
        <v>42.8</v>
      </c>
      <c r="D73" s="29">
        <v>43.5</v>
      </c>
      <c r="E73" s="29">
        <v>41</v>
      </c>
      <c r="F73" s="16">
        <v>0.70000000000000284</v>
      </c>
      <c r="G73" s="29">
        <v>-2.5</v>
      </c>
      <c r="H73" s="30">
        <v>0.2</v>
      </c>
      <c r="I73" s="29">
        <v>-0.6</v>
      </c>
      <c r="J73" s="29">
        <v>7.4</v>
      </c>
      <c r="K73" s="29">
        <v>9.9</v>
      </c>
      <c r="L73" s="29">
        <v>10.4</v>
      </c>
      <c r="M73" s="29">
        <v>2.9</v>
      </c>
      <c r="N73" s="29">
        <v>0.5</v>
      </c>
      <c r="O73" s="9"/>
      <c r="P73" s="31"/>
      <c r="Q73" s="31"/>
      <c r="R73" s="31"/>
    </row>
    <row r="74" spans="1:18" ht="30" customHeight="1" x14ac:dyDescent="0.25">
      <c r="A74" s="33" t="s">
        <v>195</v>
      </c>
      <c r="B74" s="32" t="s">
        <v>196</v>
      </c>
      <c r="C74" s="16">
        <v>309.10000000000002</v>
      </c>
      <c r="D74" s="29">
        <v>364.8</v>
      </c>
      <c r="E74" s="29">
        <v>377.6</v>
      </c>
      <c r="F74" s="16">
        <v>55.699999999999989</v>
      </c>
      <c r="G74" s="29">
        <v>12.8</v>
      </c>
      <c r="H74" s="30">
        <v>1.7</v>
      </c>
      <c r="I74" s="29">
        <v>0.3</v>
      </c>
      <c r="J74" s="29">
        <v>54.2</v>
      </c>
      <c r="K74" s="29">
        <v>78.5</v>
      </c>
      <c r="L74" s="29">
        <v>87.4</v>
      </c>
      <c r="M74" s="29">
        <v>3.8</v>
      </c>
      <c r="N74" s="29">
        <v>1.1000000000000001</v>
      </c>
      <c r="O74" s="9"/>
      <c r="P74" s="31"/>
      <c r="Q74" s="31"/>
      <c r="R74" s="31"/>
    </row>
    <row r="75" spans="1:18" x14ac:dyDescent="0.25">
      <c r="A75" s="33" t="s">
        <v>197</v>
      </c>
      <c r="B75" s="32" t="s">
        <v>198</v>
      </c>
      <c r="C75" s="16">
        <v>121</v>
      </c>
      <c r="D75" s="29">
        <v>142</v>
      </c>
      <c r="E75" s="29">
        <v>136.80000000000001</v>
      </c>
      <c r="F75" s="16">
        <v>21</v>
      </c>
      <c r="G75" s="29">
        <v>-5.2</v>
      </c>
      <c r="H75" s="30">
        <v>1.6</v>
      </c>
      <c r="I75" s="29">
        <v>-0.4</v>
      </c>
      <c r="J75" s="29">
        <v>23.3</v>
      </c>
      <c r="K75" s="29">
        <v>30.6</v>
      </c>
      <c r="L75" s="29">
        <v>32</v>
      </c>
      <c r="M75" s="29">
        <v>2.8</v>
      </c>
      <c r="N75" s="29">
        <v>0.4</v>
      </c>
      <c r="O75" s="9"/>
      <c r="P75" s="31"/>
      <c r="Q75" s="31"/>
      <c r="R75" s="31"/>
    </row>
    <row r="76" spans="1:18" x14ac:dyDescent="0.25">
      <c r="A76" s="33" t="s">
        <v>199</v>
      </c>
      <c r="B76" s="32" t="s">
        <v>200</v>
      </c>
      <c r="C76" s="16">
        <v>250.2</v>
      </c>
      <c r="D76" s="29">
        <v>281.60000000000002</v>
      </c>
      <c r="E76" s="29">
        <v>237.4</v>
      </c>
      <c r="F76" s="16">
        <v>31.400000000000034</v>
      </c>
      <c r="G76" s="29">
        <v>-44.2</v>
      </c>
      <c r="H76" s="30">
        <v>1.2</v>
      </c>
      <c r="I76" s="29">
        <v>-1.7</v>
      </c>
      <c r="J76" s="29">
        <v>66</v>
      </c>
      <c r="K76" s="29">
        <v>83.2</v>
      </c>
      <c r="L76" s="29">
        <v>94.9</v>
      </c>
      <c r="M76" s="29">
        <v>2.2999999999999998</v>
      </c>
      <c r="N76" s="29">
        <v>1.3</v>
      </c>
      <c r="O76" s="9"/>
      <c r="P76" s="31"/>
      <c r="Q76" s="31"/>
      <c r="R76" s="31"/>
    </row>
    <row r="77" spans="1:18" x14ac:dyDescent="0.25">
      <c r="A77" s="33" t="s">
        <v>201</v>
      </c>
      <c r="B77" s="32" t="s">
        <v>202</v>
      </c>
      <c r="C77" s="16">
        <v>1028.7</v>
      </c>
      <c r="D77" s="29">
        <v>1126.0999999999999</v>
      </c>
      <c r="E77" s="29">
        <v>1112.3</v>
      </c>
      <c r="F77" s="16">
        <v>97.399999999999864</v>
      </c>
      <c r="G77" s="29">
        <v>-13.8</v>
      </c>
      <c r="H77" s="30">
        <v>0.9</v>
      </c>
      <c r="I77" s="29">
        <v>-0.1</v>
      </c>
      <c r="J77" s="29">
        <v>300</v>
      </c>
      <c r="K77" s="29">
        <v>385.3</v>
      </c>
      <c r="L77" s="29">
        <v>445.9</v>
      </c>
      <c r="M77" s="29">
        <v>2.5</v>
      </c>
      <c r="N77" s="29">
        <v>1.5</v>
      </c>
      <c r="O77" t="s">
        <v>15</v>
      </c>
      <c r="P77" s="31"/>
      <c r="Q77" s="31"/>
      <c r="R77" s="31"/>
    </row>
    <row r="78" spans="1:18" ht="25.5" x14ac:dyDescent="0.25">
      <c r="A78" s="32" t="s">
        <v>203</v>
      </c>
      <c r="B78" s="32" t="s">
        <v>204</v>
      </c>
      <c r="C78" s="16">
        <v>213.7</v>
      </c>
      <c r="D78" s="29">
        <v>221</v>
      </c>
      <c r="E78" s="29">
        <v>218.7</v>
      </c>
      <c r="F78" s="16">
        <v>7.3000000000000114</v>
      </c>
      <c r="G78" s="29">
        <v>-2.2999999999999998</v>
      </c>
      <c r="H78" s="30">
        <v>0.3</v>
      </c>
      <c r="I78" s="29">
        <v>-0.1</v>
      </c>
      <c r="J78" s="29">
        <v>76.599999999999994</v>
      </c>
      <c r="K78" s="29">
        <v>109.9</v>
      </c>
      <c r="L78" s="29">
        <v>130.4</v>
      </c>
      <c r="M78" s="29">
        <v>3.7</v>
      </c>
      <c r="N78" s="29">
        <v>1.7</v>
      </c>
      <c r="O78" s="9"/>
      <c r="P78" s="31"/>
      <c r="Q78" s="31"/>
      <c r="R78" s="31"/>
    </row>
    <row r="79" spans="1:18" x14ac:dyDescent="0.25">
      <c r="A79" s="33" t="s">
        <v>205</v>
      </c>
      <c r="B79" s="32" t="s">
        <v>206</v>
      </c>
      <c r="C79" s="16">
        <v>101.7</v>
      </c>
      <c r="D79" s="29">
        <v>118</v>
      </c>
      <c r="E79" s="29">
        <v>109.3</v>
      </c>
      <c r="F79" s="16">
        <v>16.299999999999997</v>
      </c>
      <c r="G79" s="29">
        <v>-8.6999999999999993</v>
      </c>
      <c r="H79" s="30">
        <v>1.5</v>
      </c>
      <c r="I79" s="29">
        <v>-0.8</v>
      </c>
      <c r="J79" s="29">
        <v>29.6</v>
      </c>
      <c r="K79" s="29">
        <v>32.1</v>
      </c>
      <c r="L79" s="29">
        <v>37.5</v>
      </c>
      <c r="M79" s="29">
        <v>0.8</v>
      </c>
      <c r="N79" s="29">
        <v>1.6</v>
      </c>
      <c r="O79" s="9"/>
      <c r="P79" s="31"/>
      <c r="Q79" s="31"/>
      <c r="R79" s="31"/>
    </row>
    <row r="80" spans="1:18" ht="25.5" x14ac:dyDescent="0.25">
      <c r="A80" s="33" t="s">
        <v>207</v>
      </c>
      <c r="B80" s="32" t="s">
        <v>208</v>
      </c>
      <c r="C80" s="16">
        <v>96</v>
      </c>
      <c r="D80" s="29">
        <v>94.4</v>
      </c>
      <c r="E80" s="29">
        <v>94.2</v>
      </c>
      <c r="F80" s="16">
        <v>-1.5999999999999943</v>
      </c>
      <c r="G80" s="29">
        <v>-0.2</v>
      </c>
      <c r="H80" s="30">
        <v>-0.2</v>
      </c>
      <c r="I80" s="29">
        <v>0</v>
      </c>
      <c r="J80" s="29">
        <v>22.3</v>
      </c>
      <c r="K80" s="29">
        <v>26.1</v>
      </c>
      <c r="L80" s="29">
        <v>30.5</v>
      </c>
      <c r="M80" s="29">
        <v>1.6</v>
      </c>
      <c r="N80" s="29">
        <v>1.6</v>
      </c>
      <c r="O80" s="9"/>
      <c r="P80" s="31"/>
      <c r="Q80" s="31"/>
      <c r="R80" s="31"/>
    </row>
    <row r="81" spans="1:18" ht="25.5" x14ac:dyDescent="0.25">
      <c r="A81" s="33" t="s">
        <v>209</v>
      </c>
      <c r="B81" s="32" t="s">
        <v>210</v>
      </c>
      <c r="C81" s="16">
        <v>128.5</v>
      </c>
      <c r="D81" s="29">
        <v>137.80000000000001</v>
      </c>
      <c r="E81" s="29">
        <v>134.19999999999999</v>
      </c>
      <c r="F81" s="16">
        <v>9.3000000000000114</v>
      </c>
      <c r="G81" s="29">
        <v>-3.6</v>
      </c>
      <c r="H81" s="30">
        <v>0.7</v>
      </c>
      <c r="I81" s="29">
        <v>-0.3</v>
      </c>
      <c r="J81" s="29">
        <v>34.700000000000003</v>
      </c>
      <c r="K81" s="29">
        <v>44.7</v>
      </c>
      <c r="L81" s="29">
        <v>50.1</v>
      </c>
      <c r="M81" s="29">
        <v>2.6</v>
      </c>
      <c r="N81" s="29">
        <v>1.2</v>
      </c>
      <c r="O81" s="9"/>
      <c r="P81" s="31"/>
      <c r="Q81" s="31"/>
      <c r="R81" s="31"/>
    </row>
    <row r="82" spans="1:18" x14ac:dyDescent="0.25">
      <c r="A82" s="33" t="s">
        <v>211</v>
      </c>
      <c r="B82" s="32" t="s">
        <v>212</v>
      </c>
      <c r="C82" s="16">
        <v>157.6</v>
      </c>
      <c r="D82" s="29">
        <v>179.7</v>
      </c>
      <c r="E82" s="29">
        <v>178.1</v>
      </c>
      <c r="F82" s="16">
        <v>22.099999999999994</v>
      </c>
      <c r="G82" s="29">
        <v>-1.6</v>
      </c>
      <c r="H82" s="30">
        <v>1.3</v>
      </c>
      <c r="I82" s="29">
        <v>-0.1</v>
      </c>
      <c r="J82" s="29">
        <v>23.7</v>
      </c>
      <c r="K82" s="29">
        <v>29.3</v>
      </c>
      <c r="L82" s="29">
        <v>31.4</v>
      </c>
      <c r="M82" s="29">
        <v>2.1</v>
      </c>
      <c r="N82" s="29">
        <v>0.7</v>
      </c>
      <c r="O82" s="9"/>
      <c r="P82" s="31"/>
      <c r="Q82" s="31"/>
      <c r="R82" s="31"/>
    </row>
    <row r="83" spans="1:18" ht="25.5" x14ac:dyDescent="0.25">
      <c r="A83" s="33" t="s">
        <v>213</v>
      </c>
      <c r="B83" s="32" t="s">
        <v>214</v>
      </c>
      <c r="C83" s="16">
        <v>94.6</v>
      </c>
      <c r="D83" s="29">
        <v>99.6</v>
      </c>
      <c r="E83" s="29">
        <v>100.2</v>
      </c>
      <c r="F83" s="16">
        <v>5</v>
      </c>
      <c r="G83" s="29">
        <v>0.6</v>
      </c>
      <c r="H83" s="30">
        <v>0.5</v>
      </c>
      <c r="I83" s="29">
        <v>0.1</v>
      </c>
      <c r="J83" s="29">
        <v>36.9</v>
      </c>
      <c r="K83" s="29">
        <v>53.8</v>
      </c>
      <c r="L83" s="29">
        <v>62.4</v>
      </c>
      <c r="M83" s="29">
        <v>3.9</v>
      </c>
      <c r="N83" s="29">
        <v>1.5</v>
      </c>
      <c r="O83" s="9"/>
      <c r="P83" s="31"/>
      <c r="Q83" s="31"/>
      <c r="R83" s="31"/>
    </row>
    <row r="84" spans="1:18" x14ac:dyDescent="0.25">
      <c r="A84" s="32" t="s">
        <v>215</v>
      </c>
      <c r="B84" s="32" t="s">
        <v>216</v>
      </c>
      <c r="C84" s="16">
        <v>236.6</v>
      </c>
      <c r="D84" s="29">
        <v>275.60000000000002</v>
      </c>
      <c r="E84" s="29">
        <v>277.7</v>
      </c>
      <c r="F84" s="16">
        <v>39.000000000000028</v>
      </c>
      <c r="G84" s="29">
        <v>2.1</v>
      </c>
      <c r="H84" s="30">
        <v>1.5</v>
      </c>
      <c r="I84" s="29">
        <v>0.1</v>
      </c>
      <c r="J84" s="29">
        <v>76.2</v>
      </c>
      <c r="K84" s="29">
        <v>89.7</v>
      </c>
      <c r="L84" s="29">
        <v>103.8</v>
      </c>
      <c r="M84" s="29">
        <v>1.6</v>
      </c>
      <c r="N84" s="29">
        <v>1.5</v>
      </c>
      <c r="O84" s="9"/>
      <c r="P84" s="31"/>
      <c r="Q84" s="31"/>
      <c r="R84" s="31"/>
    </row>
    <row r="85" spans="1:18" x14ac:dyDescent="0.25">
      <c r="A85" s="33" t="s">
        <v>217</v>
      </c>
      <c r="B85" s="32" t="s">
        <v>218</v>
      </c>
      <c r="C85" s="16">
        <v>1136.9000000000001</v>
      </c>
      <c r="D85" s="29">
        <v>1080.5</v>
      </c>
      <c r="E85" s="29">
        <v>1062.0999999999999</v>
      </c>
      <c r="F85" s="16">
        <v>-56.400000000000091</v>
      </c>
      <c r="G85" s="29">
        <v>-18.399999999999999</v>
      </c>
      <c r="H85" s="30">
        <v>-0.5</v>
      </c>
      <c r="I85" s="29">
        <v>-0.2</v>
      </c>
      <c r="J85" s="29">
        <v>335.7</v>
      </c>
      <c r="K85" s="29">
        <v>404.1</v>
      </c>
      <c r="L85" s="29">
        <v>474.3</v>
      </c>
      <c r="M85" s="29">
        <v>1.9</v>
      </c>
      <c r="N85" s="29">
        <v>1.6</v>
      </c>
      <c r="O85" t="s">
        <v>13</v>
      </c>
      <c r="P85" s="31"/>
      <c r="Q85" s="31"/>
      <c r="R85" s="31"/>
    </row>
    <row r="86" spans="1:18" ht="25.5" x14ac:dyDescent="0.25">
      <c r="A86" s="33" t="s">
        <v>219</v>
      </c>
      <c r="B86" s="32" t="s">
        <v>220</v>
      </c>
      <c r="C86" s="16">
        <v>166.4</v>
      </c>
      <c r="D86" s="29">
        <v>163</v>
      </c>
      <c r="E86" s="29">
        <v>168.6</v>
      </c>
      <c r="F86" s="16">
        <v>-3.4000000000000057</v>
      </c>
      <c r="G86" s="29">
        <v>5.6</v>
      </c>
      <c r="H86" s="30">
        <v>-0.2</v>
      </c>
      <c r="I86" s="29">
        <v>0.3</v>
      </c>
      <c r="J86" s="29">
        <v>44.5</v>
      </c>
      <c r="K86" s="29">
        <v>56</v>
      </c>
      <c r="L86" s="29">
        <v>72.900000000000006</v>
      </c>
      <c r="M86" s="29">
        <v>2.2999999999999998</v>
      </c>
      <c r="N86" s="29">
        <v>2.7</v>
      </c>
      <c r="O86" s="9"/>
      <c r="P86" s="31"/>
      <c r="Q86" s="31"/>
      <c r="R86" s="31"/>
    </row>
    <row r="87" spans="1:18" ht="20.25" customHeight="1" x14ac:dyDescent="0.25">
      <c r="A87" s="33" t="s">
        <v>221</v>
      </c>
      <c r="B87" s="32" t="s">
        <v>222</v>
      </c>
      <c r="C87" s="16">
        <v>120.5</v>
      </c>
      <c r="D87" s="29">
        <v>83.5</v>
      </c>
      <c r="E87" s="29">
        <v>58</v>
      </c>
      <c r="F87" s="16">
        <v>-37</v>
      </c>
      <c r="G87" s="29">
        <v>-25.5</v>
      </c>
      <c r="H87" s="30">
        <v>-3.6</v>
      </c>
      <c r="I87" s="29">
        <v>-3.6</v>
      </c>
      <c r="J87" s="29">
        <v>57.7</v>
      </c>
      <c r="K87" s="29">
        <v>64.8</v>
      </c>
      <c r="L87" s="29">
        <v>81.5</v>
      </c>
      <c r="M87" s="29">
        <v>1.2</v>
      </c>
      <c r="N87" s="29">
        <v>2.2999999999999998</v>
      </c>
      <c r="O87" s="9"/>
      <c r="P87" s="31"/>
      <c r="Q87" s="31"/>
      <c r="R87" s="31"/>
    </row>
    <row r="88" spans="1:18" x14ac:dyDescent="0.25">
      <c r="A88" s="33" t="s">
        <v>223</v>
      </c>
      <c r="B88" s="32" t="s">
        <v>224</v>
      </c>
      <c r="C88" s="16">
        <v>22.6</v>
      </c>
      <c r="D88" s="29">
        <v>20</v>
      </c>
      <c r="E88" s="29">
        <v>17.899999999999999</v>
      </c>
      <c r="F88" s="16">
        <v>-2.6000000000000014</v>
      </c>
      <c r="G88" s="29">
        <v>-2.2000000000000002</v>
      </c>
      <c r="H88" s="30">
        <v>-1.2</v>
      </c>
      <c r="I88" s="29">
        <v>-1.1000000000000001</v>
      </c>
      <c r="J88" s="29">
        <v>7.7</v>
      </c>
      <c r="K88" s="29">
        <v>3.3</v>
      </c>
      <c r="L88" s="29">
        <v>3.8</v>
      </c>
      <c r="M88" s="29">
        <v>-8</v>
      </c>
      <c r="N88" s="29">
        <v>1.4</v>
      </c>
      <c r="O88" s="9"/>
      <c r="P88" s="31"/>
      <c r="Q88" s="31"/>
      <c r="R88" s="31"/>
    </row>
    <row r="89" spans="1:18" ht="25.5" x14ac:dyDescent="0.25">
      <c r="A89" s="33" t="s">
        <v>225</v>
      </c>
      <c r="B89" s="32" t="s">
        <v>226</v>
      </c>
      <c r="C89" s="16">
        <v>378.1</v>
      </c>
      <c r="D89" s="29">
        <v>377</v>
      </c>
      <c r="E89" s="29">
        <v>373.9</v>
      </c>
      <c r="F89" s="16">
        <v>-1.1000000000000227</v>
      </c>
      <c r="G89" s="29">
        <v>-3.1</v>
      </c>
      <c r="H89" s="30">
        <v>0</v>
      </c>
      <c r="I89" s="29">
        <v>-0.1</v>
      </c>
      <c r="J89" s="29">
        <v>91</v>
      </c>
      <c r="K89" s="29">
        <v>127.4</v>
      </c>
      <c r="L89" s="29">
        <v>129</v>
      </c>
      <c r="M89" s="29">
        <v>3.4</v>
      </c>
      <c r="N89" s="29">
        <v>0.1</v>
      </c>
      <c r="O89" s="9"/>
      <c r="P89" s="31"/>
      <c r="Q89" s="31"/>
      <c r="R89" s="31"/>
    </row>
    <row r="90" spans="1:18" ht="25.5" x14ac:dyDescent="0.25">
      <c r="A90" s="33" t="s">
        <v>227</v>
      </c>
      <c r="B90" s="32" t="s">
        <v>228</v>
      </c>
      <c r="C90" s="16">
        <v>421.6</v>
      </c>
      <c r="D90" s="29">
        <v>424.1</v>
      </c>
      <c r="E90" s="29">
        <v>431.4</v>
      </c>
      <c r="F90" s="16">
        <v>2.5</v>
      </c>
      <c r="G90" s="29">
        <v>7.3</v>
      </c>
      <c r="H90" s="30">
        <v>0.1</v>
      </c>
      <c r="I90" s="29">
        <v>0.2</v>
      </c>
      <c r="J90" s="29">
        <v>130.6</v>
      </c>
      <c r="K90" s="29">
        <v>151.69999999999999</v>
      </c>
      <c r="L90" s="29">
        <v>188.1</v>
      </c>
      <c r="M90" s="29">
        <v>1.5</v>
      </c>
      <c r="N90" s="29">
        <v>2.2000000000000002</v>
      </c>
      <c r="O90" s="9"/>
      <c r="P90" s="31"/>
      <c r="Q90" s="31"/>
      <c r="R90" s="31"/>
    </row>
    <row r="91" spans="1:18" ht="25.5" x14ac:dyDescent="0.25">
      <c r="A91" s="33" t="s">
        <v>229</v>
      </c>
      <c r="B91" s="32" t="s">
        <v>230</v>
      </c>
      <c r="C91" s="16">
        <v>27.7</v>
      </c>
      <c r="D91" s="29">
        <v>12.9</v>
      </c>
      <c r="E91" s="29">
        <v>12.4</v>
      </c>
      <c r="F91" s="16">
        <v>-14.799999999999999</v>
      </c>
      <c r="G91" s="29">
        <v>-0.5</v>
      </c>
      <c r="H91" s="30">
        <v>-7.4</v>
      </c>
      <c r="I91" s="29">
        <v>-0.4</v>
      </c>
      <c r="J91" s="29">
        <v>4</v>
      </c>
      <c r="K91" s="29">
        <v>4</v>
      </c>
      <c r="L91" s="29">
        <v>4.9000000000000004</v>
      </c>
      <c r="M91" s="29">
        <v>-0.2</v>
      </c>
      <c r="N91" s="29">
        <v>2.1</v>
      </c>
      <c r="O91" s="9"/>
      <c r="P91" s="31"/>
      <c r="Q91" s="31"/>
      <c r="R91" s="31"/>
    </row>
    <row r="92" spans="1:18" ht="30" customHeight="1" x14ac:dyDescent="0.25">
      <c r="A92" s="33" t="s">
        <v>231</v>
      </c>
      <c r="B92" s="32" t="s">
        <v>232</v>
      </c>
      <c r="C92" s="16">
        <v>373.6</v>
      </c>
      <c r="D92" s="29">
        <v>405.1</v>
      </c>
      <c r="E92" s="29">
        <v>391.7</v>
      </c>
      <c r="F92" s="16">
        <v>31.5</v>
      </c>
      <c r="G92" s="29">
        <v>-13.4</v>
      </c>
      <c r="H92" s="30">
        <v>0.8</v>
      </c>
      <c r="I92" s="29">
        <v>-0.3</v>
      </c>
      <c r="J92" s="29">
        <v>113.9</v>
      </c>
      <c r="K92" s="29">
        <v>143</v>
      </c>
      <c r="L92" s="29">
        <v>158.4</v>
      </c>
      <c r="M92" s="29">
        <v>2.2999999999999998</v>
      </c>
      <c r="N92" s="29">
        <v>1</v>
      </c>
      <c r="O92" t="s">
        <v>14</v>
      </c>
      <c r="P92" s="31"/>
      <c r="Q92" s="31"/>
      <c r="R92" s="31"/>
    </row>
    <row r="93" spans="1:18" x14ac:dyDescent="0.25">
      <c r="A93" s="33" t="s">
        <v>233</v>
      </c>
      <c r="B93" s="32" t="s">
        <v>234</v>
      </c>
      <c r="C93" s="16">
        <v>48.4</v>
      </c>
      <c r="D93" s="29">
        <v>46</v>
      </c>
      <c r="E93" s="29">
        <v>30.8</v>
      </c>
      <c r="F93" s="16">
        <v>-2.3999999999999986</v>
      </c>
      <c r="G93" s="29">
        <v>-15.2</v>
      </c>
      <c r="H93" s="30">
        <v>-0.5</v>
      </c>
      <c r="I93" s="29">
        <v>-3.9</v>
      </c>
      <c r="J93" s="29">
        <v>11.8</v>
      </c>
      <c r="K93" s="29">
        <v>17.600000000000001</v>
      </c>
      <c r="L93" s="29">
        <v>17.8</v>
      </c>
      <c r="M93" s="29">
        <v>4</v>
      </c>
      <c r="N93" s="29">
        <v>0.2</v>
      </c>
      <c r="O93" s="9"/>
      <c r="P93" s="31"/>
      <c r="Q93" s="31"/>
      <c r="R93" s="31"/>
    </row>
    <row r="94" spans="1:18" x14ac:dyDescent="0.25">
      <c r="A94" s="32" t="s">
        <v>235</v>
      </c>
      <c r="B94" s="32" t="s">
        <v>236</v>
      </c>
      <c r="C94" s="16">
        <v>59.7</v>
      </c>
      <c r="D94" s="29">
        <v>62.1</v>
      </c>
      <c r="E94" s="29">
        <v>60.5</v>
      </c>
      <c r="F94" s="16">
        <v>2.3999999999999986</v>
      </c>
      <c r="G94" s="29">
        <v>-1.6</v>
      </c>
      <c r="H94" s="30">
        <v>0.4</v>
      </c>
      <c r="I94" s="29">
        <v>-0.3</v>
      </c>
      <c r="J94" s="29">
        <v>21</v>
      </c>
      <c r="K94" s="29">
        <v>23</v>
      </c>
      <c r="L94" s="29">
        <v>29</v>
      </c>
      <c r="M94" s="29">
        <v>0.9</v>
      </c>
      <c r="N94" s="29">
        <v>2.2999999999999998</v>
      </c>
      <c r="O94" s="9"/>
      <c r="P94" s="31"/>
      <c r="Q94" s="31"/>
      <c r="R94" s="31"/>
    </row>
    <row r="95" spans="1:18" x14ac:dyDescent="0.25">
      <c r="A95" s="33" t="s">
        <v>237</v>
      </c>
      <c r="B95" s="32" t="s">
        <v>238</v>
      </c>
      <c r="C95" s="16">
        <v>144.6</v>
      </c>
      <c r="D95" s="29">
        <v>146.9</v>
      </c>
      <c r="E95" s="29">
        <v>141.69999999999999</v>
      </c>
      <c r="F95" s="16">
        <v>2.3000000000000114</v>
      </c>
      <c r="G95" s="29">
        <v>-5.2</v>
      </c>
      <c r="H95" s="30">
        <v>0.2</v>
      </c>
      <c r="I95" s="29">
        <v>-0.4</v>
      </c>
      <c r="J95" s="29">
        <v>35.5</v>
      </c>
      <c r="K95" s="29">
        <v>42.8</v>
      </c>
      <c r="L95" s="29">
        <v>48.8</v>
      </c>
      <c r="M95" s="29">
        <v>1.9</v>
      </c>
      <c r="N95" s="29">
        <v>1.3</v>
      </c>
      <c r="O95" s="9"/>
      <c r="P95" s="31"/>
      <c r="Q95" s="31"/>
      <c r="R95" s="31"/>
    </row>
    <row r="96" spans="1:18" x14ac:dyDescent="0.25">
      <c r="A96" s="33" t="s">
        <v>239</v>
      </c>
      <c r="B96" s="32" t="s">
        <v>240</v>
      </c>
      <c r="C96" s="16">
        <v>120.9</v>
      </c>
      <c r="D96" s="29">
        <v>150.1</v>
      </c>
      <c r="E96" s="29">
        <v>158.69999999999999</v>
      </c>
      <c r="F96" s="16">
        <v>29.199999999999989</v>
      </c>
      <c r="G96" s="29">
        <v>8.6</v>
      </c>
      <c r="H96" s="30">
        <v>2.2000000000000002</v>
      </c>
      <c r="I96" s="29">
        <v>0.6</v>
      </c>
      <c r="J96" s="29">
        <v>45.6</v>
      </c>
      <c r="K96" s="29">
        <v>59.6</v>
      </c>
      <c r="L96" s="29">
        <v>62.8</v>
      </c>
      <c r="M96" s="29">
        <v>2.7</v>
      </c>
      <c r="N96" s="29">
        <v>0.5</v>
      </c>
      <c r="O96" s="9"/>
      <c r="P96" s="31"/>
      <c r="Q96" s="31"/>
      <c r="R96" s="31"/>
    </row>
    <row r="97" spans="1:18" x14ac:dyDescent="0.25">
      <c r="A97" s="33" t="s">
        <v>241</v>
      </c>
      <c r="B97" s="32" t="s">
        <v>242</v>
      </c>
      <c r="C97" s="16">
        <v>1348</v>
      </c>
      <c r="D97" s="29">
        <v>1734.2</v>
      </c>
      <c r="E97" s="29">
        <v>1715.1</v>
      </c>
      <c r="F97" s="16">
        <v>386.20000000000005</v>
      </c>
      <c r="G97" s="29">
        <v>-19.100000000000001</v>
      </c>
      <c r="H97" s="30">
        <v>2.6</v>
      </c>
      <c r="I97" s="29">
        <v>-0.1</v>
      </c>
      <c r="J97" s="29">
        <v>624.70000000000005</v>
      </c>
      <c r="K97" s="29">
        <v>1043.4000000000001</v>
      </c>
      <c r="L97" s="29">
        <v>1250.0999999999999</v>
      </c>
      <c r="M97" s="29">
        <v>5.3</v>
      </c>
      <c r="N97" s="29">
        <v>1.8</v>
      </c>
      <c r="O97" s="9"/>
      <c r="P97" s="31"/>
      <c r="Q97" s="31"/>
      <c r="R97" s="31"/>
    </row>
    <row r="98" spans="1:18" x14ac:dyDescent="0.25">
      <c r="A98" s="33" t="s">
        <v>243</v>
      </c>
      <c r="B98" s="32" t="s">
        <v>244</v>
      </c>
      <c r="C98" s="16">
        <v>146.4</v>
      </c>
      <c r="D98" s="29">
        <v>237.2</v>
      </c>
      <c r="E98" s="29">
        <v>248.9</v>
      </c>
      <c r="F98" s="16">
        <v>90.799999999999983</v>
      </c>
      <c r="G98" s="29">
        <v>11.7</v>
      </c>
      <c r="H98" s="30">
        <v>4.9000000000000004</v>
      </c>
      <c r="I98" s="29">
        <v>0.5</v>
      </c>
      <c r="J98" s="29">
        <v>178.6</v>
      </c>
      <c r="K98" s="29">
        <v>354.7</v>
      </c>
      <c r="L98" s="29">
        <v>452</v>
      </c>
      <c r="M98" s="29">
        <v>7.1</v>
      </c>
      <c r="N98" s="29">
        <v>2.5</v>
      </c>
      <c r="O98" t="s">
        <v>16</v>
      </c>
      <c r="P98" s="31"/>
      <c r="Q98" s="31"/>
      <c r="R98" s="31"/>
    </row>
    <row r="99" spans="1:18" x14ac:dyDescent="0.25">
      <c r="A99" s="33" t="s">
        <v>245</v>
      </c>
      <c r="B99" s="32" t="s">
        <v>246</v>
      </c>
      <c r="C99" s="16">
        <v>104.1</v>
      </c>
      <c r="D99" s="29">
        <v>165.7</v>
      </c>
      <c r="E99" s="29">
        <v>155.4</v>
      </c>
      <c r="F99" s="16">
        <v>61.599999999999994</v>
      </c>
      <c r="G99" s="29">
        <v>-10.3</v>
      </c>
      <c r="H99" s="30">
        <v>4.8</v>
      </c>
      <c r="I99" s="29">
        <v>-0.6</v>
      </c>
      <c r="J99" s="29">
        <v>24.3</v>
      </c>
      <c r="K99" s="29">
        <v>45.1</v>
      </c>
      <c r="L99" s="29">
        <v>51.2</v>
      </c>
      <c r="M99" s="29">
        <v>6.4</v>
      </c>
      <c r="N99" s="29">
        <v>1.3</v>
      </c>
      <c r="O99" t="s">
        <v>16</v>
      </c>
      <c r="P99" s="31"/>
      <c r="Q99" s="31"/>
      <c r="R99" s="31"/>
    </row>
    <row r="100" spans="1:18" x14ac:dyDescent="0.25">
      <c r="A100" s="33" t="s">
        <v>247</v>
      </c>
      <c r="B100" s="32" t="s">
        <v>248</v>
      </c>
      <c r="C100" s="16">
        <v>413.7</v>
      </c>
      <c r="D100" s="29">
        <v>595.6</v>
      </c>
      <c r="E100" s="29">
        <v>609.9</v>
      </c>
      <c r="F100" s="16">
        <v>181.90000000000003</v>
      </c>
      <c r="G100" s="29">
        <v>14.3</v>
      </c>
      <c r="H100" s="30">
        <v>3.7</v>
      </c>
      <c r="I100" s="29">
        <v>0.2</v>
      </c>
      <c r="J100" s="29">
        <v>153.1</v>
      </c>
      <c r="K100" s="29">
        <v>324.5</v>
      </c>
      <c r="L100" s="29">
        <v>360</v>
      </c>
      <c r="M100" s="29">
        <v>7.8</v>
      </c>
      <c r="N100" s="29">
        <v>1</v>
      </c>
      <c r="O100" t="s">
        <v>16</v>
      </c>
      <c r="P100" s="31"/>
      <c r="Q100" s="31"/>
      <c r="R100" s="31"/>
    </row>
    <row r="101" spans="1:18" x14ac:dyDescent="0.25">
      <c r="A101" s="33" t="s">
        <v>249</v>
      </c>
      <c r="B101" s="32" t="s">
        <v>250</v>
      </c>
      <c r="C101" s="16">
        <v>492.2</v>
      </c>
      <c r="D101" s="29">
        <v>534.29999999999995</v>
      </c>
      <c r="E101" s="29">
        <v>530.5</v>
      </c>
      <c r="F101" s="16">
        <v>42.099999999999966</v>
      </c>
      <c r="G101" s="29">
        <v>-3.8</v>
      </c>
      <c r="H101" s="30">
        <v>0.8</v>
      </c>
      <c r="I101" s="29">
        <v>-0.1</v>
      </c>
      <c r="J101" s="29">
        <v>200</v>
      </c>
      <c r="K101" s="29">
        <v>243.6</v>
      </c>
      <c r="L101" s="29">
        <v>300.10000000000002</v>
      </c>
      <c r="M101" s="29">
        <v>2</v>
      </c>
      <c r="N101" s="29">
        <v>2.1</v>
      </c>
      <c r="O101" t="s">
        <v>17</v>
      </c>
      <c r="P101" s="31"/>
      <c r="Q101" s="31"/>
      <c r="R101" s="31"/>
    </row>
    <row r="102" spans="1:18" x14ac:dyDescent="0.25">
      <c r="A102" s="32" t="s">
        <v>251</v>
      </c>
      <c r="B102" s="32" t="s">
        <v>252</v>
      </c>
      <c r="C102" s="16">
        <v>23</v>
      </c>
      <c r="D102" s="29">
        <v>24.1</v>
      </c>
      <c r="E102" s="29">
        <v>19.8</v>
      </c>
      <c r="F102" s="16">
        <v>1.1000000000000014</v>
      </c>
      <c r="G102" s="29">
        <v>-4.3</v>
      </c>
      <c r="H102" s="30">
        <v>0.5</v>
      </c>
      <c r="I102" s="29">
        <v>-1.9</v>
      </c>
      <c r="J102" s="29">
        <v>13.1</v>
      </c>
      <c r="K102" s="29">
        <v>19.5</v>
      </c>
      <c r="L102" s="29">
        <v>20.7</v>
      </c>
      <c r="M102" s="29">
        <v>4</v>
      </c>
      <c r="N102" s="29">
        <v>0.6</v>
      </c>
      <c r="O102" t="s">
        <v>17</v>
      </c>
      <c r="P102" s="31"/>
      <c r="Q102" s="31"/>
      <c r="R102" s="31"/>
    </row>
    <row r="103" spans="1:18" x14ac:dyDescent="0.25">
      <c r="A103" s="33" t="s">
        <v>253</v>
      </c>
      <c r="B103" s="32" t="s">
        <v>254</v>
      </c>
      <c r="C103" s="16">
        <v>130.6</v>
      </c>
      <c r="D103" s="29">
        <v>142.1</v>
      </c>
      <c r="E103" s="29">
        <v>121.2</v>
      </c>
      <c r="F103" s="16">
        <v>11.5</v>
      </c>
      <c r="G103" s="29">
        <v>-20.9</v>
      </c>
      <c r="H103" s="30">
        <v>0.8</v>
      </c>
      <c r="I103" s="29">
        <v>-1.6</v>
      </c>
      <c r="J103" s="29">
        <v>31.5</v>
      </c>
      <c r="K103" s="29">
        <v>32.799999999999997</v>
      </c>
      <c r="L103" s="29">
        <v>37.6</v>
      </c>
      <c r="M103" s="29">
        <v>0.4</v>
      </c>
      <c r="N103" s="29">
        <v>1.4</v>
      </c>
      <c r="O103" t="s">
        <v>17</v>
      </c>
      <c r="P103" s="31"/>
      <c r="Q103" s="31"/>
      <c r="R103" s="31"/>
    </row>
    <row r="104" spans="1:18" x14ac:dyDescent="0.25">
      <c r="A104" s="33" t="s">
        <v>255</v>
      </c>
      <c r="B104" s="32" t="s">
        <v>256</v>
      </c>
      <c r="C104" s="16">
        <v>38</v>
      </c>
      <c r="D104" s="29">
        <v>35.200000000000003</v>
      </c>
      <c r="E104" s="29">
        <v>29.6</v>
      </c>
      <c r="F104" s="16">
        <v>-2.7999999999999972</v>
      </c>
      <c r="G104" s="29">
        <v>-5.7</v>
      </c>
      <c r="H104" s="30">
        <v>-0.8</v>
      </c>
      <c r="I104" s="29">
        <v>-1.7</v>
      </c>
      <c r="J104" s="29">
        <v>24.9</v>
      </c>
      <c r="K104" s="29">
        <v>24.5</v>
      </c>
      <c r="L104" s="29">
        <v>30.3</v>
      </c>
      <c r="M104" s="29">
        <v>-0.2</v>
      </c>
      <c r="N104" s="29">
        <v>2.2000000000000002</v>
      </c>
      <c r="O104" t="s">
        <v>17</v>
      </c>
      <c r="P104" s="31"/>
      <c r="Q104" s="31"/>
      <c r="R104" s="31"/>
    </row>
    <row r="105" spans="1:18" x14ac:dyDescent="0.25">
      <c r="A105" s="33" t="s">
        <v>257</v>
      </c>
      <c r="B105" s="32" t="s">
        <v>258</v>
      </c>
      <c r="C105" s="16">
        <v>384.3</v>
      </c>
      <c r="D105" s="29">
        <v>388.3</v>
      </c>
      <c r="E105" s="29">
        <v>359.1</v>
      </c>
      <c r="F105" s="16">
        <v>4</v>
      </c>
      <c r="G105" s="29">
        <v>-29.2</v>
      </c>
      <c r="H105" s="30">
        <v>0.1</v>
      </c>
      <c r="I105" s="29">
        <v>-0.8</v>
      </c>
      <c r="J105" s="29">
        <v>62.2</v>
      </c>
      <c r="K105" s="29">
        <v>74.5</v>
      </c>
      <c r="L105" s="29">
        <v>83.7</v>
      </c>
      <c r="M105" s="29">
        <v>1.8</v>
      </c>
      <c r="N105" s="29">
        <v>1.2</v>
      </c>
      <c r="O105" t="s">
        <v>18</v>
      </c>
      <c r="P105" s="31"/>
      <c r="Q105" s="31"/>
      <c r="R105" s="31"/>
    </row>
    <row r="106" spans="1:18" ht="30" customHeight="1" x14ac:dyDescent="0.25">
      <c r="A106" s="33" t="s">
        <v>259</v>
      </c>
      <c r="B106" s="32" t="s">
        <v>260</v>
      </c>
      <c r="C106" s="16">
        <v>242.9</v>
      </c>
      <c r="D106" s="29">
        <v>243.3</v>
      </c>
      <c r="E106" s="29">
        <v>242</v>
      </c>
      <c r="F106" s="16">
        <v>0.40000000000000568</v>
      </c>
      <c r="G106" s="29">
        <v>-1.3</v>
      </c>
      <c r="H106" s="30">
        <v>0</v>
      </c>
      <c r="I106" s="29">
        <v>-0.1</v>
      </c>
      <c r="J106" s="29">
        <v>34.1</v>
      </c>
      <c r="K106" s="29">
        <v>37.6</v>
      </c>
      <c r="L106" s="29">
        <v>43</v>
      </c>
      <c r="M106" s="29">
        <v>1</v>
      </c>
      <c r="N106" s="29">
        <v>1.3</v>
      </c>
      <c r="O106" s="9"/>
      <c r="P106" s="31"/>
      <c r="Q106" s="31"/>
      <c r="R106" s="31"/>
    </row>
    <row r="107" spans="1:18" x14ac:dyDescent="0.25">
      <c r="A107" s="33" t="s">
        <v>261</v>
      </c>
      <c r="B107" s="32" t="s">
        <v>262</v>
      </c>
      <c r="C107" s="16">
        <v>103.4</v>
      </c>
      <c r="D107" s="29">
        <v>110.9</v>
      </c>
      <c r="E107" s="29">
        <v>86.2</v>
      </c>
      <c r="F107" s="16">
        <v>7.5</v>
      </c>
      <c r="G107" s="29">
        <v>-24.7</v>
      </c>
      <c r="H107" s="30">
        <v>0.7</v>
      </c>
      <c r="I107" s="29">
        <v>-2.5</v>
      </c>
      <c r="J107" s="29">
        <v>20.399999999999999</v>
      </c>
      <c r="K107" s="29">
        <v>26</v>
      </c>
      <c r="L107" s="29">
        <v>27.7</v>
      </c>
      <c r="M107" s="29">
        <v>2.4</v>
      </c>
      <c r="N107" s="29">
        <v>0.6</v>
      </c>
      <c r="O107" s="9"/>
      <c r="P107" s="31"/>
      <c r="Q107" s="31"/>
      <c r="R107" s="31"/>
    </row>
    <row r="108" spans="1:18" x14ac:dyDescent="0.25">
      <c r="A108" s="33" t="s">
        <v>263</v>
      </c>
      <c r="B108" s="32" t="s">
        <v>264</v>
      </c>
      <c r="C108" s="16">
        <v>38</v>
      </c>
      <c r="D108" s="29">
        <v>34.1</v>
      </c>
      <c r="E108" s="29">
        <v>30.9</v>
      </c>
      <c r="F108" s="16">
        <v>-3.8999999999999986</v>
      </c>
      <c r="G108" s="29">
        <v>-3.2</v>
      </c>
      <c r="H108" s="30">
        <v>-1.1000000000000001</v>
      </c>
      <c r="I108" s="29">
        <v>-1</v>
      </c>
      <c r="J108" s="29">
        <v>7.7</v>
      </c>
      <c r="K108" s="29">
        <v>10.9</v>
      </c>
      <c r="L108" s="29">
        <v>13.2</v>
      </c>
      <c r="M108" s="29">
        <v>3.6</v>
      </c>
      <c r="N108" s="29">
        <v>1.9</v>
      </c>
      <c r="O108" s="9"/>
      <c r="P108" s="31"/>
      <c r="Q108" s="31"/>
      <c r="R108" s="31"/>
    </row>
    <row r="109" spans="1:18" x14ac:dyDescent="0.25">
      <c r="A109" s="32" t="s">
        <v>265</v>
      </c>
      <c r="B109" s="32" t="s">
        <v>266</v>
      </c>
      <c r="C109" s="16">
        <v>584.4</v>
      </c>
      <c r="D109" s="29">
        <v>617.70000000000005</v>
      </c>
      <c r="E109" s="29">
        <v>619.79999999999995</v>
      </c>
      <c r="F109" s="16">
        <v>33.300000000000068</v>
      </c>
      <c r="G109" s="29">
        <v>2.1</v>
      </c>
      <c r="H109" s="30">
        <v>0.6</v>
      </c>
      <c r="I109" s="29">
        <v>0</v>
      </c>
      <c r="J109" s="29">
        <v>167.6</v>
      </c>
      <c r="K109" s="29">
        <v>170.1</v>
      </c>
      <c r="L109" s="29">
        <v>197.8</v>
      </c>
      <c r="M109" s="29">
        <v>0.1</v>
      </c>
      <c r="N109" s="29">
        <v>1.5</v>
      </c>
      <c r="O109" t="s">
        <v>18</v>
      </c>
      <c r="P109" s="31"/>
      <c r="Q109" s="31"/>
      <c r="R109" s="31"/>
    </row>
    <row r="110" spans="1:18" x14ac:dyDescent="0.25">
      <c r="A110" s="33" t="s">
        <v>267</v>
      </c>
      <c r="B110" s="32" t="s">
        <v>268</v>
      </c>
      <c r="C110" s="16">
        <v>306.8</v>
      </c>
      <c r="D110" s="29">
        <v>324.5</v>
      </c>
      <c r="E110" s="29">
        <v>327.3</v>
      </c>
      <c r="F110" s="16">
        <v>17.699999999999989</v>
      </c>
      <c r="G110" s="29">
        <v>2.8</v>
      </c>
      <c r="H110" s="30">
        <v>0.6</v>
      </c>
      <c r="I110" s="29">
        <v>0.1</v>
      </c>
      <c r="J110" s="29">
        <v>91.8</v>
      </c>
      <c r="K110" s="29">
        <v>101.7</v>
      </c>
      <c r="L110" s="29">
        <v>117.7</v>
      </c>
      <c r="M110" s="29">
        <v>1</v>
      </c>
      <c r="N110" s="29">
        <v>1.5</v>
      </c>
      <c r="O110" s="9"/>
      <c r="P110" s="31"/>
      <c r="Q110" s="31"/>
      <c r="R110" s="31"/>
    </row>
    <row r="111" spans="1:18" x14ac:dyDescent="0.25">
      <c r="A111" s="33" t="s">
        <v>269</v>
      </c>
      <c r="B111" s="32" t="s">
        <v>270</v>
      </c>
      <c r="C111" s="16">
        <v>277.60000000000002</v>
      </c>
      <c r="D111" s="29">
        <v>293.2</v>
      </c>
      <c r="E111" s="29">
        <v>292.5</v>
      </c>
      <c r="F111" s="16">
        <v>15.599999999999966</v>
      </c>
      <c r="G111" s="29">
        <v>-0.7</v>
      </c>
      <c r="H111" s="30">
        <v>0.5</v>
      </c>
      <c r="I111" s="29">
        <v>0</v>
      </c>
      <c r="J111" s="29">
        <v>76</v>
      </c>
      <c r="K111" s="29">
        <v>68.5</v>
      </c>
      <c r="L111" s="29">
        <v>79.900000000000006</v>
      </c>
      <c r="M111" s="29">
        <v>-1</v>
      </c>
      <c r="N111" s="29">
        <v>1.6</v>
      </c>
      <c r="O111" s="9"/>
      <c r="P111" s="31"/>
      <c r="Q111" s="31"/>
      <c r="R111" s="31"/>
    </row>
    <row r="112" spans="1:18" x14ac:dyDescent="0.25">
      <c r="A112" s="33" t="s">
        <v>271</v>
      </c>
      <c r="B112" s="32" t="s">
        <v>272</v>
      </c>
      <c r="C112" s="16">
        <v>5520.9</v>
      </c>
      <c r="D112" s="29">
        <v>5903.4</v>
      </c>
      <c r="E112" s="29">
        <v>5801.3</v>
      </c>
      <c r="F112" s="16">
        <v>382.5</v>
      </c>
      <c r="G112" s="29">
        <v>-102.1</v>
      </c>
      <c r="H112" s="30">
        <v>0.7</v>
      </c>
      <c r="I112" s="29">
        <v>-0.2</v>
      </c>
      <c r="J112" s="29">
        <v>1223.5</v>
      </c>
      <c r="K112" s="29">
        <v>1885.8</v>
      </c>
      <c r="L112" s="29">
        <v>2440.6999999999998</v>
      </c>
      <c r="M112" s="29">
        <v>4.4000000000000004</v>
      </c>
      <c r="N112" s="29">
        <v>2.6</v>
      </c>
      <c r="O112" t="s">
        <v>20</v>
      </c>
      <c r="P112" s="31"/>
      <c r="Q112" s="31"/>
      <c r="R112" s="31"/>
    </row>
    <row r="113" spans="1:18" x14ac:dyDescent="0.25">
      <c r="A113" s="33" t="s">
        <v>273</v>
      </c>
      <c r="B113" s="32" t="s">
        <v>274</v>
      </c>
      <c r="C113" s="16">
        <v>14527.6</v>
      </c>
      <c r="D113" s="29">
        <v>15644.2</v>
      </c>
      <c r="E113" s="29">
        <v>15275.9</v>
      </c>
      <c r="F113" s="16">
        <v>1116.6000000000004</v>
      </c>
      <c r="G113" s="29">
        <v>-368.3</v>
      </c>
      <c r="H113" s="30">
        <v>0.7</v>
      </c>
      <c r="I113" s="29">
        <v>-0.2</v>
      </c>
      <c r="J113" s="29">
        <v>1271.2</v>
      </c>
      <c r="K113" s="29">
        <v>1842.1</v>
      </c>
      <c r="L113" s="29">
        <v>2339.3000000000002</v>
      </c>
      <c r="M113" s="29">
        <v>3.8</v>
      </c>
      <c r="N113" s="29">
        <v>2.4</v>
      </c>
      <c r="O113" t="s">
        <v>20</v>
      </c>
      <c r="P113" s="31"/>
      <c r="Q113" s="31"/>
      <c r="R113" s="31"/>
    </row>
    <row r="114" spans="1:18" x14ac:dyDescent="0.25">
      <c r="A114" s="33" t="s">
        <v>275</v>
      </c>
      <c r="B114" s="28" t="s">
        <v>276</v>
      </c>
      <c r="C114" s="16">
        <v>1637.4</v>
      </c>
      <c r="D114" s="29">
        <v>2034.8</v>
      </c>
      <c r="E114" s="29">
        <v>2058.1999999999998</v>
      </c>
      <c r="F114" s="16">
        <v>397.39999999999986</v>
      </c>
      <c r="G114" s="29">
        <v>23.4</v>
      </c>
      <c r="H114" s="30">
        <v>2.2000000000000002</v>
      </c>
      <c r="I114" s="29">
        <v>0.1</v>
      </c>
      <c r="J114" s="29">
        <v>156</v>
      </c>
      <c r="K114" s="29">
        <v>379.3</v>
      </c>
      <c r="L114" s="29">
        <v>490.9</v>
      </c>
      <c r="M114" s="29">
        <v>9.3000000000000007</v>
      </c>
      <c r="N114" s="29">
        <v>2.6</v>
      </c>
      <c r="O114" s="9"/>
      <c r="P114" s="31"/>
      <c r="Q114" s="31"/>
      <c r="R114" s="31"/>
    </row>
    <row r="115" spans="1:18" x14ac:dyDescent="0.25">
      <c r="A115" s="33" t="s">
        <v>277</v>
      </c>
      <c r="B115" s="32" t="s">
        <v>278</v>
      </c>
      <c r="C115" s="16">
        <v>2830</v>
      </c>
      <c r="D115" s="29">
        <v>3077.6</v>
      </c>
      <c r="E115" s="29">
        <v>3012.2</v>
      </c>
      <c r="F115" s="16">
        <v>247.59999999999991</v>
      </c>
      <c r="G115" s="29">
        <v>-65.400000000000006</v>
      </c>
      <c r="H115" s="30">
        <v>0.8</v>
      </c>
      <c r="I115" s="29">
        <v>-0.2</v>
      </c>
      <c r="J115" s="29">
        <v>204.1</v>
      </c>
      <c r="K115" s="29">
        <v>212.2</v>
      </c>
      <c r="L115" s="29">
        <v>240</v>
      </c>
      <c r="M115" s="29">
        <v>0.4</v>
      </c>
      <c r="N115" s="29">
        <v>1.2</v>
      </c>
      <c r="O115" s="9"/>
      <c r="P115" s="31"/>
      <c r="Q115" s="31"/>
      <c r="R115" s="31"/>
    </row>
    <row r="116" spans="1:18" x14ac:dyDescent="0.25">
      <c r="A116" s="33" t="s">
        <v>279</v>
      </c>
      <c r="B116" s="32" t="s">
        <v>280</v>
      </c>
      <c r="C116" s="16">
        <v>2966.2</v>
      </c>
      <c r="D116" s="29">
        <v>3043.3</v>
      </c>
      <c r="E116" s="29">
        <v>2927.4</v>
      </c>
      <c r="F116" s="16">
        <v>77.100000000000364</v>
      </c>
      <c r="G116" s="29">
        <v>-115.9</v>
      </c>
      <c r="H116" s="30">
        <v>0.3</v>
      </c>
      <c r="I116" s="29">
        <v>-0.4</v>
      </c>
      <c r="J116" s="29">
        <v>236.2</v>
      </c>
      <c r="K116" s="29">
        <v>257.2</v>
      </c>
      <c r="L116" s="29">
        <v>291.60000000000002</v>
      </c>
      <c r="M116" s="29">
        <v>0.9</v>
      </c>
      <c r="N116" s="29">
        <v>1.3</v>
      </c>
      <c r="O116" s="9"/>
      <c r="P116" s="31"/>
      <c r="Q116" s="31"/>
      <c r="R116" s="31"/>
    </row>
    <row r="117" spans="1:18" ht="38.25" x14ac:dyDescent="0.25">
      <c r="A117" s="33" t="s">
        <v>281</v>
      </c>
      <c r="B117" s="32" t="s">
        <v>282</v>
      </c>
      <c r="C117" s="16">
        <v>7094</v>
      </c>
      <c r="D117" s="29">
        <v>7488.5</v>
      </c>
      <c r="E117" s="29">
        <v>7278</v>
      </c>
      <c r="F117" s="16">
        <v>394.5</v>
      </c>
      <c r="G117" s="29">
        <v>-210.5</v>
      </c>
      <c r="H117" s="34">
        <v>0.5</v>
      </c>
      <c r="I117" s="29">
        <v>-0.3</v>
      </c>
      <c r="J117" s="29">
        <v>677</v>
      </c>
      <c r="K117" s="29">
        <v>1003.3</v>
      </c>
      <c r="L117" s="29">
        <v>1331.6</v>
      </c>
      <c r="M117" s="29">
        <v>4</v>
      </c>
      <c r="N117" s="29">
        <v>2.9</v>
      </c>
      <c r="O117" s="9"/>
      <c r="P117" s="31"/>
      <c r="Q117" s="31"/>
      <c r="R117" s="31"/>
    </row>
    <row r="118" spans="1:18" ht="25.5" x14ac:dyDescent="0.25">
      <c r="A118" s="33" t="s">
        <v>283</v>
      </c>
      <c r="B118" s="32" t="s">
        <v>284</v>
      </c>
      <c r="C118" s="16">
        <v>4224.7</v>
      </c>
      <c r="D118" s="29">
        <v>5618.1</v>
      </c>
      <c r="E118" s="29">
        <v>5944.1</v>
      </c>
      <c r="F118" s="16">
        <v>1393.4000000000005</v>
      </c>
      <c r="G118" s="29">
        <v>326</v>
      </c>
      <c r="H118" s="34">
        <v>2.9</v>
      </c>
      <c r="I118" s="29">
        <v>0.6</v>
      </c>
      <c r="J118" s="29">
        <v>940.4</v>
      </c>
      <c r="K118" s="29">
        <v>1128.4000000000001</v>
      </c>
      <c r="L118" s="29">
        <v>1327.9</v>
      </c>
      <c r="M118" s="29">
        <v>1.8</v>
      </c>
      <c r="N118" s="29">
        <v>1.6</v>
      </c>
      <c r="O118" t="s">
        <v>21</v>
      </c>
      <c r="P118" s="31"/>
      <c r="Q118" s="31"/>
      <c r="R118" s="31"/>
    </row>
    <row r="119" spans="1:18" x14ac:dyDescent="0.25">
      <c r="A119" s="33" t="s">
        <v>285</v>
      </c>
      <c r="B119" s="32" t="s">
        <v>286</v>
      </c>
      <c r="C119" s="16">
        <v>462.8</v>
      </c>
      <c r="D119" s="29">
        <v>503</v>
      </c>
      <c r="E119" s="29">
        <v>532.5</v>
      </c>
      <c r="F119" s="16">
        <v>40.199999999999989</v>
      </c>
      <c r="G119" s="29">
        <v>29.5</v>
      </c>
      <c r="H119" s="34">
        <v>0.8</v>
      </c>
      <c r="I119" s="29">
        <v>0.6</v>
      </c>
      <c r="J119" s="29">
        <v>177.6</v>
      </c>
      <c r="K119" s="29">
        <v>243.5</v>
      </c>
      <c r="L119" s="29">
        <v>293.39999999999998</v>
      </c>
      <c r="M119" s="29">
        <v>3.2</v>
      </c>
      <c r="N119" s="29">
        <v>1.9</v>
      </c>
      <c r="O119" s="9"/>
      <c r="P119" s="31"/>
      <c r="Q119" s="31"/>
      <c r="R119" s="31"/>
    </row>
    <row r="120" spans="1:18" x14ac:dyDescent="0.25">
      <c r="A120" s="33" t="s">
        <v>287</v>
      </c>
      <c r="B120" s="32" t="s">
        <v>288</v>
      </c>
      <c r="C120" s="35">
        <v>184.6</v>
      </c>
      <c r="D120" s="29">
        <v>174.5</v>
      </c>
      <c r="E120" s="29">
        <v>166.6</v>
      </c>
      <c r="F120" s="16">
        <v>-10.099999999999994</v>
      </c>
      <c r="G120" s="29">
        <v>-7.9</v>
      </c>
      <c r="H120" s="34">
        <v>-0.6</v>
      </c>
      <c r="I120" s="29">
        <v>-0.5</v>
      </c>
      <c r="J120" s="29">
        <v>65.400000000000006</v>
      </c>
      <c r="K120" s="29">
        <v>74.8</v>
      </c>
      <c r="L120" s="29">
        <v>85.2</v>
      </c>
      <c r="M120" s="29">
        <v>1.4</v>
      </c>
      <c r="N120" s="29">
        <v>1.3</v>
      </c>
      <c r="O120" s="9"/>
      <c r="P120" s="31"/>
      <c r="Q120" s="31"/>
      <c r="R120" s="31"/>
    </row>
    <row r="121" spans="1:18" x14ac:dyDescent="0.25">
      <c r="A121" s="32" t="s">
        <v>289</v>
      </c>
      <c r="B121" s="32" t="s">
        <v>290</v>
      </c>
      <c r="C121" s="16">
        <v>63.4</v>
      </c>
      <c r="D121" s="29">
        <v>65.8</v>
      </c>
      <c r="E121" s="29">
        <v>67.400000000000006</v>
      </c>
      <c r="F121" s="16">
        <v>2.3999999999999986</v>
      </c>
      <c r="G121" s="29">
        <v>1.6</v>
      </c>
      <c r="H121" s="34">
        <v>0.4</v>
      </c>
      <c r="I121" s="29">
        <v>0.2</v>
      </c>
      <c r="J121" s="29">
        <v>51.2</v>
      </c>
      <c r="K121" s="29">
        <v>51.8</v>
      </c>
      <c r="L121" s="29">
        <v>54.5</v>
      </c>
      <c r="M121" s="29">
        <v>0.1</v>
      </c>
      <c r="N121" s="29">
        <v>0.5</v>
      </c>
      <c r="O121" s="9"/>
      <c r="P121" s="31"/>
      <c r="Q121" s="31"/>
      <c r="R121" s="31"/>
    </row>
    <row r="122" spans="1:18" x14ac:dyDescent="0.25">
      <c r="A122" s="33" t="s">
        <v>291</v>
      </c>
      <c r="B122" s="32" t="s">
        <v>292</v>
      </c>
      <c r="C122" s="16">
        <v>1268.5999999999999</v>
      </c>
      <c r="D122" s="29">
        <v>1531</v>
      </c>
      <c r="E122" s="29">
        <v>1556.9</v>
      </c>
      <c r="F122" s="16">
        <v>262.40000000000009</v>
      </c>
      <c r="G122" s="29">
        <v>25.9</v>
      </c>
      <c r="H122" s="34">
        <v>1.9</v>
      </c>
      <c r="I122" s="29">
        <v>0.2</v>
      </c>
      <c r="J122" s="29">
        <v>258</v>
      </c>
      <c r="K122" s="29">
        <v>338.2</v>
      </c>
      <c r="L122" s="29">
        <v>417.3</v>
      </c>
      <c r="M122" s="29">
        <v>2.7</v>
      </c>
      <c r="N122" s="29">
        <v>2.1</v>
      </c>
      <c r="O122" s="9"/>
      <c r="P122" s="31"/>
      <c r="Q122" s="31"/>
      <c r="R122" s="31"/>
    </row>
    <row r="123" spans="1:18" x14ac:dyDescent="0.25">
      <c r="A123" s="33" t="s">
        <v>293</v>
      </c>
      <c r="B123" s="32" t="s">
        <v>294</v>
      </c>
      <c r="C123" s="35">
        <v>428.3</v>
      </c>
      <c r="D123" s="29">
        <v>499.2</v>
      </c>
      <c r="E123" s="29">
        <v>525.6</v>
      </c>
      <c r="F123" s="16">
        <v>70.899999999999977</v>
      </c>
      <c r="G123" s="29">
        <v>26.4</v>
      </c>
      <c r="H123" s="34">
        <v>1.5</v>
      </c>
      <c r="I123" s="29">
        <v>0.5</v>
      </c>
      <c r="J123" s="29">
        <v>47.7</v>
      </c>
      <c r="K123" s="29">
        <v>76.099999999999994</v>
      </c>
      <c r="L123" s="29">
        <v>92.5</v>
      </c>
      <c r="M123" s="29">
        <v>4.8</v>
      </c>
      <c r="N123" s="29">
        <v>2</v>
      </c>
      <c r="O123" s="9"/>
      <c r="P123" s="31"/>
      <c r="Q123" s="31"/>
      <c r="R123" s="31"/>
    </row>
    <row r="124" spans="1:18" x14ac:dyDescent="0.25">
      <c r="A124" s="33" t="s">
        <v>295</v>
      </c>
      <c r="B124" s="32" t="s">
        <v>296</v>
      </c>
      <c r="C124" s="16">
        <v>42.6</v>
      </c>
      <c r="D124" s="29">
        <v>51.2</v>
      </c>
      <c r="E124" s="29">
        <v>52.8</v>
      </c>
      <c r="F124" s="16">
        <v>8.6000000000000014</v>
      </c>
      <c r="G124" s="29">
        <v>1.6</v>
      </c>
      <c r="H124" s="34">
        <v>1.9</v>
      </c>
      <c r="I124" s="29">
        <v>0.3</v>
      </c>
      <c r="J124" s="29">
        <v>37.9</v>
      </c>
      <c r="K124" s="29">
        <v>43.8</v>
      </c>
      <c r="L124" s="29">
        <v>46.5</v>
      </c>
      <c r="M124" s="29">
        <v>1.5</v>
      </c>
      <c r="N124" s="29">
        <v>0.6</v>
      </c>
      <c r="O124" s="9"/>
      <c r="P124" s="31"/>
      <c r="Q124" s="31"/>
      <c r="R124" s="31"/>
    </row>
    <row r="125" spans="1:18" ht="25.5" x14ac:dyDescent="0.25">
      <c r="A125" s="32" t="s">
        <v>297</v>
      </c>
      <c r="B125" s="32" t="s">
        <v>298</v>
      </c>
      <c r="C125" s="35">
        <v>586.4</v>
      </c>
      <c r="D125" s="29">
        <v>790</v>
      </c>
      <c r="E125" s="29">
        <v>808.2</v>
      </c>
      <c r="F125" s="16">
        <v>203.60000000000002</v>
      </c>
      <c r="G125" s="29">
        <v>18.2</v>
      </c>
      <c r="H125" s="34">
        <v>3</v>
      </c>
      <c r="I125" s="29">
        <v>0.2</v>
      </c>
      <c r="J125" s="29">
        <v>94.4</v>
      </c>
      <c r="K125" s="29">
        <v>130.30000000000001</v>
      </c>
      <c r="L125" s="29">
        <v>159.69999999999999</v>
      </c>
      <c r="M125" s="29">
        <v>3.3</v>
      </c>
      <c r="N125" s="29">
        <v>2.1</v>
      </c>
      <c r="O125" s="9"/>
      <c r="P125" s="31"/>
      <c r="Q125" s="31"/>
      <c r="R125" s="31"/>
    </row>
    <row r="126" spans="1:18" x14ac:dyDescent="0.25">
      <c r="A126" s="33" t="s">
        <v>299</v>
      </c>
      <c r="B126" s="32" t="s">
        <v>300</v>
      </c>
      <c r="C126" s="16">
        <v>703.4</v>
      </c>
      <c r="D126" s="29">
        <v>607.29999999999995</v>
      </c>
      <c r="E126" s="29">
        <v>519.1</v>
      </c>
      <c r="F126" s="16">
        <v>-96.100000000000023</v>
      </c>
      <c r="G126" s="29">
        <v>-88.2</v>
      </c>
      <c r="H126" s="34">
        <v>-1.5</v>
      </c>
      <c r="I126" s="29">
        <v>-1.6</v>
      </c>
      <c r="J126" s="29">
        <v>73.5</v>
      </c>
      <c r="K126" s="29">
        <v>53.5</v>
      </c>
      <c r="L126" s="29">
        <v>49.3</v>
      </c>
      <c r="M126" s="29">
        <v>-3.1</v>
      </c>
      <c r="N126" s="29">
        <v>-0.8</v>
      </c>
      <c r="O126" s="6"/>
      <c r="P126" s="31"/>
      <c r="Q126" s="31"/>
      <c r="R126" s="31"/>
    </row>
    <row r="127" spans="1:18" x14ac:dyDescent="0.25">
      <c r="A127" s="33" t="s">
        <v>301</v>
      </c>
      <c r="B127" s="32" t="s">
        <v>302</v>
      </c>
      <c r="C127" s="16">
        <v>546.29999999999995</v>
      </c>
      <c r="D127" s="29">
        <v>815.8</v>
      </c>
      <c r="E127" s="29">
        <v>942.1</v>
      </c>
      <c r="F127" s="16">
        <v>269.5</v>
      </c>
      <c r="G127" s="29">
        <v>126.3</v>
      </c>
      <c r="H127" s="34">
        <v>4.0999999999999996</v>
      </c>
      <c r="I127" s="29">
        <v>1.4</v>
      </c>
      <c r="J127" s="29">
        <v>85.6</v>
      </c>
      <c r="K127" s="29">
        <v>82.1</v>
      </c>
      <c r="L127" s="29">
        <v>93</v>
      </c>
      <c r="M127" s="29">
        <v>-0.4</v>
      </c>
      <c r="N127" s="29">
        <v>1.3</v>
      </c>
      <c r="O127" s="9"/>
      <c r="P127" s="31"/>
      <c r="Q127" s="31"/>
      <c r="R127" s="31"/>
    </row>
    <row r="128" spans="1:18" x14ac:dyDescent="0.25">
      <c r="A128" s="33" t="s">
        <v>303</v>
      </c>
      <c r="B128" s="32" t="s">
        <v>304</v>
      </c>
      <c r="C128" s="16">
        <v>641.70000000000005</v>
      </c>
      <c r="D128" s="29">
        <v>1187.5999999999999</v>
      </c>
      <c r="E128" s="29">
        <v>1291.9000000000001</v>
      </c>
      <c r="F128" s="16">
        <v>545.89999999999986</v>
      </c>
      <c r="G128" s="29">
        <v>104.3</v>
      </c>
      <c r="H128" s="34">
        <v>6.3</v>
      </c>
      <c r="I128" s="29">
        <v>0.8</v>
      </c>
      <c r="J128" s="29">
        <v>126.9</v>
      </c>
      <c r="K128" s="29">
        <v>93.8</v>
      </c>
      <c r="L128" s="29">
        <v>98.4</v>
      </c>
      <c r="M128" s="29">
        <v>-3</v>
      </c>
      <c r="N128" s="29">
        <v>0.5</v>
      </c>
      <c r="O128" s="9"/>
      <c r="P128" s="31"/>
      <c r="Q128" s="31"/>
      <c r="R128" s="31"/>
    </row>
    <row r="129" spans="1:18" x14ac:dyDescent="0.25">
      <c r="A129" s="33" t="s">
        <v>305</v>
      </c>
      <c r="B129" s="32" t="s">
        <v>306</v>
      </c>
      <c r="C129" s="16">
        <v>2803.8</v>
      </c>
      <c r="D129" s="29">
        <v>2859.4</v>
      </c>
      <c r="E129" s="29">
        <v>2853.2</v>
      </c>
      <c r="F129" s="16">
        <v>55.599999999999909</v>
      </c>
      <c r="G129" s="29">
        <v>-6.2</v>
      </c>
      <c r="H129" s="30">
        <v>0.2</v>
      </c>
      <c r="I129" s="29">
        <v>0</v>
      </c>
      <c r="J129" s="29">
        <v>1226.5999999999999</v>
      </c>
      <c r="K129" s="29">
        <v>1914.2</v>
      </c>
      <c r="L129" s="29">
        <v>2489.5</v>
      </c>
      <c r="M129" s="29">
        <v>4.5999999999999996</v>
      </c>
      <c r="N129" s="29">
        <v>2.7</v>
      </c>
      <c r="O129" s="9"/>
      <c r="P129" s="31"/>
      <c r="Q129" s="31"/>
      <c r="R129" s="31"/>
    </row>
    <row r="130" spans="1:18" x14ac:dyDescent="0.25">
      <c r="A130" s="32" t="s">
        <v>307</v>
      </c>
      <c r="B130" s="32" t="s">
        <v>308</v>
      </c>
      <c r="C130" s="16">
        <v>796.4</v>
      </c>
      <c r="D130" s="29">
        <v>759.5</v>
      </c>
      <c r="E130" s="29">
        <v>754.7</v>
      </c>
      <c r="F130" s="16">
        <v>-36.899999999999977</v>
      </c>
      <c r="G130" s="29">
        <v>-4.8</v>
      </c>
      <c r="H130" s="30">
        <v>-0.5</v>
      </c>
      <c r="I130" s="29">
        <v>-0.1</v>
      </c>
      <c r="J130" s="29">
        <v>292.60000000000002</v>
      </c>
      <c r="K130" s="29">
        <v>357</v>
      </c>
      <c r="L130" s="29">
        <v>495.1</v>
      </c>
      <c r="M130" s="29">
        <v>2</v>
      </c>
      <c r="N130" s="29">
        <v>3.3</v>
      </c>
      <c r="O130" t="s">
        <v>23</v>
      </c>
      <c r="P130" s="31"/>
      <c r="Q130" s="31"/>
      <c r="R130" s="31"/>
    </row>
    <row r="131" spans="1:18" x14ac:dyDescent="0.25">
      <c r="A131" s="33" t="s">
        <v>309</v>
      </c>
      <c r="B131" s="32" t="s">
        <v>310</v>
      </c>
      <c r="C131" s="16">
        <v>538.70000000000005</v>
      </c>
      <c r="D131" s="29">
        <v>298.5</v>
      </c>
      <c r="E131" s="29">
        <v>199.3</v>
      </c>
      <c r="F131" s="16">
        <v>-240.20000000000005</v>
      </c>
      <c r="G131" s="29">
        <v>-99.2</v>
      </c>
      <c r="H131" s="30">
        <v>-5.7</v>
      </c>
      <c r="I131" s="29">
        <v>-4</v>
      </c>
      <c r="J131" s="29">
        <v>139.1</v>
      </c>
      <c r="K131" s="29">
        <v>121</v>
      </c>
      <c r="L131" s="29">
        <v>122.6</v>
      </c>
      <c r="M131" s="29">
        <v>-1.4</v>
      </c>
      <c r="N131" s="29">
        <v>0.1</v>
      </c>
      <c r="O131" s="9"/>
      <c r="P131" s="31"/>
      <c r="Q131" s="31"/>
      <c r="R131" s="31"/>
    </row>
    <row r="132" spans="1:18" x14ac:dyDescent="0.25">
      <c r="A132" s="33" t="s">
        <v>311</v>
      </c>
      <c r="B132" s="32" t="s">
        <v>312</v>
      </c>
      <c r="C132" s="16">
        <v>257.7</v>
      </c>
      <c r="D132" s="29">
        <v>461</v>
      </c>
      <c r="E132" s="29">
        <v>555.29999999999995</v>
      </c>
      <c r="F132" s="16">
        <v>203.3</v>
      </c>
      <c r="G132" s="29">
        <v>94.3</v>
      </c>
      <c r="H132" s="30">
        <v>6</v>
      </c>
      <c r="I132" s="29">
        <v>1.9</v>
      </c>
      <c r="J132" s="29">
        <v>154</v>
      </c>
      <c r="K132" s="29">
        <v>236.4</v>
      </c>
      <c r="L132" s="29">
        <v>378.1</v>
      </c>
      <c r="M132" s="29">
        <v>4.4000000000000004</v>
      </c>
      <c r="N132" s="29">
        <v>4.8</v>
      </c>
      <c r="O132" s="9"/>
      <c r="P132" s="31"/>
      <c r="Q132" s="31"/>
      <c r="R132" s="31"/>
    </row>
    <row r="133" spans="1:18" x14ac:dyDescent="0.25">
      <c r="A133" s="33" t="s">
        <v>313</v>
      </c>
      <c r="B133" s="32" t="s">
        <v>314</v>
      </c>
      <c r="C133" s="16">
        <v>357.6</v>
      </c>
      <c r="D133" s="29">
        <v>444</v>
      </c>
      <c r="E133" s="29">
        <v>492.9</v>
      </c>
      <c r="F133" s="16">
        <v>86.399999999999977</v>
      </c>
      <c r="G133" s="29">
        <v>48.9</v>
      </c>
      <c r="H133" s="30">
        <v>2.2000000000000002</v>
      </c>
      <c r="I133" s="29">
        <v>1</v>
      </c>
      <c r="J133" s="29">
        <v>128.6</v>
      </c>
      <c r="K133" s="29">
        <v>127.8</v>
      </c>
      <c r="L133" s="29">
        <v>139.5</v>
      </c>
      <c r="M133" s="29">
        <v>-0.1</v>
      </c>
      <c r="N133" s="29">
        <v>0.9</v>
      </c>
      <c r="O133" t="s">
        <v>23</v>
      </c>
      <c r="P133" s="31"/>
      <c r="Q133" s="31"/>
      <c r="R133" s="31"/>
    </row>
    <row r="134" spans="1:18" x14ac:dyDescent="0.25">
      <c r="A134" s="33" t="s">
        <v>315</v>
      </c>
      <c r="B134" s="32" t="s">
        <v>316</v>
      </c>
      <c r="C134" s="16">
        <v>300.60000000000002</v>
      </c>
      <c r="D134" s="29">
        <v>266.5</v>
      </c>
      <c r="E134" s="29">
        <v>246.9</v>
      </c>
      <c r="F134" s="16">
        <v>-34.100000000000023</v>
      </c>
      <c r="G134" s="29">
        <v>-19.600000000000001</v>
      </c>
      <c r="H134" s="30">
        <v>-1.2</v>
      </c>
      <c r="I134" s="29">
        <v>-0.8</v>
      </c>
      <c r="J134" s="29">
        <v>131</v>
      </c>
      <c r="K134" s="29">
        <v>197.5</v>
      </c>
      <c r="L134" s="29">
        <v>247.2</v>
      </c>
      <c r="M134" s="29">
        <v>4.2</v>
      </c>
      <c r="N134" s="29">
        <v>2.2999999999999998</v>
      </c>
      <c r="O134" t="s">
        <v>23</v>
      </c>
      <c r="P134" s="31"/>
      <c r="Q134" s="31"/>
      <c r="R134" s="31"/>
    </row>
    <row r="135" spans="1:18" x14ac:dyDescent="0.25">
      <c r="A135" s="33" t="s">
        <v>317</v>
      </c>
      <c r="B135" s="32" t="s">
        <v>318</v>
      </c>
      <c r="C135" s="16">
        <v>215.3</v>
      </c>
      <c r="D135" s="29">
        <v>213.5</v>
      </c>
      <c r="E135" s="29">
        <v>214.6</v>
      </c>
      <c r="F135" s="16">
        <v>-1.8000000000000114</v>
      </c>
      <c r="G135" s="29">
        <v>1.1000000000000001</v>
      </c>
      <c r="H135" s="30">
        <v>-0.1</v>
      </c>
      <c r="I135" s="29">
        <v>0.1</v>
      </c>
      <c r="J135" s="29">
        <v>64.900000000000006</v>
      </c>
      <c r="K135" s="29">
        <v>98.3</v>
      </c>
      <c r="L135" s="29">
        <v>124.5</v>
      </c>
      <c r="M135" s="29">
        <v>4.2</v>
      </c>
      <c r="N135" s="29">
        <v>2.4</v>
      </c>
      <c r="O135" s="9"/>
      <c r="P135" s="31"/>
      <c r="Q135" s="31"/>
      <c r="R135" s="31"/>
    </row>
    <row r="136" spans="1:18" x14ac:dyDescent="0.25">
      <c r="A136" s="33" t="s">
        <v>319</v>
      </c>
      <c r="B136" s="32" t="s">
        <v>320</v>
      </c>
      <c r="C136" s="16">
        <v>85.3</v>
      </c>
      <c r="D136" s="29">
        <v>53</v>
      </c>
      <c r="E136" s="29">
        <v>32.299999999999997</v>
      </c>
      <c r="F136" s="16">
        <v>-32.299999999999997</v>
      </c>
      <c r="G136" s="29">
        <v>-20.7</v>
      </c>
      <c r="H136" s="30">
        <v>-4.5999999999999996</v>
      </c>
      <c r="I136" s="29">
        <v>-4.8</v>
      </c>
      <c r="J136" s="29">
        <v>66</v>
      </c>
      <c r="K136" s="29">
        <v>99.2</v>
      </c>
      <c r="L136" s="29">
        <v>122.6</v>
      </c>
      <c r="M136" s="29">
        <v>4.2</v>
      </c>
      <c r="N136" s="29">
        <v>2.1</v>
      </c>
      <c r="O136" s="9"/>
      <c r="P136" s="31"/>
      <c r="Q136" s="31"/>
      <c r="R136" s="31"/>
    </row>
    <row r="137" spans="1:18" x14ac:dyDescent="0.25">
      <c r="A137" s="33" t="s">
        <v>321</v>
      </c>
      <c r="B137" s="32" t="s">
        <v>322</v>
      </c>
      <c r="C137" s="16">
        <v>965.7</v>
      </c>
      <c r="D137" s="29">
        <v>713</v>
      </c>
      <c r="E137" s="29" t="s">
        <v>323</v>
      </c>
      <c r="F137" s="16">
        <v>-252.70000000000005</v>
      </c>
      <c r="G137" s="29">
        <v>0</v>
      </c>
      <c r="H137" s="30">
        <v>-3</v>
      </c>
      <c r="I137" s="29">
        <v>0</v>
      </c>
      <c r="J137" s="29">
        <v>531.20000000000005</v>
      </c>
      <c r="K137" s="29">
        <v>763</v>
      </c>
      <c r="L137" s="29">
        <v>934.3</v>
      </c>
      <c r="M137" s="29">
        <v>3.7</v>
      </c>
      <c r="N137" s="29">
        <v>2</v>
      </c>
      <c r="O137" t="s">
        <v>24</v>
      </c>
      <c r="P137" s="31"/>
      <c r="Q137" s="31"/>
      <c r="R137" s="31"/>
    </row>
    <row r="138" spans="1:18" x14ac:dyDescent="0.25">
      <c r="A138" s="33" t="s">
        <v>324</v>
      </c>
      <c r="B138" s="32" t="s">
        <v>325</v>
      </c>
      <c r="C138" s="16">
        <v>635</v>
      </c>
      <c r="D138" s="29">
        <v>519.5</v>
      </c>
      <c r="E138" s="29">
        <v>419.3</v>
      </c>
      <c r="F138" s="16">
        <v>-115.5</v>
      </c>
      <c r="G138" s="29">
        <v>-100.2</v>
      </c>
      <c r="H138" s="30">
        <v>-2</v>
      </c>
      <c r="I138" s="29">
        <v>-2.1</v>
      </c>
      <c r="J138" s="29">
        <v>326.60000000000002</v>
      </c>
      <c r="K138" s="29">
        <v>335</v>
      </c>
      <c r="L138" s="29">
        <v>391</v>
      </c>
      <c r="M138" s="29">
        <v>0.3</v>
      </c>
      <c r="N138" s="29">
        <v>1.6</v>
      </c>
      <c r="O138" s="9"/>
      <c r="P138" s="31"/>
      <c r="Q138" s="31"/>
      <c r="R138" s="31"/>
    </row>
    <row r="139" spans="1:18" x14ac:dyDescent="0.25">
      <c r="A139" s="32" t="s">
        <v>326</v>
      </c>
      <c r="B139" s="32" t="s">
        <v>327</v>
      </c>
      <c r="C139" s="16">
        <v>186.9</v>
      </c>
      <c r="D139" s="29">
        <v>105.8</v>
      </c>
      <c r="E139" s="29">
        <v>104.1</v>
      </c>
      <c r="F139" s="16">
        <v>-81.100000000000009</v>
      </c>
      <c r="G139" s="29">
        <v>-1.7</v>
      </c>
      <c r="H139" s="30">
        <v>-5.5</v>
      </c>
      <c r="I139" s="29">
        <v>-0.2</v>
      </c>
      <c r="J139" s="29">
        <v>173.1</v>
      </c>
      <c r="K139" s="29">
        <v>398.4</v>
      </c>
      <c r="L139" s="29">
        <v>514.20000000000005</v>
      </c>
      <c r="M139" s="29">
        <v>8.6999999999999993</v>
      </c>
      <c r="N139" s="29">
        <v>2.6</v>
      </c>
      <c r="O139" s="9"/>
      <c r="P139" s="31"/>
      <c r="Q139" s="31"/>
      <c r="R139" s="31"/>
    </row>
    <row r="140" spans="1:18" ht="25.5" x14ac:dyDescent="0.25">
      <c r="A140" s="32" t="s">
        <v>328</v>
      </c>
      <c r="B140" s="32" t="s">
        <v>329</v>
      </c>
      <c r="C140" s="16">
        <v>143.80000000000001</v>
      </c>
      <c r="D140" s="29">
        <v>87.7</v>
      </c>
      <c r="E140" s="29">
        <v>77.900000000000006</v>
      </c>
      <c r="F140" s="16">
        <v>-56.100000000000009</v>
      </c>
      <c r="G140" s="29">
        <v>-9.8000000000000007</v>
      </c>
      <c r="H140" s="30">
        <v>-4.8</v>
      </c>
      <c r="I140" s="29">
        <v>-1.2</v>
      </c>
      <c r="J140" s="29">
        <v>34</v>
      </c>
      <c r="K140" s="29">
        <v>49.8</v>
      </c>
      <c r="L140" s="29">
        <v>64.5</v>
      </c>
      <c r="M140" s="29">
        <v>3.9</v>
      </c>
      <c r="N140" s="29">
        <v>2.6</v>
      </c>
      <c r="O140" s="9"/>
      <c r="P140" s="31"/>
      <c r="Q140" s="31"/>
      <c r="R140" s="31"/>
    </row>
    <row r="141" spans="1:18" x14ac:dyDescent="0.25">
      <c r="A141" s="33" t="s">
        <v>330</v>
      </c>
      <c r="B141" s="32" t="s">
        <v>331</v>
      </c>
      <c r="C141" s="16">
        <v>248.5</v>
      </c>
      <c r="D141" s="29">
        <v>338.8</v>
      </c>
      <c r="E141" s="29">
        <v>377.2</v>
      </c>
      <c r="F141" s="16">
        <v>90.300000000000011</v>
      </c>
      <c r="G141" s="29">
        <v>38.4</v>
      </c>
      <c r="H141" s="30">
        <v>3.1</v>
      </c>
      <c r="I141" s="29">
        <v>1.1000000000000001</v>
      </c>
      <c r="J141" s="29">
        <v>89.7</v>
      </c>
      <c r="K141" s="29">
        <v>235.9</v>
      </c>
      <c r="L141" s="29">
        <v>322.39999999999998</v>
      </c>
      <c r="M141" s="29">
        <v>10.199999999999999</v>
      </c>
      <c r="N141" s="29">
        <v>3.2</v>
      </c>
      <c r="O141" t="s">
        <v>25</v>
      </c>
      <c r="P141" s="31"/>
      <c r="Q141" s="31"/>
      <c r="R141" s="31"/>
    </row>
    <row r="142" spans="1:18" x14ac:dyDescent="0.25">
      <c r="A142" s="33" t="s">
        <v>332</v>
      </c>
      <c r="B142" s="32" t="s">
        <v>333</v>
      </c>
      <c r="C142" s="16">
        <v>135</v>
      </c>
      <c r="D142" s="29">
        <v>337.6</v>
      </c>
      <c r="E142" s="29">
        <v>380.2</v>
      </c>
      <c r="F142" s="16">
        <v>202.60000000000002</v>
      </c>
      <c r="G142" s="29">
        <v>42.6</v>
      </c>
      <c r="H142" s="30">
        <v>9.6</v>
      </c>
      <c r="I142" s="29">
        <v>1.2</v>
      </c>
      <c r="J142" s="29">
        <v>54</v>
      </c>
      <c r="K142" s="29">
        <v>242.5</v>
      </c>
      <c r="L142" s="29">
        <v>365</v>
      </c>
      <c r="M142" s="29">
        <v>16.2</v>
      </c>
      <c r="N142" s="29">
        <v>4.2</v>
      </c>
      <c r="O142" t="s">
        <v>25</v>
      </c>
      <c r="P142" s="31"/>
      <c r="Q142" s="31"/>
      <c r="R142" s="31"/>
    </row>
    <row r="143" spans="1:18" x14ac:dyDescent="0.25">
      <c r="A143" s="33" t="s">
        <v>334</v>
      </c>
      <c r="B143" s="32" t="s">
        <v>335</v>
      </c>
      <c r="C143" s="16">
        <v>5844.1</v>
      </c>
      <c r="D143" s="29">
        <v>6425.2</v>
      </c>
      <c r="E143" s="29">
        <v>6491.4</v>
      </c>
      <c r="F143" s="16">
        <v>581.09999999999945</v>
      </c>
      <c r="G143" s="29">
        <v>66.2</v>
      </c>
      <c r="H143" s="30">
        <v>1</v>
      </c>
      <c r="I143" s="29">
        <v>0.1</v>
      </c>
      <c r="J143" s="29">
        <v>2110.6</v>
      </c>
      <c r="K143" s="29">
        <v>2344.1</v>
      </c>
      <c r="L143" s="29">
        <v>2700.5</v>
      </c>
      <c r="M143" s="29">
        <v>1.1000000000000001</v>
      </c>
      <c r="N143" s="29">
        <v>1.4</v>
      </c>
      <c r="O143" t="s">
        <v>26</v>
      </c>
      <c r="P143" s="31"/>
      <c r="Q143" s="31"/>
      <c r="R143" s="31"/>
    </row>
    <row r="144" spans="1:18" ht="25.5" x14ac:dyDescent="0.25">
      <c r="A144" s="33" t="s">
        <v>336</v>
      </c>
      <c r="B144" s="32" t="s">
        <v>337</v>
      </c>
      <c r="C144" s="16">
        <v>2611.1999999999998</v>
      </c>
      <c r="D144" s="29">
        <v>2671.2</v>
      </c>
      <c r="E144" s="29">
        <v>2665.1</v>
      </c>
      <c r="F144" s="16">
        <v>60</v>
      </c>
      <c r="G144" s="29">
        <v>-6.1</v>
      </c>
      <c r="H144" s="30">
        <v>0.2</v>
      </c>
      <c r="I144" s="29">
        <v>0</v>
      </c>
      <c r="J144" s="29">
        <v>802.9</v>
      </c>
      <c r="K144" s="29">
        <v>636.6</v>
      </c>
      <c r="L144" s="29">
        <v>695</v>
      </c>
      <c r="M144" s="29">
        <v>-2.2999999999999998</v>
      </c>
      <c r="N144" s="29">
        <v>0.9</v>
      </c>
      <c r="O144" s="9"/>
      <c r="P144" s="31"/>
      <c r="Q144" s="31"/>
      <c r="R144" s="31"/>
    </row>
    <row r="145" spans="1:18" ht="25.5" x14ac:dyDescent="0.25">
      <c r="A145" s="33" t="s">
        <v>338</v>
      </c>
      <c r="B145" s="32" t="s">
        <v>339</v>
      </c>
      <c r="C145" s="16">
        <v>862.1</v>
      </c>
      <c r="D145" s="29">
        <v>963.8</v>
      </c>
      <c r="E145" s="29">
        <v>990</v>
      </c>
      <c r="F145" s="16">
        <v>101.69999999999993</v>
      </c>
      <c r="G145" s="29">
        <v>26.2</v>
      </c>
      <c r="H145" s="30">
        <v>1.1000000000000001</v>
      </c>
      <c r="I145" s="29">
        <v>0.3</v>
      </c>
      <c r="J145" s="29">
        <v>628.4</v>
      </c>
      <c r="K145" s="29">
        <v>600.5</v>
      </c>
      <c r="L145" s="29">
        <v>656.7</v>
      </c>
      <c r="M145" s="29">
        <v>-0.5</v>
      </c>
      <c r="N145" s="29">
        <v>0.9</v>
      </c>
      <c r="O145" s="9"/>
      <c r="P145" s="31"/>
      <c r="Q145" s="31"/>
      <c r="R145" s="31"/>
    </row>
    <row r="146" spans="1:18" x14ac:dyDescent="0.25">
      <c r="A146" s="33" t="s">
        <v>340</v>
      </c>
      <c r="B146" s="32" t="s">
        <v>341</v>
      </c>
      <c r="C146" s="16">
        <v>2370.8000000000002</v>
      </c>
      <c r="D146" s="29">
        <v>2790.2</v>
      </c>
      <c r="E146" s="29">
        <v>2836.2</v>
      </c>
      <c r="F146" s="16">
        <v>419.39999999999964</v>
      </c>
      <c r="G146" s="29">
        <v>46</v>
      </c>
      <c r="H146" s="30">
        <v>1.6</v>
      </c>
      <c r="I146" s="29">
        <v>0.2</v>
      </c>
      <c r="J146" s="29">
        <v>683.6</v>
      </c>
      <c r="K146" s="29">
        <v>1142</v>
      </c>
      <c r="L146" s="29">
        <v>1406.7</v>
      </c>
      <c r="M146" s="29">
        <v>5.3</v>
      </c>
      <c r="N146" s="29">
        <v>2.1</v>
      </c>
      <c r="O146" s="9"/>
      <c r="P146" s="31"/>
      <c r="Q146" s="31"/>
      <c r="R146" s="31"/>
    </row>
    <row r="147" spans="1:18" x14ac:dyDescent="0.25">
      <c r="A147" s="33" t="s">
        <v>342</v>
      </c>
      <c r="B147" s="32" t="s">
        <v>343</v>
      </c>
      <c r="C147" s="16">
        <v>1463.3</v>
      </c>
      <c r="D147" s="29">
        <v>1598.5</v>
      </c>
      <c r="E147" s="29">
        <v>1586.7</v>
      </c>
      <c r="F147" s="16">
        <v>135.20000000000005</v>
      </c>
      <c r="G147" s="29">
        <v>-11.8</v>
      </c>
      <c r="H147" s="30">
        <v>0.9</v>
      </c>
      <c r="I147" s="29">
        <v>-0.1</v>
      </c>
      <c r="J147" s="29">
        <v>496.2</v>
      </c>
      <c r="K147" s="29">
        <v>719.4</v>
      </c>
      <c r="L147" s="29">
        <v>887.1</v>
      </c>
      <c r="M147" s="29">
        <v>3.8</v>
      </c>
      <c r="N147" s="29">
        <v>2.1</v>
      </c>
      <c r="O147" s="9"/>
      <c r="P147" s="31"/>
      <c r="Q147" s="31"/>
      <c r="R147" s="31"/>
    </row>
    <row r="148" spans="1:18" ht="25.5" x14ac:dyDescent="0.25">
      <c r="A148" s="33" t="s">
        <v>344</v>
      </c>
      <c r="B148" s="32" t="s">
        <v>345</v>
      </c>
      <c r="C148" s="16">
        <v>907.5</v>
      </c>
      <c r="D148" s="29">
        <v>1191.7</v>
      </c>
      <c r="E148" s="29">
        <v>1249.5</v>
      </c>
      <c r="F148" s="16">
        <v>284.20000000000005</v>
      </c>
      <c r="G148" s="29">
        <v>57.8</v>
      </c>
      <c r="H148" s="30">
        <v>2.8</v>
      </c>
      <c r="I148" s="29">
        <v>0.5</v>
      </c>
      <c r="J148" s="29">
        <v>189.3</v>
      </c>
      <c r="K148" s="29">
        <v>423.5</v>
      </c>
      <c r="L148" s="29">
        <v>520.4</v>
      </c>
      <c r="M148" s="29">
        <v>8.4</v>
      </c>
      <c r="N148" s="29">
        <v>2.1</v>
      </c>
      <c r="O148" s="9"/>
      <c r="P148" s="31"/>
      <c r="Q148" s="31"/>
      <c r="R148" s="31"/>
    </row>
    <row r="149" spans="1:18" x14ac:dyDescent="0.25">
      <c r="A149" s="33" t="s">
        <v>346</v>
      </c>
      <c r="B149" s="32" t="s">
        <v>347</v>
      </c>
      <c r="C149" s="16">
        <v>1993.9</v>
      </c>
      <c r="D149" s="29">
        <v>2320.8000000000002</v>
      </c>
      <c r="E149" s="29">
        <v>2308.5</v>
      </c>
      <c r="F149" s="16">
        <v>326.90000000000009</v>
      </c>
      <c r="G149" s="29">
        <v>-12.3</v>
      </c>
      <c r="H149" s="30">
        <v>1.5</v>
      </c>
      <c r="I149" s="29">
        <v>-0.1</v>
      </c>
      <c r="J149" s="29">
        <v>1506.4</v>
      </c>
      <c r="K149" s="29">
        <v>1887.2</v>
      </c>
      <c r="L149" s="29">
        <v>2265.6</v>
      </c>
      <c r="M149" s="29">
        <v>2.2999999999999998</v>
      </c>
      <c r="N149" s="29">
        <v>1.8</v>
      </c>
      <c r="O149" s="9"/>
      <c r="P149" s="31"/>
      <c r="Q149" s="31"/>
      <c r="R149" s="31"/>
    </row>
    <row r="150" spans="1:18" x14ac:dyDescent="0.25">
      <c r="A150" s="33" t="s">
        <v>348</v>
      </c>
      <c r="B150" s="32" t="s">
        <v>349</v>
      </c>
      <c r="C150" s="16">
        <v>1420.1</v>
      </c>
      <c r="D150" s="29">
        <v>1718.1</v>
      </c>
      <c r="E150" s="29">
        <v>1726.4</v>
      </c>
      <c r="F150" s="16">
        <v>298</v>
      </c>
      <c r="G150" s="29">
        <v>8.3000000000000007</v>
      </c>
      <c r="H150" s="30">
        <v>1.9</v>
      </c>
      <c r="I150" s="29">
        <v>0</v>
      </c>
      <c r="J150" s="29">
        <v>1245.2</v>
      </c>
      <c r="K150" s="29">
        <v>1569.1</v>
      </c>
      <c r="L150" s="29">
        <v>1887.5</v>
      </c>
      <c r="M150" s="29">
        <v>2.2999999999999998</v>
      </c>
      <c r="N150" s="29">
        <v>1.9</v>
      </c>
      <c r="O150" t="s">
        <v>27</v>
      </c>
      <c r="P150" s="31"/>
      <c r="Q150" s="31"/>
      <c r="R150" s="31"/>
    </row>
    <row r="151" spans="1:18" ht="25.5" x14ac:dyDescent="0.25">
      <c r="A151" s="33" t="s">
        <v>350</v>
      </c>
      <c r="B151" s="32" t="s">
        <v>351</v>
      </c>
      <c r="C151" s="16">
        <v>573.79999999999995</v>
      </c>
      <c r="D151" s="29">
        <v>602.70000000000005</v>
      </c>
      <c r="E151" s="29">
        <v>582.1</v>
      </c>
      <c r="F151" s="16">
        <v>28.900000000000091</v>
      </c>
      <c r="G151" s="29">
        <v>-20.6</v>
      </c>
      <c r="H151" s="30">
        <v>0.5</v>
      </c>
      <c r="I151" s="29">
        <v>-0.3</v>
      </c>
      <c r="J151" s="29">
        <v>261.2</v>
      </c>
      <c r="K151" s="29">
        <v>314.2</v>
      </c>
      <c r="L151" s="29">
        <v>371.9</v>
      </c>
      <c r="M151" s="29">
        <v>1.9</v>
      </c>
      <c r="N151" s="29">
        <v>1.7</v>
      </c>
      <c r="O151" t="s">
        <v>28</v>
      </c>
      <c r="P151" s="31"/>
      <c r="Q151" s="31"/>
      <c r="R151" s="31"/>
    </row>
    <row r="152" spans="1:18" x14ac:dyDescent="0.25">
      <c r="A152" s="33" t="s">
        <v>352</v>
      </c>
      <c r="B152" s="32" t="s">
        <v>353</v>
      </c>
      <c r="C152" s="16">
        <v>168</v>
      </c>
      <c r="D152" s="29">
        <v>226.6</v>
      </c>
      <c r="E152" s="29">
        <v>230.6</v>
      </c>
      <c r="F152" s="16">
        <v>58.599999999999994</v>
      </c>
      <c r="G152" s="29">
        <v>4</v>
      </c>
      <c r="H152" s="30">
        <v>3</v>
      </c>
      <c r="I152" s="29">
        <v>0.2</v>
      </c>
      <c r="J152" s="29">
        <v>44.3</v>
      </c>
      <c r="K152" s="29">
        <v>62.2</v>
      </c>
      <c r="L152" s="29">
        <v>78</v>
      </c>
      <c r="M152" s="29">
        <v>3.5</v>
      </c>
      <c r="N152" s="29">
        <v>2.2999999999999998</v>
      </c>
      <c r="O152" s="9"/>
      <c r="P152" s="31"/>
      <c r="Q152" s="31"/>
      <c r="R152" s="31"/>
    </row>
    <row r="153" spans="1:18" x14ac:dyDescent="0.25">
      <c r="A153" s="33" t="s">
        <v>354</v>
      </c>
      <c r="B153" s="32" t="s">
        <v>355</v>
      </c>
      <c r="C153" s="16">
        <v>263.60000000000002</v>
      </c>
      <c r="D153" s="29">
        <v>176.9</v>
      </c>
      <c r="E153" s="29">
        <v>131.69999999999999</v>
      </c>
      <c r="F153" s="16">
        <v>-86.700000000000017</v>
      </c>
      <c r="G153" s="29">
        <v>-45.2</v>
      </c>
      <c r="H153" s="30">
        <v>-3.9</v>
      </c>
      <c r="I153" s="29">
        <v>-2.9</v>
      </c>
      <c r="J153" s="29">
        <v>27.7</v>
      </c>
      <c r="K153" s="29">
        <v>32.5</v>
      </c>
      <c r="L153" s="29">
        <v>36.299999999999997</v>
      </c>
      <c r="M153" s="29">
        <v>1.6</v>
      </c>
      <c r="N153" s="29">
        <v>1.1000000000000001</v>
      </c>
      <c r="O153" s="9"/>
      <c r="P153" s="31"/>
      <c r="Q153" s="31"/>
      <c r="R153" s="31"/>
    </row>
    <row r="154" spans="1:18" ht="25.5" x14ac:dyDescent="0.25">
      <c r="A154" s="33" t="s">
        <v>356</v>
      </c>
      <c r="B154" s="32" t="s">
        <v>357</v>
      </c>
      <c r="C154" s="16">
        <v>115.7</v>
      </c>
      <c r="D154" s="29">
        <v>175.9</v>
      </c>
      <c r="E154" s="29">
        <v>200.3</v>
      </c>
      <c r="F154" s="16">
        <v>60.2</v>
      </c>
      <c r="G154" s="29">
        <v>24.4</v>
      </c>
      <c r="H154" s="30">
        <v>4.3</v>
      </c>
      <c r="I154" s="29">
        <v>1.3</v>
      </c>
      <c r="J154" s="29">
        <v>54.6</v>
      </c>
      <c r="K154" s="29">
        <v>66</v>
      </c>
      <c r="L154" s="29">
        <v>81.599999999999994</v>
      </c>
      <c r="M154" s="29">
        <v>1.9</v>
      </c>
      <c r="N154" s="29">
        <v>2.1</v>
      </c>
      <c r="O154" s="9"/>
      <c r="P154" s="31"/>
      <c r="Q154" s="31"/>
      <c r="R154" s="31"/>
    </row>
    <row r="155" spans="1:18" ht="25.5" x14ac:dyDescent="0.25">
      <c r="A155" s="33" t="s">
        <v>358</v>
      </c>
      <c r="B155" s="32" t="s">
        <v>359</v>
      </c>
      <c r="C155" s="16">
        <v>26.5</v>
      </c>
      <c r="D155" s="29">
        <v>23.3</v>
      </c>
      <c r="E155" s="29">
        <v>19.600000000000001</v>
      </c>
      <c r="F155" s="16">
        <v>-3.1999999999999993</v>
      </c>
      <c r="G155" s="29">
        <v>-3.7</v>
      </c>
      <c r="H155" s="30">
        <v>-1.3</v>
      </c>
      <c r="I155" s="29">
        <v>-1.7</v>
      </c>
      <c r="J155" s="29">
        <v>134.80000000000001</v>
      </c>
      <c r="K155" s="29">
        <v>154</v>
      </c>
      <c r="L155" s="29">
        <v>176.1</v>
      </c>
      <c r="M155" s="29">
        <v>1.3</v>
      </c>
      <c r="N155" s="29">
        <v>1.4</v>
      </c>
      <c r="O155" s="9"/>
      <c r="P155" s="31"/>
      <c r="Q155" s="31"/>
      <c r="R155" s="31"/>
    </row>
    <row r="156" spans="1:18" x14ac:dyDescent="0.25">
      <c r="A156" s="33" t="s">
        <v>360</v>
      </c>
      <c r="B156" s="32" t="s">
        <v>361</v>
      </c>
      <c r="C156" s="16">
        <v>7553</v>
      </c>
      <c r="D156" s="29">
        <v>9542.7999999999993</v>
      </c>
      <c r="E156" s="29">
        <v>10577</v>
      </c>
      <c r="F156" s="16">
        <v>1989.7999999999993</v>
      </c>
      <c r="G156" s="29">
        <v>1034.2</v>
      </c>
      <c r="H156" s="30">
        <v>2.4</v>
      </c>
      <c r="I156" s="29">
        <v>1</v>
      </c>
      <c r="J156" s="29">
        <v>1639.2</v>
      </c>
      <c r="K156" s="29">
        <v>2249.1</v>
      </c>
      <c r="L156" s="29">
        <v>2826.5</v>
      </c>
      <c r="M156" s="29">
        <v>3.2</v>
      </c>
      <c r="N156" s="29">
        <v>2.2999999999999998</v>
      </c>
      <c r="O156" t="s">
        <v>28</v>
      </c>
      <c r="P156" s="31"/>
      <c r="Q156" s="31"/>
      <c r="R156" s="31"/>
    </row>
    <row r="157" spans="1:18" x14ac:dyDescent="0.25">
      <c r="A157" s="32" t="s">
        <v>362</v>
      </c>
      <c r="B157" s="32" t="s">
        <v>363</v>
      </c>
      <c r="C157" s="16">
        <v>1124.9000000000001</v>
      </c>
      <c r="D157" s="29">
        <v>1149.9000000000001</v>
      </c>
      <c r="E157" s="29">
        <v>1140.4000000000001</v>
      </c>
      <c r="F157" s="16">
        <v>25</v>
      </c>
      <c r="G157" s="29">
        <v>-9.5</v>
      </c>
      <c r="H157" s="30">
        <v>0.2</v>
      </c>
      <c r="I157" s="29">
        <v>-0.1</v>
      </c>
      <c r="J157" s="29">
        <v>305.3</v>
      </c>
      <c r="K157" s="29">
        <v>314.8</v>
      </c>
      <c r="L157" s="29">
        <v>367.7</v>
      </c>
      <c r="M157" s="29">
        <v>0.3</v>
      </c>
      <c r="N157" s="29">
        <v>1.6</v>
      </c>
      <c r="O157" s="9"/>
      <c r="P157" s="31"/>
      <c r="Q157" s="31"/>
      <c r="R157" s="31"/>
    </row>
    <row r="158" spans="1:18" ht="25.5" x14ac:dyDescent="0.25">
      <c r="A158" s="33" t="s">
        <v>364</v>
      </c>
      <c r="B158" s="32" t="s">
        <v>365</v>
      </c>
      <c r="C158" s="16">
        <v>914.9</v>
      </c>
      <c r="D158" s="29">
        <v>1026.0999999999999</v>
      </c>
      <c r="E158" s="29">
        <v>1043.7</v>
      </c>
      <c r="F158" s="16">
        <v>111.19999999999993</v>
      </c>
      <c r="G158" s="29">
        <v>17.600000000000001</v>
      </c>
      <c r="H158" s="30">
        <v>1.2</v>
      </c>
      <c r="I158" s="29">
        <v>0.2</v>
      </c>
      <c r="J158" s="29">
        <v>152.80000000000001</v>
      </c>
      <c r="K158" s="29">
        <v>187.7</v>
      </c>
      <c r="L158" s="29">
        <v>230.2</v>
      </c>
      <c r="M158" s="29">
        <v>2.1</v>
      </c>
      <c r="N158" s="29">
        <v>2.1</v>
      </c>
      <c r="O158" s="9"/>
      <c r="P158" s="31"/>
      <c r="Q158" s="31"/>
      <c r="R158" s="31"/>
    </row>
    <row r="159" spans="1:18" x14ac:dyDescent="0.25">
      <c r="A159" s="33" t="s">
        <v>366</v>
      </c>
      <c r="B159" s="32" t="s">
        <v>367</v>
      </c>
      <c r="C159" s="16">
        <v>1325.5</v>
      </c>
      <c r="D159" s="29">
        <v>1512.9</v>
      </c>
      <c r="E159" s="29">
        <v>1519</v>
      </c>
      <c r="F159" s="16">
        <v>187.40000000000009</v>
      </c>
      <c r="G159" s="29">
        <v>6.1</v>
      </c>
      <c r="H159" s="30">
        <v>1.3</v>
      </c>
      <c r="I159" s="29">
        <v>0</v>
      </c>
      <c r="J159" s="29">
        <v>286.7</v>
      </c>
      <c r="K159" s="29">
        <v>347.8</v>
      </c>
      <c r="L159" s="29">
        <v>426.8</v>
      </c>
      <c r="M159" s="29">
        <v>2</v>
      </c>
      <c r="N159" s="29">
        <v>2.1</v>
      </c>
      <c r="O159" s="9"/>
      <c r="P159" s="31"/>
      <c r="Q159" s="31"/>
      <c r="R159" s="31"/>
    </row>
    <row r="160" spans="1:18" x14ac:dyDescent="0.25">
      <c r="A160" s="33" t="s">
        <v>368</v>
      </c>
      <c r="B160" s="32" t="s">
        <v>369</v>
      </c>
      <c r="C160" s="16">
        <v>123.6</v>
      </c>
      <c r="D160" s="29">
        <v>144.30000000000001</v>
      </c>
      <c r="E160" s="29">
        <v>138.30000000000001</v>
      </c>
      <c r="F160" s="16">
        <v>20.700000000000017</v>
      </c>
      <c r="G160" s="29">
        <v>-6</v>
      </c>
      <c r="H160" s="30">
        <v>1.6</v>
      </c>
      <c r="I160" s="29">
        <v>-0.4</v>
      </c>
      <c r="J160" s="29">
        <v>27.4</v>
      </c>
      <c r="K160" s="29">
        <v>34.700000000000003</v>
      </c>
      <c r="L160" s="29">
        <v>42.3</v>
      </c>
      <c r="M160" s="29">
        <v>2.4</v>
      </c>
      <c r="N160" s="29">
        <v>2</v>
      </c>
      <c r="O160" s="9"/>
      <c r="P160" s="31"/>
      <c r="Q160" s="31"/>
      <c r="R160" s="31"/>
    </row>
    <row r="161" spans="1:18" x14ac:dyDescent="0.25">
      <c r="A161" s="33" t="s">
        <v>370</v>
      </c>
      <c r="B161" s="32" t="s">
        <v>371</v>
      </c>
      <c r="C161" s="16">
        <v>1429</v>
      </c>
      <c r="D161" s="29">
        <v>2202.1999999999998</v>
      </c>
      <c r="E161" s="29">
        <v>2776.7</v>
      </c>
      <c r="F161" s="16">
        <v>773.19999999999982</v>
      </c>
      <c r="G161" s="29">
        <v>574.5</v>
      </c>
      <c r="H161" s="30">
        <v>4.4000000000000004</v>
      </c>
      <c r="I161" s="29">
        <v>2.2999999999999998</v>
      </c>
      <c r="J161" s="29">
        <v>269.3</v>
      </c>
      <c r="K161" s="29">
        <v>518.20000000000005</v>
      </c>
      <c r="L161" s="29">
        <v>712.4</v>
      </c>
      <c r="M161" s="29">
        <v>6.8</v>
      </c>
      <c r="N161" s="29">
        <v>3.2</v>
      </c>
      <c r="O161" s="9"/>
      <c r="P161" s="31"/>
      <c r="Q161" s="31"/>
      <c r="R161" s="31"/>
    </row>
    <row r="162" spans="1:18" x14ac:dyDescent="0.25">
      <c r="A162" s="33" t="s">
        <v>372</v>
      </c>
      <c r="B162" s="32" t="s">
        <v>373</v>
      </c>
      <c r="C162" s="16">
        <v>1026.5</v>
      </c>
      <c r="D162" s="29">
        <v>1531.1</v>
      </c>
      <c r="E162" s="29">
        <v>1865.3</v>
      </c>
      <c r="F162" s="16">
        <v>504.59999999999991</v>
      </c>
      <c r="G162" s="29">
        <v>334.2</v>
      </c>
      <c r="H162" s="30">
        <v>4.0999999999999996</v>
      </c>
      <c r="I162" s="29">
        <v>2</v>
      </c>
      <c r="J162" s="29">
        <v>198</v>
      </c>
      <c r="K162" s="29">
        <v>338.2</v>
      </c>
      <c r="L162" s="29">
        <v>433.1</v>
      </c>
      <c r="M162" s="29">
        <v>5.5</v>
      </c>
      <c r="N162" s="29">
        <v>2.5</v>
      </c>
      <c r="O162" s="9"/>
      <c r="P162" s="31"/>
      <c r="Q162" s="31"/>
      <c r="R162" s="31"/>
    </row>
    <row r="163" spans="1:18" x14ac:dyDescent="0.25">
      <c r="A163" s="33" t="s">
        <v>374</v>
      </c>
      <c r="B163" s="32" t="s">
        <v>375</v>
      </c>
      <c r="C163" s="16">
        <v>618.79999999999995</v>
      </c>
      <c r="D163" s="29">
        <v>728.6</v>
      </c>
      <c r="E163" s="29">
        <v>758.6</v>
      </c>
      <c r="F163" s="16">
        <v>109.80000000000007</v>
      </c>
      <c r="G163" s="29">
        <v>30</v>
      </c>
      <c r="H163" s="30">
        <v>1.6</v>
      </c>
      <c r="I163" s="29">
        <v>0.4</v>
      </c>
      <c r="J163" s="29">
        <v>170.6</v>
      </c>
      <c r="K163" s="29">
        <v>225.6</v>
      </c>
      <c r="L163" s="29">
        <v>279</v>
      </c>
      <c r="M163" s="29">
        <v>2.8</v>
      </c>
      <c r="N163" s="29">
        <v>2.1</v>
      </c>
      <c r="O163" s="9"/>
      <c r="P163" s="31"/>
      <c r="Q163" s="31"/>
      <c r="R163" s="31"/>
    </row>
    <row r="164" spans="1:18" x14ac:dyDescent="0.25">
      <c r="A164" s="33" t="s">
        <v>376</v>
      </c>
      <c r="B164" s="32" t="s">
        <v>377</v>
      </c>
      <c r="C164" s="16">
        <v>423.5</v>
      </c>
      <c r="D164" s="29">
        <v>492.7</v>
      </c>
      <c r="E164" s="29">
        <v>485.9</v>
      </c>
      <c r="F164" s="16">
        <v>69.199999999999989</v>
      </c>
      <c r="G164" s="29">
        <v>-6.8</v>
      </c>
      <c r="H164" s="30">
        <v>1.5</v>
      </c>
      <c r="I164" s="29">
        <v>-0.1</v>
      </c>
      <c r="J164" s="29">
        <v>120.5</v>
      </c>
      <c r="K164" s="29">
        <v>138.80000000000001</v>
      </c>
      <c r="L164" s="29">
        <v>177.8</v>
      </c>
      <c r="M164" s="29">
        <v>1.4</v>
      </c>
      <c r="N164" s="29">
        <v>2.5</v>
      </c>
      <c r="O164" s="9"/>
      <c r="P164" s="31"/>
      <c r="Q164" s="31"/>
      <c r="R164" s="31"/>
    </row>
    <row r="165" spans="1:18" x14ac:dyDescent="0.25">
      <c r="A165" s="33" t="s">
        <v>378</v>
      </c>
      <c r="B165" s="32" t="s">
        <v>379</v>
      </c>
      <c r="C165" s="16">
        <v>566.29999999999995</v>
      </c>
      <c r="D165" s="29">
        <v>755</v>
      </c>
      <c r="E165" s="29">
        <v>849.1</v>
      </c>
      <c r="F165" s="16">
        <v>188.70000000000005</v>
      </c>
      <c r="G165" s="29">
        <v>94.1</v>
      </c>
      <c r="H165" s="30">
        <v>2.9</v>
      </c>
      <c r="I165" s="29">
        <v>1.2</v>
      </c>
      <c r="J165" s="29">
        <v>111.8</v>
      </c>
      <c r="K165" s="29">
        <v>155.5</v>
      </c>
      <c r="L165" s="29">
        <v>190.3</v>
      </c>
      <c r="M165" s="29">
        <v>3.4</v>
      </c>
      <c r="N165" s="29">
        <v>2</v>
      </c>
      <c r="O165" s="9"/>
      <c r="P165" s="31"/>
      <c r="Q165" s="31"/>
      <c r="R165" s="31"/>
    </row>
    <row r="166" spans="1:18" x14ac:dyDescent="0.25">
      <c r="A166" s="33" t="s">
        <v>380</v>
      </c>
      <c r="B166" s="32" t="s">
        <v>381</v>
      </c>
      <c r="C166" s="16">
        <v>1872.4</v>
      </c>
      <c r="D166" s="29">
        <v>2427.4</v>
      </c>
      <c r="E166" s="29">
        <v>2558.5</v>
      </c>
      <c r="F166" s="16">
        <v>555</v>
      </c>
      <c r="G166" s="29">
        <v>131.1</v>
      </c>
      <c r="H166" s="30">
        <v>2.6</v>
      </c>
      <c r="I166" s="29">
        <v>0.5</v>
      </c>
      <c r="J166" s="29">
        <v>458.6</v>
      </c>
      <c r="K166" s="29">
        <v>491.5</v>
      </c>
      <c r="L166" s="29">
        <v>619.4</v>
      </c>
      <c r="M166" s="29">
        <v>0.7</v>
      </c>
      <c r="N166" s="29">
        <v>2.2999999999999998</v>
      </c>
      <c r="O166" t="s">
        <v>28</v>
      </c>
      <c r="P166" s="31"/>
      <c r="Q166" s="31"/>
      <c r="R166" s="31"/>
    </row>
    <row r="167" spans="1:18" ht="25.5" x14ac:dyDescent="0.25">
      <c r="A167" s="32" t="s">
        <v>382</v>
      </c>
      <c r="B167" s="32" t="s">
        <v>383</v>
      </c>
      <c r="C167" s="16">
        <v>7208.4</v>
      </c>
      <c r="D167" s="29">
        <v>9342.9</v>
      </c>
      <c r="E167" s="29">
        <v>9695.7999999999993</v>
      </c>
      <c r="F167" s="16">
        <v>2134.5</v>
      </c>
      <c r="G167" s="29">
        <v>352.9</v>
      </c>
      <c r="H167" s="30">
        <v>2.6</v>
      </c>
      <c r="I167" s="29">
        <v>0.4</v>
      </c>
      <c r="J167" s="29">
        <v>654.29999999999995</v>
      </c>
      <c r="K167" s="29">
        <v>1034.5</v>
      </c>
      <c r="L167" s="29">
        <v>1288.4000000000001</v>
      </c>
      <c r="M167" s="29">
        <v>4.7</v>
      </c>
      <c r="N167" s="29">
        <v>2.2000000000000002</v>
      </c>
      <c r="O167" s="9"/>
      <c r="P167" s="31"/>
      <c r="Q167" s="31"/>
      <c r="R167" s="31"/>
    </row>
    <row r="168" spans="1:18" x14ac:dyDescent="0.25">
      <c r="A168" s="32" t="s">
        <v>384</v>
      </c>
      <c r="B168" s="32" t="s">
        <v>385</v>
      </c>
      <c r="C168" s="16">
        <v>6856.7</v>
      </c>
      <c r="D168" s="29">
        <v>8888.4</v>
      </c>
      <c r="E168" s="29">
        <v>9209.7999999999993</v>
      </c>
      <c r="F168" s="16">
        <v>2031.6999999999998</v>
      </c>
      <c r="G168" s="29">
        <v>321.39999999999998</v>
      </c>
      <c r="H168" s="30">
        <v>2.6</v>
      </c>
      <c r="I168" s="29">
        <v>0.4</v>
      </c>
      <c r="J168" s="29">
        <v>575.20000000000005</v>
      </c>
      <c r="K168" s="29">
        <v>940.7</v>
      </c>
      <c r="L168" s="29">
        <v>1178.3</v>
      </c>
      <c r="M168" s="29">
        <v>5</v>
      </c>
      <c r="N168" s="29">
        <v>2.2999999999999998</v>
      </c>
      <c r="O168" t="s">
        <v>28</v>
      </c>
      <c r="P168" s="31"/>
      <c r="Q168" s="31"/>
      <c r="R168" s="31"/>
    </row>
    <row r="169" spans="1:18" x14ac:dyDescent="0.25">
      <c r="A169" s="33" t="s">
        <v>386</v>
      </c>
      <c r="B169" s="32" t="s">
        <v>387</v>
      </c>
      <c r="C169" s="16">
        <v>400.9</v>
      </c>
      <c r="D169" s="29">
        <v>526.1</v>
      </c>
      <c r="E169" s="29">
        <v>624.79999999999995</v>
      </c>
      <c r="F169" s="16">
        <v>125.20000000000005</v>
      </c>
      <c r="G169" s="29">
        <v>98.7</v>
      </c>
      <c r="H169" s="30">
        <v>2.8</v>
      </c>
      <c r="I169" s="29">
        <v>1.7</v>
      </c>
      <c r="J169" s="29">
        <v>43.1</v>
      </c>
      <c r="K169" s="29">
        <v>70.599999999999994</v>
      </c>
      <c r="L169" s="29">
        <v>89.6</v>
      </c>
      <c r="M169" s="29">
        <v>5.0999999999999996</v>
      </c>
      <c r="N169" s="29">
        <v>2.4</v>
      </c>
      <c r="O169" s="9"/>
      <c r="P169" s="31"/>
      <c r="Q169" s="31"/>
      <c r="R169" s="31"/>
    </row>
    <row r="170" spans="1:18" x14ac:dyDescent="0.25">
      <c r="A170" s="33" t="s">
        <v>388</v>
      </c>
      <c r="B170" s="32" t="s">
        <v>389</v>
      </c>
      <c r="C170" s="16">
        <v>133.19999999999999</v>
      </c>
      <c r="D170" s="29">
        <v>164.4</v>
      </c>
      <c r="E170" s="29">
        <v>165</v>
      </c>
      <c r="F170" s="16">
        <v>31.200000000000017</v>
      </c>
      <c r="G170" s="29">
        <v>0.6</v>
      </c>
      <c r="H170" s="30">
        <v>2.1</v>
      </c>
      <c r="I170" s="29">
        <v>0</v>
      </c>
      <c r="J170" s="29">
        <v>26.8</v>
      </c>
      <c r="K170" s="29">
        <v>39.299999999999997</v>
      </c>
      <c r="L170" s="29">
        <v>48.8</v>
      </c>
      <c r="M170" s="29">
        <v>3.9</v>
      </c>
      <c r="N170" s="29">
        <v>2.2000000000000002</v>
      </c>
      <c r="O170" s="9"/>
      <c r="P170" s="31"/>
      <c r="Q170" s="31"/>
      <c r="R170" s="31"/>
    </row>
    <row r="171" spans="1:18" x14ac:dyDescent="0.25">
      <c r="A171" s="33" t="s">
        <v>390</v>
      </c>
      <c r="B171" s="32" t="s">
        <v>391</v>
      </c>
      <c r="C171" s="16">
        <v>2481.6999999999998</v>
      </c>
      <c r="D171" s="29">
        <v>3637.3</v>
      </c>
      <c r="E171" s="29">
        <v>3619.6</v>
      </c>
      <c r="F171" s="16">
        <v>1155.6000000000004</v>
      </c>
      <c r="G171" s="29">
        <v>-17.7</v>
      </c>
      <c r="H171" s="30">
        <v>3.9</v>
      </c>
      <c r="I171" s="29">
        <v>0</v>
      </c>
      <c r="J171" s="29">
        <v>190.1</v>
      </c>
      <c r="K171" s="29">
        <v>364.6</v>
      </c>
      <c r="L171" s="29">
        <v>465</v>
      </c>
      <c r="M171" s="29">
        <v>6.7</v>
      </c>
      <c r="N171" s="29">
        <v>2.5</v>
      </c>
      <c r="O171" s="9"/>
      <c r="P171" s="31"/>
      <c r="Q171" s="31"/>
      <c r="R171" s="31"/>
    </row>
    <row r="172" spans="1:18" x14ac:dyDescent="0.25">
      <c r="A172" s="33" t="s">
        <v>392</v>
      </c>
      <c r="B172" s="32" t="s">
        <v>393</v>
      </c>
      <c r="C172" s="16">
        <v>822</v>
      </c>
      <c r="D172" s="29">
        <v>877.6</v>
      </c>
      <c r="E172" s="29">
        <v>1006</v>
      </c>
      <c r="F172" s="16">
        <v>55.600000000000023</v>
      </c>
      <c r="G172" s="29">
        <v>128.4</v>
      </c>
      <c r="H172" s="30">
        <v>0.7</v>
      </c>
      <c r="I172" s="29">
        <v>1.4</v>
      </c>
      <c r="J172" s="29">
        <v>65</v>
      </c>
      <c r="K172" s="29">
        <v>96.8</v>
      </c>
      <c r="L172" s="29">
        <v>121</v>
      </c>
      <c r="M172" s="29">
        <v>4.0999999999999996</v>
      </c>
      <c r="N172" s="29">
        <v>2.2999999999999998</v>
      </c>
      <c r="O172" s="9"/>
      <c r="P172" s="31"/>
      <c r="Q172" s="31"/>
      <c r="R172" s="31"/>
    </row>
    <row r="173" spans="1:18" x14ac:dyDescent="0.25">
      <c r="A173" s="33" t="s">
        <v>394</v>
      </c>
      <c r="B173" s="32" t="s">
        <v>395</v>
      </c>
      <c r="C173" s="16">
        <v>193.8</v>
      </c>
      <c r="D173" s="29">
        <v>219.5</v>
      </c>
      <c r="E173" s="29">
        <v>153.5</v>
      </c>
      <c r="F173" s="16">
        <v>25.699999999999989</v>
      </c>
      <c r="G173" s="29">
        <v>-66</v>
      </c>
      <c r="H173" s="30">
        <v>1.3</v>
      </c>
      <c r="I173" s="29">
        <v>-3.5</v>
      </c>
      <c r="J173" s="29">
        <v>37.700000000000003</v>
      </c>
      <c r="K173" s="29">
        <v>58.7</v>
      </c>
      <c r="L173" s="29">
        <v>71.599999999999994</v>
      </c>
      <c r="M173" s="29">
        <v>4.5</v>
      </c>
      <c r="N173" s="29">
        <v>2</v>
      </c>
      <c r="O173" s="9"/>
      <c r="P173" s="31"/>
      <c r="Q173" s="31"/>
      <c r="R173" s="31"/>
    </row>
    <row r="174" spans="1:18" x14ac:dyDescent="0.25">
      <c r="A174" s="33" t="s">
        <v>396</v>
      </c>
      <c r="B174" s="32" t="s">
        <v>397</v>
      </c>
      <c r="C174" s="16">
        <v>789.7</v>
      </c>
      <c r="D174" s="29">
        <v>956.1</v>
      </c>
      <c r="E174" s="29">
        <v>1017.9</v>
      </c>
      <c r="F174" s="16">
        <v>166.39999999999998</v>
      </c>
      <c r="G174" s="29">
        <v>61.8</v>
      </c>
      <c r="H174" s="30">
        <v>1.9</v>
      </c>
      <c r="I174" s="29">
        <v>0.6</v>
      </c>
      <c r="J174" s="29">
        <v>43.1</v>
      </c>
      <c r="K174" s="29">
        <v>69.2</v>
      </c>
      <c r="L174" s="29">
        <v>85.9</v>
      </c>
      <c r="M174" s="29">
        <v>4.9000000000000004</v>
      </c>
      <c r="N174" s="29">
        <v>2.2000000000000002</v>
      </c>
      <c r="O174" s="9"/>
      <c r="P174" s="31"/>
      <c r="Q174" s="31"/>
      <c r="R174" s="31"/>
    </row>
    <row r="175" spans="1:18" x14ac:dyDescent="0.25">
      <c r="A175" s="33" t="s">
        <v>398</v>
      </c>
      <c r="B175" s="32" t="s">
        <v>399</v>
      </c>
      <c r="C175" s="16">
        <v>1753.3</v>
      </c>
      <c r="D175" s="29">
        <v>2168.4</v>
      </c>
      <c r="E175" s="29">
        <v>2274.1999999999998</v>
      </c>
      <c r="F175" s="16">
        <v>415.10000000000014</v>
      </c>
      <c r="G175" s="29">
        <v>105.8</v>
      </c>
      <c r="H175" s="30">
        <v>2.1</v>
      </c>
      <c r="I175" s="29">
        <v>0.5</v>
      </c>
      <c r="J175" s="29">
        <v>131.5</v>
      </c>
      <c r="K175" s="29">
        <v>188.7</v>
      </c>
      <c r="L175" s="29">
        <v>230.8</v>
      </c>
      <c r="M175" s="29">
        <v>3.7</v>
      </c>
      <c r="N175" s="29">
        <v>2</v>
      </c>
      <c r="O175" s="9"/>
      <c r="P175" s="31"/>
      <c r="Q175" s="31"/>
      <c r="R175" s="31"/>
    </row>
    <row r="176" spans="1:18" x14ac:dyDescent="0.25">
      <c r="A176" s="33" t="s">
        <v>400</v>
      </c>
      <c r="B176" s="32" t="s">
        <v>401</v>
      </c>
      <c r="C176" s="16">
        <v>282.10000000000002</v>
      </c>
      <c r="D176" s="29">
        <v>339</v>
      </c>
      <c r="E176" s="29">
        <v>348.7</v>
      </c>
      <c r="F176" s="16">
        <v>56.899999999999977</v>
      </c>
      <c r="G176" s="29">
        <v>9.6999999999999993</v>
      </c>
      <c r="H176" s="30">
        <v>1.9</v>
      </c>
      <c r="I176" s="29">
        <v>0.3</v>
      </c>
      <c r="J176" s="29">
        <v>38.1</v>
      </c>
      <c r="K176" s="29">
        <v>53.5</v>
      </c>
      <c r="L176" s="29">
        <v>67.099999999999994</v>
      </c>
      <c r="M176" s="29">
        <v>3.5</v>
      </c>
      <c r="N176" s="29">
        <v>2.2999999999999998</v>
      </c>
      <c r="O176" s="9"/>
      <c r="P176" s="31"/>
      <c r="Q176" s="31"/>
      <c r="R176" s="31"/>
    </row>
    <row r="177" spans="1:18" x14ac:dyDescent="0.25">
      <c r="A177" s="32" t="s">
        <v>402</v>
      </c>
      <c r="B177" s="32" t="s">
        <v>403</v>
      </c>
      <c r="C177" s="16">
        <v>351.7</v>
      </c>
      <c r="D177" s="29">
        <v>454.5</v>
      </c>
      <c r="E177" s="29">
        <v>486.1</v>
      </c>
      <c r="F177" s="16">
        <v>102.80000000000001</v>
      </c>
      <c r="G177" s="29">
        <v>31.6</v>
      </c>
      <c r="H177" s="30">
        <v>2.6</v>
      </c>
      <c r="I177" s="29">
        <v>0.7</v>
      </c>
      <c r="J177" s="29">
        <v>79.099999999999994</v>
      </c>
      <c r="K177" s="29">
        <v>94.2</v>
      </c>
      <c r="L177" s="29">
        <v>111.2</v>
      </c>
      <c r="M177" s="29">
        <v>1.8</v>
      </c>
      <c r="N177" s="29">
        <v>1.7</v>
      </c>
      <c r="O177" t="s">
        <v>48</v>
      </c>
      <c r="P177" s="31"/>
      <c r="Q177" s="31"/>
      <c r="R177" s="31"/>
    </row>
    <row r="178" spans="1:18" x14ac:dyDescent="0.25">
      <c r="A178" s="33" t="s">
        <v>404</v>
      </c>
      <c r="B178" s="32" t="s">
        <v>405</v>
      </c>
      <c r="C178" s="16">
        <v>3090.5</v>
      </c>
      <c r="D178" s="29">
        <v>3764.5</v>
      </c>
      <c r="E178" s="29">
        <v>4230</v>
      </c>
      <c r="F178" s="16">
        <v>674</v>
      </c>
      <c r="G178" s="29">
        <v>465.5</v>
      </c>
      <c r="H178" s="30">
        <v>2</v>
      </c>
      <c r="I178" s="29">
        <v>1.2</v>
      </c>
      <c r="J178" s="29">
        <v>314</v>
      </c>
      <c r="K178" s="29">
        <v>313.10000000000002</v>
      </c>
      <c r="L178" s="29">
        <v>371.3</v>
      </c>
      <c r="M178" s="29">
        <v>0</v>
      </c>
      <c r="N178" s="29">
        <v>1.7</v>
      </c>
      <c r="O178" t="s">
        <v>30</v>
      </c>
      <c r="P178" s="31"/>
      <c r="Q178" s="31"/>
      <c r="R178" s="31"/>
    </row>
    <row r="179" spans="1:18" x14ac:dyDescent="0.25">
      <c r="A179" s="33" t="s">
        <v>406</v>
      </c>
      <c r="B179" s="32" t="s">
        <v>407</v>
      </c>
      <c r="C179" s="16">
        <v>855.9</v>
      </c>
      <c r="D179" s="29">
        <v>1106.5</v>
      </c>
      <c r="E179" s="29">
        <v>1254.5999999999999</v>
      </c>
      <c r="F179" s="16">
        <v>250.60000000000002</v>
      </c>
      <c r="G179" s="29">
        <v>148.1</v>
      </c>
      <c r="H179" s="30">
        <v>2.6</v>
      </c>
      <c r="I179" s="29">
        <v>1.3</v>
      </c>
      <c r="J179" s="29">
        <v>40.200000000000003</v>
      </c>
      <c r="K179" s="29">
        <v>36.1</v>
      </c>
      <c r="L179" s="29">
        <v>41.8</v>
      </c>
      <c r="M179" s="29">
        <v>-1.1000000000000001</v>
      </c>
      <c r="N179" s="29">
        <v>1.5</v>
      </c>
      <c r="O179" s="9"/>
      <c r="P179" s="31"/>
      <c r="Q179" s="31"/>
      <c r="R179" s="31"/>
    </row>
    <row r="180" spans="1:18" ht="25.5" x14ac:dyDescent="0.25">
      <c r="A180" s="32" t="s">
        <v>408</v>
      </c>
      <c r="B180" s="32" t="s">
        <v>409</v>
      </c>
      <c r="C180" s="16">
        <v>1643.3</v>
      </c>
      <c r="D180" s="29">
        <v>1841.1</v>
      </c>
      <c r="E180" s="29">
        <v>1983.4</v>
      </c>
      <c r="F180" s="16">
        <v>197.79999999999995</v>
      </c>
      <c r="G180" s="29">
        <v>142.30000000000001</v>
      </c>
      <c r="H180" s="30">
        <v>1.1000000000000001</v>
      </c>
      <c r="I180" s="29">
        <v>0.7</v>
      </c>
      <c r="J180" s="29">
        <v>205.8</v>
      </c>
      <c r="K180" s="29">
        <v>207.6</v>
      </c>
      <c r="L180" s="29">
        <v>244.9</v>
      </c>
      <c r="M180" s="29">
        <v>0.1</v>
      </c>
      <c r="N180" s="29">
        <v>1.7</v>
      </c>
      <c r="O180" s="9"/>
      <c r="P180" s="31"/>
      <c r="Q180" s="31"/>
      <c r="R180" s="31"/>
    </row>
    <row r="181" spans="1:18" x14ac:dyDescent="0.25">
      <c r="A181" s="33" t="s">
        <v>410</v>
      </c>
      <c r="B181" s="32" t="s">
        <v>411</v>
      </c>
      <c r="C181" s="16">
        <v>591.29999999999995</v>
      </c>
      <c r="D181" s="29">
        <v>816.9</v>
      </c>
      <c r="E181" s="29">
        <v>992</v>
      </c>
      <c r="F181" s="16">
        <v>225.60000000000002</v>
      </c>
      <c r="G181" s="29">
        <v>175.1</v>
      </c>
      <c r="H181" s="30">
        <v>3.3</v>
      </c>
      <c r="I181" s="29">
        <v>2</v>
      </c>
      <c r="J181" s="29">
        <v>67.900000000000006</v>
      </c>
      <c r="K181" s="29">
        <v>69.599999999999994</v>
      </c>
      <c r="L181" s="29">
        <v>85</v>
      </c>
      <c r="M181" s="29">
        <v>0.2</v>
      </c>
      <c r="N181" s="29">
        <v>2</v>
      </c>
      <c r="O181" s="9"/>
      <c r="P181" s="31"/>
      <c r="Q181" s="31"/>
      <c r="R181" s="31"/>
    </row>
    <row r="182" spans="1:18" x14ac:dyDescent="0.25">
      <c r="A182" s="33" t="s">
        <v>412</v>
      </c>
      <c r="B182" s="32" t="s">
        <v>413</v>
      </c>
      <c r="C182" s="16">
        <v>16539.8</v>
      </c>
      <c r="D182" s="29">
        <v>20412.599999999999</v>
      </c>
      <c r="E182" s="29">
        <v>23491.7</v>
      </c>
      <c r="F182" s="16">
        <v>3872.7999999999993</v>
      </c>
      <c r="G182" s="29">
        <v>3079.1</v>
      </c>
      <c r="H182" s="30">
        <v>2.1</v>
      </c>
      <c r="I182" s="29">
        <v>1.4</v>
      </c>
      <c r="J182" s="29">
        <v>1829.6</v>
      </c>
      <c r="K182" s="29">
        <v>2402.3000000000002</v>
      </c>
      <c r="L182" s="29">
        <v>3201.2</v>
      </c>
      <c r="M182" s="29">
        <v>2.8</v>
      </c>
      <c r="N182" s="29">
        <v>2.9</v>
      </c>
      <c r="O182" t="s">
        <v>31</v>
      </c>
      <c r="P182" s="31"/>
      <c r="Q182" s="31"/>
      <c r="R182" s="31"/>
    </row>
    <row r="183" spans="1:18" x14ac:dyDescent="0.25">
      <c r="A183" s="32" t="s">
        <v>414</v>
      </c>
      <c r="B183" s="32" t="s">
        <v>415</v>
      </c>
      <c r="C183" s="16">
        <v>5793.3</v>
      </c>
      <c r="D183" s="29">
        <v>7697.3</v>
      </c>
      <c r="E183" s="29">
        <v>9124.1</v>
      </c>
      <c r="F183" s="16">
        <v>1904</v>
      </c>
      <c r="G183" s="29">
        <v>1426.8</v>
      </c>
      <c r="H183" s="30">
        <v>2.9</v>
      </c>
      <c r="I183" s="29">
        <v>1.7</v>
      </c>
      <c r="J183" s="29">
        <v>811.4</v>
      </c>
      <c r="K183" s="29">
        <v>1086.5999999999999</v>
      </c>
      <c r="L183" s="29">
        <v>1457.6</v>
      </c>
      <c r="M183" s="29">
        <v>3</v>
      </c>
      <c r="N183" s="29">
        <v>3</v>
      </c>
      <c r="O183" s="9"/>
      <c r="P183" s="31"/>
      <c r="Q183" s="31"/>
      <c r="R183" s="31"/>
    </row>
    <row r="184" spans="1:18" x14ac:dyDescent="0.25">
      <c r="A184" s="33" t="s">
        <v>416</v>
      </c>
      <c r="B184" s="32" t="s">
        <v>417</v>
      </c>
      <c r="C184" s="16">
        <v>2231</v>
      </c>
      <c r="D184" s="29">
        <v>2672</v>
      </c>
      <c r="E184" s="29">
        <v>2978.9</v>
      </c>
      <c r="F184" s="16">
        <v>441</v>
      </c>
      <c r="G184" s="29">
        <v>306.89999999999998</v>
      </c>
      <c r="H184" s="30">
        <v>1.8</v>
      </c>
      <c r="I184" s="29">
        <v>1.1000000000000001</v>
      </c>
      <c r="J184" s="29">
        <v>399.7</v>
      </c>
      <c r="K184" s="29">
        <v>541.1</v>
      </c>
      <c r="L184" s="29">
        <v>738.6</v>
      </c>
      <c r="M184" s="29">
        <v>3.1</v>
      </c>
      <c r="N184" s="29">
        <v>3.2</v>
      </c>
      <c r="O184" s="9"/>
      <c r="P184" s="31"/>
      <c r="Q184" s="31"/>
      <c r="R184" s="31"/>
    </row>
    <row r="185" spans="1:18" x14ac:dyDescent="0.25">
      <c r="A185" s="33" t="s">
        <v>418</v>
      </c>
      <c r="B185" s="32" t="s">
        <v>419</v>
      </c>
      <c r="C185" s="16">
        <v>817.6</v>
      </c>
      <c r="D185" s="29">
        <v>969.3</v>
      </c>
      <c r="E185" s="29">
        <v>1021.9</v>
      </c>
      <c r="F185" s="16">
        <v>151.69999999999993</v>
      </c>
      <c r="G185" s="29">
        <v>52.6</v>
      </c>
      <c r="H185" s="30">
        <v>1.7</v>
      </c>
      <c r="I185" s="29">
        <v>0.5</v>
      </c>
      <c r="J185" s="29">
        <v>109.9</v>
      </c>
      <c r="K185" s="29">
        <v>118.9</v>
      </c>
      <c r="L185" s="29">
        <v>142</v>
      </c>
      <c r="M185" s="29">
        <v>0.8</v>
      </c>
      <c r="N185" s="29">
        <v>1.8</v>
      </c>
      <c r="O185" s="9"/>
      <c r="P185" s="31"/>
      <c r="Q185" s="31"/>
      <c r="R185" s="31"/>
    </row>
    <row r="186" spans="1:18" x14ac:dyDescent="0.25">
      <c r="A186" s="33" t="s">
        <v>420</v>
      </c>
      <c r="B186" s="32" t="s">
        <v>421</v>
      </c>
      <c r="C186" s="16">
        <v>647.29999999999995</v>
      </c>
      <c r="D186" s="29">
        <v>968.8</v>
      </c>
      <c r="E186" s="29">
        <v>1207.8</v>
      </c>
      <c r="F186" s="16">
        <v>321.5</v>
      </c>
      <c r="G186" s="29">
        <v>239</v>
      </c>
      <c r="H186" s="30">
        <v>4.0999999999999996</v>
      </c>
      <c r="I186" s="29">
        <v>2.2000000000000002</v>
      </c>
      <c r="J186" s="29">
        <v>76.900000000000006</v>
      </c>
      <c r="K186" s="29">
        <v>110.9</v>
      </c>
      <c r="L186" s="29">
        <v>150.69999999999999</v>
      </c>
      <c r="M186" s="29">
        <v>3.7</v>
      </c>
      <c r="N186" s="29">
        <v>3.1</v>
      </c>
      <c r="O186" s="9"/>
      <c r="P186" s="31"/>
      <c r="Q186" s="31"/>
      <c r="R186" s="31"/>
    </row>
    <row r="187" spans="1:18" x14ac:dyDescent="0.25">
      <c r="A187" s="33" t="s">
        <v>422</v>
      </c>
      <c r="B187" s="32" t="s">
        <v>423</v>
      </c>
      <c r="C187" s="16">
        <v>605.6</v>
      </c>
      <c r="D187" s="29">
        <v>963</v>
      </c>
      <c r="E187" s="29">
        <v>1239.5999999999999</v>
      </c>
      <c r="F187" s="16">
        <v>357.4</v>
      </c>
      <c r="G187" s="29">
        <v>276.60000000000002</v>
      </c>
      <c r="H187" s="30">
        <v>4.7</v>
      </c>
      <c r="I187" s="29">
        <v>2.6</v>
      </c>
      <c r="J187" s="29">
        <v>87.7</v>
      </c>
      <c r="K187" s="29">
        <v>122.3</v>
      </c>
      <c r="L187" s="29">
        <v>167.6</v>
      </c>
      <c r="M187" s="29">
        <v>3.4</v>
      </c>
      <c r="N187" s="29">
        <v>3.2</v>
      </c>
      <c r="O187" s="9"/>
      <c r="P187" s="31"/>
      <c r="Q187" s="31"/>
      <c r="R187" s="31"/>
    </row>
    <row r="188" spans="1:18" x14ac:dyDescent="0.25">
      <c r="A188" s="33" t="s">
        <v>424</v>
      </c>
      <c r="B188" s="32" t="s">
        <v>425</v>
      </c>
      <c r="C188" s="16">
        <v>218.7</v>
      </c>
      <c r="D188" s="29">
        <v>283.2</v>
      </c>
      <c r="E188" s="29">
        <v>325.7</v>
      </c>
      <c r="F188" s="16">
        <v>64.5</v>
      </c>
      <c r="G188" s="29">
        <v>42.5</v>
      </c>
      <c r="H188" s="30">
        <v>2.6</v>
      </c>
      <c r="I188" s="29">
        <v>1.4</v>
      </c>
      <c r="J188" s="29">
        <v>43.3</v>
      </c>
      <c r="K188" s="29">
        <v>70.599999999999994</v>
      </c>
      <c r="L188" s="29">
        <v>96</v>
      </c>
      <c r="M188" s="29">
        <v>5</v>
      </c>
      <c r="N188" s="29">
        <v>3.1</v>
      </c>
      <c r="O188" s="9"/>
      <c r="P188" s="31"/>
      <c r="Q188" s="31"/>
      <c r="R188" s="31"/>
    </row>
    <row r="189" spans="1:18" x14ac:dyDescent="0.25">
      <c r="A189" s="33" t="s">
        <v>426</v>
      </c>
      <c r="B189" s="32" t="s">
        <v>427</v>
      </c>
      <c r="C189" s="16">
        <v>1027.0999999999999</v>
      </c>
      <c r="D189" s="29">
        <v>1527.4</v>
      </c>
      <c r="E189" s="29">
        <v>1983.4</v>
      </c>
      <c r="F189" s="16">
        <v>500.30000000000018</v>
      </c>
      <c r="G189" s="29">
        <v>456</v>
      </c>
      <c r="H189" s="30">
        <v>4</v>
      </c>
      <c r="I189" s="29">
        <v>2.6</v>
      </c>
      <c r="J189" s="29">
        <v>59.5</v>
      </c>
      <c r="K189" s="29">
        <v>85.2</v>
      </c>
      <c r="L189" s="29">
        <v>114.5</v>
      </c>
      <c r="M189" s="29">
        <v>3.7</v>
      </c>
      <c r="N189" s="29">
        <v>3</v>
      </c>
      <c r="O189" s="9"/>
      <c r="P189" s="31"/>
      <c r="Q189" s="31"/>
      <c r="R189" s="31"/>
    </row>
    <row r="190" spans="1:18" x14ac:dyDescent="0.25">
      <c r="A190" s="33" t="s">
        <v>428</v>
      </c>
      <c r="B190" s="32" t="s">
        <v>429</v>
      </c>
      <c r="C190" s="16">
        <v>246</v>
      </c>
      <c r="D190" s="29">
        <v>313.60000000000002</v>
      </c>
      <c r="E190" s="29">
        <v>366.9</v>
      </c>
      <c r="F190" s="16">
        <v>67.600000000000023</v>
      </c>
      <c r="G190" s="29">
        <v>53.3</v>
      </c>
      <c r="H190" s="30">
        <v>2.5</v>
      </c>
      <c r="I190" s="29">
        <v>1.6</v>
      </c>
      <c r="J190" s="29">
        <v>34.799999999999997</v>
      </c>
      <c r="K190" s="29">
        <v>39</v>
      </c>
      <c r="L190" s="29">
        <v>53.1</v>
      </c>
      <c r="M190" s="29">
        <v>1.2</v>
      </c>
      <c r="N190" s="29">
        <v>3.1</v>
      </c>
      <c r="O190" s="9"/>
      <c r="P190" s="31"/>
      <c r="Q190" s="31"/>
      <c r="R190" s="31"/>
    </row>
    <row r="191" spans="1:18" x14ac:dyDescent="0.25">
      <c r="A191" s="32" t="s">
        <v>430</v>
      </c>
      <c r="B191" s="32" t="s">
        <v>431</v>
      </c>
      <c r="C191" s="16">
        <v>4667.3999999999996</v>
      </c>
      <c r="D191" s="29">
        <v>5198.7</v>
      </c>
      <c r="E191" s="29">
        <v>5454.3</v>
      </c>
      <c r="F191" s="16">
        <v>531.30000000000018</v>
      </c>
      <c r="G191" s="29">
        <v>255.6</v>
      </c>
      <c r="H191" s="30">
        <v>1.1000000000000001</v>
      </c>
      <c r="I191" s="29">
        <v>0.5</v>
      </c>
      <c r="J191" s="29">
        <v>658</v>
      </c>
      <c r="K191" s="29">
        <v>894.4</v>
      </c>
      <c r="L191" s="29">
        <v>1192.5</v>
      </c>
      <c r="M191" s="29">
        <v>3.1</v>
      </c>
      <c r="N191" s="29">
        <v>2.9</v>
      </c>
      <c r="O191" s="9"/>
      <c r="P191" s="31"/>
      <c r="Q191" s="31"/>
      <c r="R191" s="31"/>
    </row>
    <row r="192" spans="1:18" x14ac:dyDescent="0.25">
      <c r="A192" s="33" t="s">
        <v>432</v>
      </c>
      <c r="B192" s="32" t="s">
        <v>433</v>
      </c>
      <c r="C192" s="16">
        <v>3082.2</v>
      </c>
      <c r="D192" s="29">
        <v>3379.3</v>
      </c>
      <c r="E192" s="29">
        <v>3734.4</v>
      </c>
      <c r="F192" s="16">
        <v>297.10000000000036</v>
      </c>
      <c r="G192" s="29">
        <v>355.1</v>
      </c>
      <c r="H192" s="30">
        <v>0.9</v>
      </c>
      <c r="I192" s="29">
        <v>1</v>
      </c>
      <c r="J192" s="29">
        <v>196.4</v>
      </c>
      <c r="K192" s="29">
        <v>227.4</v>
      </c>
      <c r="L192" s="29">
        <v>302.3</v>
      </c>
      <c r="M192" s="29">
        <v>1.5</v>
      </c>
      <c r="N192" s="29">
        <v>2.9</v>
      </c>
      <c r="O192" s="9"/>
      <c r="P192" s="31"/>
      <c r="Q192" s="31"/>
      <c r="R192" s="31"/>
    </row>
    <row r="193" spans="1:18" x14ac:dyDescent="0.25">
      <c r="A193" s="33" t="s">
        <v>434</v>
      </c>
      <c r="B193" s="32" t="s">
        <v>435</v>
      </c>
      <c r="C193" s="16">
        <v>2996.9</v>
      </c>
      <c r="D193" s="29">
        <v>4137.3</v>
      </c>
      <c r="E193" s="29">
        <v>5179</v>
      </c>
      <c r="F193" s="16">
        <v>1140.4000000000001</v>
      </c>
      <c r="G193" s="29">
        <v>1041.7</v>
      </c>
      <c r="H193" s="30">
        <v>3.3</v>
      </c>
      <c r="I193" s="29">
        <v>2.2999999999999998</v>
      </c>
      <c r="J193" s="29">
        <v>163.9</v>
      </c>
      <c r="K193" s="29">
        <v>195.6</v>
      </c>
      <c r="L193" s="29">
        <v>252.6</v>
      </c>
      <c r="M193" s="29">
        <v>1.8</v>
      </c>
      <c r="N193" s="29">
        <v>2.6</v>
      </c>
      <c r="O193" s="9"/>
      <c r="P193" s="31"/>
      <c r="Q193" s="31"/>
      <c r="R193" s="31"/>
    </row>
    <row r="194" spans="1:18" x14ac:dyDescent="0.25">
      <c r="A194" s="33" t="s">
        <v>436</v>
      </c>
      <c r="B194" s="32" t="s">
        <v>437</v>
      </c>
      <c r="C194" s="16">
        <v>1602.9</v>
      </c>
      <c r="D194" s="29">
        <v>2611.3000000000002</v>
      </c>
      <c r="E194" s="29">
        <v>3663.9</v>
      </c>
      <c r="F194" s="16">
        <v>1008.4000000000001</v>
      </c>
      <c r="G194" s="29">
        <v>1052.5999999999999</v>
      </c>
      <c r="H194" s="30">
        <v>5</v>
      </c>
      <c r="I194" s="29">
        <v>3.4</v>
      </c>
      <c r="J194" s="29">
        <v>75.7</v>
      </c>
      <c r="K194" s="29">
        <v>99.6</v>
      </c>
      <c r="L194" s="29">
        <v>132.80000000000001</v>
      </c>
      <c r="M194" s="29">
        <v>2.8</v>
      </c>
      <c r="N194" s="29">
        <v>2.9</v>
      </c>
      <c r="O194" s="9"/>
      <c r="P194" s="31"/>
      <c r="Q194" s="31"/>
      <c r="R194" s="31"/>
    </row>
    <row r="195" spans="1:18" x14ac:dyDescent="0.25">
      <c r="A195" s="33" t="s">
        <v>438</v>
      </c>
      <c r="B195" s="32" t="s">
        <v>439</v>
      </c>
      <c r="C195" s="16">
        <v>541.20000000000005</v>
      </c>
      <c r="D195" s="29">
        <v>507.7</v>
      </c>
      <c r="E195" s="29">
        <v>500.8</v>
      </c>
      <c r="F195" s="16">
        <v>-33.500000000000057</v>
      </c>
      <c r="G195" s="29">
        <v>-6.9</v>
      </c>
      <c r="H195" s="30">
        <v>-0.6</v>
      </c>
      <c r="I195" s="29">
        <v>-0.1</v>
      </c>
      <c r="J195" s="29">
        <v>41.6</v>
      </c>
      <c r="K195" s="29">
        <v>47.9</v>
      </c>
      <c r="L195" s="29">
        <v>62.3</v>
      </c>
      <c r="M195" s="29">
        <v>1.4</v>
      </c>
      <c r="N195" s="29">
        <v>2.7</v>
      </c>
      <c r="O195" s="9"/>
      <c r="P195" s="31"/>
      <c r="Q195" s="31"/>
      <c r="R195" s="31"/>
    </row>
    <row r="196" spans="1:18" x14ac:dyDescent="0.25">
      <c r="A196" s="33" t="s">
        <v>440</v>
      </c>
      <c r="B196" s="32" t="s">
        <v>441</v>
      </c>
      <c r="C196" s="16">
        <v>852.8</v>
      </c>
      <c r="D196" s="29">
        <v>1018.3</v>
      </c>
      <c r="E196" s="29">
        <v>1014.3</v>
      </c>
      <c r="F196" s="16">
        <v>165.5</v>
      </c>
      <c r="G196" s="29">
        <v>-4</v>
      </c>
      <c r="H196" s="30">
        <v>1.8</v>
      </c>
      <c r="I196" s="29">
        <v>0</v>
      </c>
      <c r="J196" s="29">
        <v>46.6</v>
      </c>
      <c r="K196" s="29">
        <v>48.1</v>
      </c>
      <c r="L196" s="29">
        <v>57.8</v>
      </c>
      <c r="M196" s="29">
        <v>0.3</v>
      </c>
      <c r="N196" s="29">
        <v>1.8</v>
      </c>
      <c r="O196" s="9"/>
      <c r="P196" s="31"/>
      <c r="Q196" s="31"/>
      <c r="R196" s="31"/>
    </row>
    <row r="197" spans="1:18" x14ac:dyDescent="0.25">
      <c r="A197" s="33" t="s">
        <v>442</v>
      </c>
      <c r="B197" s="32" t="s">
        <v>443</v>
      </c>
      <c r="C197" s="16">
        <v>1915.6</v>
      </c>
      <c r="D197" s="29">
        <v>2433.3000000000002</v>
      </c>
      <c r="E197" s="29">
        <v>2667.5</v>
      </c>
      <c r="F197" s="16">
        <v>517.70000000000027</v>
      </c>
      <c r="G197" s="29">
        <v>234.2</v>
      </c>
      <c r="H197" s="30">
        <v>2.4</v>
      </c>
      <c r="I197" s="29">
        <v>0.9</v>
      </c>
      <c r="J197" s="29">
        <v>257</v>
      </c>
      <c r="K197" s="29">
        <v>325.10000000000002</v>
      </c>
      <c r="L197" s="29">
        <v>404.4</v>
      </c>
      <c r="M197" s="29">
        <v>2.4</v>
      </c>
      <c r="N197" s="29">
        <v>2.2000000000000002</v>
      </c>
      <c r="O197" t="s">
        <v>32</v>
      </c>
      <c r="P197" s="31"/>
      <c r="Q197" s="31"/>
      <c r="R197" s="31"/>
    </row>
    <row r="198" spans="1:18" x14ac:dyDescent="0.25">
      <c r="A198" s="33" t="s">
        <v>444</v>
      </c>
      <c r="B198" s="32" t="s">
        <v>445</v>
      </c>
      <c r="C198" s="16">
        <v>396.9</v>
      </c>
      <c r="D198" s="29">
        <v>516.29999999999995</v>
      </c>
      <c r="E198" s="29">
        <v>543.9</v>
      </c>
      <c r="F198" s="16">
        <v>119.39999999999998</v>
      </c>
      <c r="G198" s="29">
        <v>27.6</v>
      </c>
      <c r="H198" s="30">
        <v>2.7</v>
      </c>
      <c r="I198" s="29">
        <v>0.5</v>
      </c>
      <c r="J198" s="29">
        <v>126.7</v>
      </c>
      <c r="K198" s="29">
        <v>160</v>
      </c>
      <c r="L198" s="29">
        <v>196.9</v>
      </c>
      <c r="M198" s="29">
        <v>2.4</v>
      </c>
      <c r="N198" s="29">
        <v>2.1</v>
      </c>
      <c r="O198" s="9"/>
      <c r="P198" s="31"/>
      <c r="Q198" s="31"/>
      <c r="R198" s="31"/>
    </row>
    <row r="199" spans="1:18" x14ac:dyDescent="0.25">
      <c r="A199" s="33" t="s">
        <v>446</v>
      </c>
      <c r="B199" s="32" t="s">
        <v>447</v>
      </c>
      <c r="C199" s="16">
        <v>113.6</v>
      </c>
      <c r="D199" s="29">
        <v>131.6</v>
      </c>
      <c r="E199" s="29">
        <v>112.1</v>
      </c>
      <c r="F199" s="16">
        <v>18</v>
      </c>
      <c r="G199" s="29">
        <v>-19.5</v>
      </c>
      <c r="H199" s="30">
        <v>1.5</v>
      </c>
      <c r="I199" s="29">
        <v>-1.6</v>
      </c>
      <c r="J199" s="29">
        <v>21.1</v>
      </c>
      <c r="K199" s="29">
        <v>26.5</v>
      </c>
      <c r="L199" s="29">
        <v>32.299999999999997</v>
      </c>
      <c r="M199" s="29">
        <v>2.2999999999999998</v>
      </c>
      <c r="N199" s="29">
        <v>2</v>
      </c>
      <c r="O199" s="9"/>
      <c r="P199" s="31"/>
      <c r="Q199" s="31"/>
      <c r="R199" s="31"/>
    </row>
    <row r="200" spans="1:18" x14ac:dyDescent="0.25">
      <c r="A200" s="32" t="s">
        <v>448</v>
      </c>
      <c r="B200" s="32" t="s">
        <v>449</v>
      </c>
      <c r="C200" s="16">
        <v>129.5</v>
      </c>
      <c r="D200" s="29">
        <v>150.5</v>
      </c>
      <c r="E200" s="29">
        <v>164.5</v>
      </c>
      <c r="F200" s="16">
        <v>21</v>
      </c>
      <c r="G200" s="29">
        <v>14</v>
      </c>
      <c r="H200" s="30">
        <v>1.5</v>
      </c>
      <c r="I200" s="29">
        <v>0.9</v>
      </c>
      <c r="J200" s="29">
        <v>38</v>
      </c>
      <c r="K200" s="29">
        <v>43.3</v>
      </c>
      <c r="L200" s="29">
        <v>53.8</v>
      </c>
      <c r="M200" s="29">
        <v>1.3</v>
      </c>
      <c r="N200" s="29">
        <v>2.2000000000000002</v>
      </c>
      <c r="O200" s="9"/>
      <c r="P200" s="31"/>
      <c r="Q200" s="31"/>
      <c r="R200" s="31"/>
    </row>
    <row r="201" spans="1:18" x14ac:dyDescent="0.25">
      <c r="A201" s="33" t="s">
        <v>450</v>
      </c>
      <c r="B201" s="32" t="s">
        <v>451</v>
      </c>
      <c r="C201" s="16">
        <v>109.1</v>
      </c>
      <c r="D201" s="29">
        <v>181.1</v>
      </c>
      <c r="E201" s="29">
        <v>203.3</v>
      </c>
      <c r="F201" s="16">
        <v>72</v>
      </c>
      <c r="G201" s="29">
        <v>22.2</v>
      </c>
      <c r="H201" s="30">
        <v>5.2</v>
      </c>
      <c r="I201" s="29">
        <v>1.2</v>
      </c>
      <c r="J201" s="29">
        <v>32.9</v>
      </c>
      <c r="K201" s="29">
        <v>45</v>
      </c>
      <c r="L201" s="29">
        <v>55.1</v>
      </c>
      <c r="M201" s="29">
        <v>3.2</v>
      </c>
      <c r="N201" s="29">
        <v>2</v>
      </c>
      <c r="O201" s="9"/>
      <c r="P201" s="31"/>
      <c r="Q201" s="31"/>
      <c r="R201" s="31"/>
    </row>
    <row r="202" spans="1:18" x14ac:dyDescent="0.25">
      <c r="A202" s="32" t="s">
        <v>452</v>
      </c>
      <c r="B202" s="32" t="s">
        <v>453</v>
      </c>
      <c r="C202" s="16">
        <v>44.7</v>
      </c>
      <c r="D202" s="29">
        <v>53.1</v>
      </c>
      <c r="E202" s="29">
        <v>64.099999999999994</v>
      </c>
      <c r="F202" s="16">
        <v>8.3999999999999986</v>
      </c>
      <c r="G202" s="29">
        <v>11</v>
      </c>
      <c r="H202" s="30">
        <v>1.7</v>
      </c>
      <c r="I202" s="29">
        <v>1.9</v>
      </c>
      <c r="J202" s="29">
        <v>34.700000000000003</v>
      </c>
      <c r="K202" s="29">
        <v>45.3</v>
      </c>
      <c r="L202" s="29">
        <v>55.8</v>
      </c>
      <c r="M202" s="29">
        <v>2.7</v>
      </c>
      <c r="N202" s="29">
        <v>2.1</v>
      </c>
      <c r="O202" s="9"/>
      <c r="P202" s="31"/>
      <c r="Q202" s="31"/>
      <c r="R202" s="31"/>
    </row>
    <row r="203" spans="1:18" x14ac:dyDescent="0.25">
      <c r="A203" s="32" t="s">
        <v>454</v>
      </c>
      <c r="B203" s="32" t="s">
        <v>455</v>
      </c>
      <c r="C203" s="16">
        <v>129.4</v>
      </c>
      <c r="D203" s="29">
        <v>172.9</v>
      </c>
      <c r="E203" s="29">
        <v>202.7</v>
      </c>
      <c r="F203" s="16">
        <v>43.5</v>
      </c>
      <c r="G203" s="29">
        <v>29.8</v>
      </c>
      <c r="H203" s="30">
        <v>2.9</v>
      </c>
      <c r="I203" s="29">
        <v>1.6</v>
      </c>
      <c r="J203" s="29">
        <v>13</v>
      </c>
      <c r="K203" s="29">
        <v>17.2</v>
      </c>
      <c r="L203" s="29">
        <v>22.4</v>
      </c>
      <c r="M203" s="29">
        <v>2.9</v>
      </c>
      <c r="N203" s="29">
        <v>2.7</v>
      </c>
      <c r="O203" s="9"/>
      <c r="P203" s="31"/>
      <c r="Q203" s="31"/>
      <c r="R203" s="31"/>
    </row>
    <row r="204" spans="1:18" x14ac:dyDescent="0.25">
      <c r="A204" s="32" t="s">
        <v>456</v>
      </c>
      <c r="B204" s="32" t="s">
        <v>457</v>
      </c>
      <c r="C204" s="16">
        <v>1389.3</v>
      </c>
      <c r="D204" s="29">
        <v>1744.1</v>
      </c>
      <c r="E204" s="29">
        <v>1920.9</v>
      </c>
      <c r="F204" s="16">
        <v>354.79999999999995</v>
      </c>
      <c r="G204" s="29">
        <v>176.8</v>
      </c>
      <c r="H204" s="30">
        <v>2.2999999999999998</v>
      </c>
      <c r="I204" s="29">
        <v>1</v>
      </c>
      <c r="J204" s="29">
        <v>117.3</v>
      </c>
      <c r="K204" s="29">
        <v>148</v>
      </c>
      <c r="L204" s="29">
        <v>185.2</v>
      </c>
      <c r="M204" s="29">
        <v>2.2999999999999998</v>
      </c>
      <c r="N204" s="29">
        <v>2.2999999999999998</v>
      </c>
      <c r="O204" s="9"/>
      <c r="P204" s="31"/>
      <c r="Q204" s="31"/>
      <c r="R204" s="31"/>
    </row>
    <row r="205" spans="1:18" x14ac:dyDescent="0.25">
      <c r="A205" s="33" t="s">
        <v>458</v>
      </c>
      <c r="B205" s="32" t="s">
        <v>459</v>
      </c>
      <c r="C205" s="16">
        <v>152.19999999999999</v>
      </c>
      <c r="D205" s="29">
        <v>225.3</v>
      </c>
      <c r="E205" s="29">
        <v>247.3</v>
      </c>
      <c r="F205" s="16">
        <v>73.100000000000023</v>
      </c>
      <c r="G205" s="29">
        <v>22</v>
      </c>
      <c r="H205" s="30">
        <v>4</v>
      </c>
      <c r="I205" s="29">
        <v>0.9</v>
      </c>
      <c r="J205" s="29">
        <v>19</v>
      </c>
      <c r="K205" s="29">
        <v>17.399999999999999</v>
      </c>
      <c r="L205" s="29">
        <v>21.5</v>
      </c>
      <c r="M205" s="29">
        <v>-0.9</v>
      </c>
      <c r="N205" s="29">
        <v>2.1</v>
      </c>
      <c r="O205" s="9"/>
      <c r="P205" s="31"/>
      <c r="Q205" s="31"/>
      <c r="R205" s="31"/>
    </row>
    <row r="206" spans="1:18" x14ac:dyDescent="0.25">
      <c r="A206" s="33" t="s">
        <v>460</v>
      </c>
      <c r="B206" s="32" t="s">
        <v>461</v>
      </c>
      <c r="C206" s="16">
        <v>131.9</v>
      </c>
      <c r="D206" s="29">
        <v>114.9</v>
      </c>
      <c r="E206" s="29">
        <v>103</v>
      </c>
      <c r="F206" s="16">
        <v>-17</v>
      </c>
      <c r="G206" s="29">
        <v>-11.9</v>
      </c>
      <c r="H206" s="30">
        <v>-1.4</v>
      </c>
      <c r="I206" s="29">
        <v>-1.1000000000000001</v>
      </c>
      <c r="J206" s="29">
        <v>30.4</v>
      </c>
      <c r="K206" s="29">
        <v>39</v>
      </c>
      <c r="L206" s="29">
        <v>50.2</v>
      </c>
      <c r="M206" s="29">
        <v>2.5</v>
      </c>
      <c r="N206" s="29">
        <v>2.6</v>
      </c>
      <c r="O206" s="9"/>
      <c r="P206" s="31"/>
      <c r="Q206" s="31"/>
      <c r="R206" s="31"/>
    </row>
    <row r="207" spans="1:18" x14ac:dyDescent="0.25">
      <c r="A207" s="33" t="s">
        <v>462</v>
      </c>
      <c r="B207" s="32" t="s">
        <v>463</v>
      </c>
      <c r="C207" s="16">
        <v>1105.2</v>
      </c>
      <c r="D207" s="29">
        <v>1403.9</v>
      </c>
      <c r="E207" s="29">
        <v>1570.6</v>
      </c>
      <c r="F207" s="16">
        <v>298.70000000000005</v>
      </c>
      <c r="G207" s="29">
        <v>166.7</v>
      </c>
      <c r="H207" s="30">
        <v>2.4</v>
      </c>
      <c r="I207" s="29">
        <v>1.1000000000000001</v>
      </c>
      <c r="J207" s="29">
        <v>68.099999999999994</v>
      </c>
      <c r="K207" s="29">
        <v>91.8</v>
      </c>
      <c r="L207" s="29">
        <v>113.8</v>
      </c>
      <c r="M207" s="29">
        <v>3</v>
      </c>
      <c r="N207" s="29">
        <v>2.2000000000000002</v>
      </c>
      <c r="O207" s="9"/>
      <c r="P207" s="31"/>
      <c r="Q207" s="31"/>
      <c r="R207" s="31"/>
    </row>
    <row r="208" spans="1:18" x14ac:dyDescent="0.25">
      <c r="A208" s="33" t="s">
        <v>464</v>
      </c>
      <c r="B208" s="32" t="s">
        <v>465</v>
      </c>
      <c r="C208" s="16">
        <v>11161.9</v>
      </c>
      <c r="D208" s="29">
        <v>14142.6</v>
      </c>
      <c r="E208" s="29">
        <v>15024</v>
      </c>
      <c r="F208" s="16">
        <v>2980.7000000000007</v>
      </c>
      <c r="G208" s="29">
        <v>881.4</v>
      </c>
      <c r="H208" s="30">
        <v>2.4</v>
      </c>
      <c r="I208" s="29">
        <v>0.6</v>
      </c>
      <c r="J208" s="29">
        <v>756.7</v>
      </c>
      <c r="K208" s="29">
        <v>1022.2</v>
      </c>
      <c r="L208" s="29">
        <v>1258.5999999999999</v>
      </c>
      <c r="M208" s="29">
        <v>3.1</v>
      </c>
      <c r="N208" s="29">
        <v>2.1</v>
      </c>
      <c r="O208" t="s">
        <v>22</v>
      </c>
      <c r="P208" s="31"/>
      <c r="Q208" s="31"/>
      <c r="R208" s="31"/>
    </row>
    <row r="209" spans="1:18" x14ac:dyDescent="0.25">
      <c r="A209" s="33" t="s">
        <v>466</v>
      </c>
      <c r="B209" s="32" t="s">
        <v>467</v>
      </c>
      <c r="C209" s="16">
        <v>1763</v>
      </c>
      <c r="D209" s="29">
        <v>2077.9</v>
      </c>
      <c r="E209" s="29">
        <v>2082.5</v>
      </c>
      <c r="F209" s="16">
        <v>314.90000000000009</v>
      </c>
      <c r="G209" s="29">
        <v>4.5999999999999996</v>
      </c>
      <c r="H209" s="30">
        <v>1.7</v>
      </c>
      <c r="I209" s="29">
        <v>0</v>
      </c>
      <c r="J209" s="29">
        <v>191.4</v>
      </c>
      <c r="K209" s="29">
        <v>255</v>
      </c>
      <c r="L209" s="29">
        <v>327.60000000000002</v>
      </c>
      <c r="M209" s="29">
        <v>2.9</v>
      </c>
      <c r="N209" s="29">
        <v>2.5</v>
      </c>
      <c r="O209" s="9"/>
      <c r="P209" s="31"/>
      <c r="Q209" s="31"/>
      <c r="R209" s="31"/>
    </row>
    <row r="210" spans="1:18" x14ac:dyDescent="0.25">
      <c r="A210" s="33" t="s">
        <v>468</v>
      </c>
      <c r="B210" s="32" t="s">
        <v>469</v>
      </c>
      <c r="C210" s="16">
        <v>9398.9</v>
      </c>
      <c r="D210" s="29">
        <v>12064.7</v>
      </c>
      <c r="E210" s="29">
        <v>12941.5</v>
      </c>
      <c r="F210" s="16">
        <v>2665.8000000000011</v>
      </c>
      <c r="G210" s="29">
        <v>876.8</v>
      </c>
      <c r="H210" s="30">
        <v>2.5</v>
      </c>
      <c r="I210" s="29">
        <v>0.7</v>
      </c>
      <c r="J210" s="29">
        <v>565.4</v>
      </c>
      <c r="K210" s="29">
        <v>767.1</v>
      </c>
      <c r="L210" s="29">
        <v>931.3</v>
      </c>
      <c r="M210" s="29">
        <v>3.1</v>
      </c>
      <c r="N210" s="29">
        <v>2</v>
      </c>
      <c r="O210" s="9"/>
      <c r="P210" s="31"/>
      <c r="Q210" s="31"/>
      <c r="R210" s="31"/>
    </row>
    <row r="211" spans="1:18" x14ac:dyDescent="0.25">
      <c r="A211" s="33" t="s">
        <v>470</v>
      </c>
      <c r="B211" s="32" t="s">
        <v>471</v>
      </c>
      <c r="C211" s="16">
        <v>6150.1</v>
      </c>
      <c r="D211" s="29">
        <v>6713.8</v>
      </c>
      <c r="E211" s="29">
        <v>6994.7</v>
      </c>
      <c r="F211" s="16">
        <v>563.69999999999982</v>
      </c>
      <c r="G211" s="29">
        <v>280.89999999999998</v>
      </c>
      <c r="H211" s="30">
        <v>0.9</v>
      </c>
      <c r="I211" s="29">
        <v>0.4</v>
      </c>
      <c r="J211" s="29">
        <v>563.9</v>
      </c>
      <c r="K211" s="29">
        <v>651.6</v>
      </c>
      <c r="L211" s="29">
        <v>773.6</v>
      </c>
      <c r="M211" s="29">
        <v>1.5</v>
      </c>
      <c r="N211" s="29">
        <v>1.7</v>
      </c>
      <c r="O211" s="6"/>
      <c r="P211" s="31"/>
      <c r="Q211" s="31"/>
      <c r="R211" s="31"/>
    </row>
    <row r="212" spans="1:18" x14ac:dyDescent="0.25">
      <c r="A212" s="33" t="s">
        <v>472</v>
      </c>
      <c r="B212" s="32" t="s">
        <v>473</v>
      </c>
      <c r="C212" s="16">
        <v>1150.5</v>
      </c>
      <c r="D212" s="29">
        <v>1352.2</v>
      </c>
      <c r="E212" s="29">
        <v>1420.1</v>
      </c>
      <c r="F212" s="16">
        <v>201.70000000000005</v>
      </c>
      <c r="G212" s="29">
        <v>67.900000000000006</v>
      </c>
      <c r="H212" s="30">
        <v>1.6</v>
      </c>
      <c r="I212" s="29">
        <v>0.5</v>
      </c>
      <c r="J212" s="29">
        <v>183.7</v>
      </c>
      <c r="K212" s="29">
        <v>216.1</v>
      </c>
      <c r="L212" s="29">
        <v>252.7</v>
      </c>
      <c r="M212" s="29">
        <v>1.6</v>
      </c>
      <c r="N212" s="29">
        <v>1.6</v>
      </c>
      <c r="O212" s="6"/>
      <c r="P212" s="31"/>
      <c r="Q212" s="31"/>
      <c r="R212" s="31"/>
    </row>
    <row r="213" spans="1:18" x14ac:dyDescent="0.25">
      <c r="A213" s="33" t="s">
        <v>474</v>
      </c>
      <c r="B213" s="32" t="s">
        <v>475</v>
      </c>
      <c r="C213" s="16">
        <v>805.9</v>
      </c>
      <c r="D213" s="29">
        <v>948.8</v>
      </c>
      <c r="E213" s="29">
        <v>981.8</v>
      </c>
      <c r="F213" s="16">
        <v>142.89999999999998</v>
      </c>
      <c r="G213" s="29">
        <v>33</v>
      </c>
      <c r="H213" s="30">
        <v>1.6</v>
      </c>
      <c r="I213" s="29">
        <v>0.3</v>
      </c>
      <c r="J213" s="29">
        <v>111.4</v>
      </c>
      <c r="K213" s="29">
        <v>131.80000000000001</v>
      </c>
      <c r="L213" s="29">
        <v>147.69999999999999</v>
      </c>
      <c r="M213" s="29">
        <v>1.7</v>
      </c>
      <c r="N213" s="29">
        <v>1.1000000000000001</v>
      </c>
      <c r="O213" s="6"/>
      <c r="P213" s="31"/>
      <c r="Q213" s="31"/>
      <c r="R213" s="31"/>
    </row>
    <row r="214" spans="1:18" ht="25.5" x14ac:dyDescent="0.25">
      <c r="A214" s="33" t="s">
        <v>476</v>
      </c>
      <c r="B214" s="32" t="s">
        <v>477</v>
      </c>
      <c r="C214" s="16">
        <v>98.3</v>
      </c>
      <c r="D214" s="29">
        <v>105.2</v>
      </c>
      <c r="E214" s="29">
        <v>119</v>
      </c>
      <c r="F214" s="16">
        <v>6.9000000000000057</v>
      </c>
      <c r="G214" s="29">
        <v>13.8</v>
      </c>
      <c r="H214" s="30">
        <v>0.7</v>
      </c>
      <c r="I214" s="29">
        <v>1.2</v>
      </c>
      <c r="J214" s="29">
        <v>18.600000000000001</v>
      </c>
      <c r="K214" s="29">
        <v>25.6</v>
      </c>
      <c r="L214" s="29">
        <v>31.9</v>
      </c>
      <c r="M214" s="29">
        <v>3.3</v>
      </c>
      <c r="N214" s="29">
        <v>2.2000000000000002</v>
      </c>
      <c r="O214" s="6"/>
      <c r="P214" s="31"/>
      <c r="Q214" s="31"/>
      <c r="R214" s="31"/>
    </row>
    <row r="215" spans="1:18" ht="25.5" x14ac:dyDescent="0.25">
      <c r="A215" s="33" t="s">
        <v>478</v>
      </c>
      <c r="B215" s="32" t="s">
        <v>479</v>
      </c>
      <c r="C215" s="16">
        <v>176.1</v>
      </c>
      <c r="D215" s="29">
        <v>219.6</v>
      </c>
      <c r="E215" s="29">
        <v>252.9</v>
      </c>
      <c r="F215" s="16">
        <v>43.5</v>
      </c>
      <c r="G215" s="29">
        <v>33.299999999999997</v>
      </c>
      <c r="H215" s="30">
        <v>2.2000000000000002</v>
      </c>
      <c r="I215" s="29">
        <v>1.4</v>
      </c>
      <c r="J215" s="29">
        <v>32.4</v>
      </c>
      <c r="K215" s="29">
        <v>39.200000000000003</v>
      </c>
      <c r="L215" s="29">
        <v>48.9</v>
      </c>
      <c r="M215" s="29">
        <v>1.9</v>
      </c>
      <c r="N215" s="29">
        <v>2.2000000000000002</v>
      </c>
      <c r="O215" s="6"/>
      <c r="P215" s="31"/>
      <c r="Q215" s="31"/>
      <c r="R215" s="31"/>
    </row>
    <row r="216" spans="1:18" x14ac:dyDescent="0.25">
      <c r="A216" s="33" t="s">
        <v>480</v>
      </c>
      <c r="B216" s="32" t="s">
        <v>481</v>
      </c>
      <c r="C216" s="16">
        <v>70.2</v>
      </c>
      <c r="D216" s="29">
        <v>78.599999999999994</v>
      </c>
      <c r="E216" s="29">
        <v>66.5</v>
      </c>
      <c r="F216" s="16">
        <v>8.3999999999999915</v>
      </c>
      <c r="G216" s="29">
        <v>-12.1</v>
      </c>
      <c r="H216" s="30">
        <v>1.1000000000000001</v>
      </c>
      <c r="I216" s="29">
        <v>-1.7</v>
      </c>
      <c r="J216" s="29">
        <v>21.5</v>
      </c>
      <c r="K216" s="29">
        <v>19.7</v>
      </c>
      <c r="L216" s="29">
        <v>24.8</v>
      </c>
      <c r="M216" s="29">
        <v>-0.9</v>
      </c>
      <c r="N216" s="29">
        <v>2.2999999999999998</v>
      </c>
      <c r="O216" s="6"/>
      <c r="P216" s="31"/>
      <c r="Q216" s="31"/>
      <c r="R216" s="31"/>
    </row>
    <row r="217" spans="1:18" x14ac:dyDescent="0.25">
      <c r="A217" s="33" t="s">
        <v>482</v>
      </c>
      <c r="B217" s="32" t="s">
        <v>483</v>
      </c>
      <c r="C217" s="16">
        <v>1280.5999999999999</v>
      </c>
      <c r="D217" s="29">
        <v>1525.2</v>
      </c>
      <c r="E217" s="29">
        <v>1640</v>
      </c>
      <c r="F217" s="16">
        <v>244.60000000000014</v>
      </c>
      <c r="G217" s="29">
        <v>114.8</v>
      </c>
      <c r="H217" s="30">
        <v>1.8</v>
      </c>
      <c r="I217" s="29">
        <v>0.7</v>
      </c>
      <c r="J217" s="29">
        <v>162.30000000000001</v>
      </c>
      <c r="K217" s="29">
        <v>193</v>
      </c>
      <c r="L217" s="29">
        <v>231.9</v>
      </c>
      <c r="M217" s="29">
        <v>1.7</v>
      </c>
      <c r="N217" s="29">
        <v>1.9</v>
      </c>
      <c r="O217" s="6"/>
      <c r="P217" s="31"/>
      <c r="Q217" s="31"/>
      <c r="R217" s="31"/>
    </row>
    <row r="218" spans="1:18" x14ac:dyDescent="0.25">
      <c r="A218" s="33" t="s">
        <v>484</v>
      </c>
      <c r="B218" s="32" t="s">
        <v>485</v>
      </c>
      <c r="C218" s="16">
        <v>604.5</v>
      </c>
      <c r="D218" s="29">
        <v>737.6</v>
      </c>
      <c r="E218" s="29">
        <v>778.5</v>
      </c>
      <c r="F218" s="16">
        <v>133.10000000000002</v>
      </c>
      <c r="G218" s="29">
        <v>40.9</v>
      </c>
      <c r="H218" s="30">
        <v>2</v>
      </c>
      <c r="I218" s="29">
        <v>0.5</v>
      </c>
      <c r="J218" s="29">
        <v>63.7</v>
      </c>
      <c r="K218" s="29">
        <v>79.8</v>
      </c>
      <c r="L218" s="29">
        <v>99.5</v>
      </c>
      <c r="M218" s="29">
        <v>2.2999999999999998</v>
      </c>
      <c r="N218" s="29">
        <v>2.2000000000000002</v>
      </c>
      <c r="O218" s="6"/>
      <c r="P218" s="31"/>
      <c r="Q218" s="31"/>
      <c r="R218" s="31"/>
    </row>
    <row r="219" spans="1:18" x14ac:dyDescent="0.25">
      <c r="A219" s="33" t="s">
        <v>486</v>
      </c>
      <c r="B219" s="32" t="s">
        <v>487</v>
      </c>
      <c r="C219" s="16">
        <v>133.4</v>
      </c>
      <c r="D219" s="29">
        <v>136.69999999999999</v>
      </c>
      <c r="E219" s="29">
        <v>129.5</v>
      </c>
      <c r="F219" s="16">
        <v>3.2999999999999829</v>
      </c>
      <c r="G219" s="29">
        <v>-7.2</v>
      </c>
      <c r="H219" s="30">
        <v>0.2</v>
      </c>
      <c r="I219" s="29">
        <v>-0.5</v>
      </c>
      <c r="J219" s="29">
        <v>19.3</v>
      </c>
      <c r="K219" s="29">
        <v>23.1</v>
      </c>
      <c r="L219" s="29">
        <v>24.3</v>
      </c>
      <c r="M219" s="29">
        <v>1.8</v>
      </c>
      <c r="N219" s="29">
        <v>0.5</v>
      </c>
      <c r="O219" s="6"/>
      <c r="P219" s="31"/>
      <c r="Q219" s="31"/>
      <c r="R219" s="31"/>
    </row>
    <row r="220" spans="1:18" x14ac:dyDescent="0.25">
      <c r="A220" s="33" t="s">
        <v>488</v>
      </c>
      <c r="B220" s="32" t="s">
        <v>489</v>
      </c>
      <c r="C220" s="16">
        <v>311.10000000000002</v>
      </c>
      <c r="D220" s="29">
        <v>293.60000000000002</v>
      </c>
      <c r="E220" s="29">
        <v>277.7</v>
      </c>
      <c r="F220" s="16">
        <v>-17.5</v>
      </c>
      <c r="G220" s="29">
        <v>-15.9</v>
      </c>
      <c r="H220" s="30">
        <v>-0.6</v>
      </c>
      <c r="I220" s="29">
        <v>-0.6</v>
      </c>
      <c r="J220" s="29">
        <v>26.3</v>
      </c>
      <c r="K220" s="29">
        <v>28.6</v>
      </c>
      <c r="L220" s="29">
        <v>31.7</v>
      </c>
      <c r="M220" s="29">
        <v>0.8</v>
      </c>
      <c r="N220" s="29">
        <v>1</v>
      </c>
      <c r="O220" s="6"/>
      <c r="P220" s="31"/>
      <c r="Q220" s="31"/>
      <c r="R220" s="31"/>
    </row>
    <row r="221" spans="1:18" x14ac:dyDescent="0.25">
      <c r="A221" s="33" t="s">
        <v>490</v>
      </c>
      <c r="B221" s="32" t="s">
        <v>491</v>
      </c>
      <c r="C221" s="16">
        <v>231.6</v>
      </c>
      <c r="D221" s="29">
        <v>357.3</v>
      </c>
      <c r="E221" s="29">
        <v>454.4</v>
      </c>
      <c r="F221" s="16">
        <v>125.70000000000002</v>
      </c>
      <c r="G221" s="29">
        <v>97.1</v>
      </c>
      <c r="H221" s="30">
        <v>4.4000000000000004</v>
      </c>
      <c r="I221" s="29">
        <v>2.4</v>
      </c>
      <c r="J221" s="29">
        <v>52.9</v>
      </c>
      <c r="K221" s="29">
        <v>61.6</v>
      </c>
      <c r="L221" s="29">
        <v>76.5</v>
      </c>
      <c r="M221" s="29">
        <v>1.5</v>
      </c>
      <c r="N221" s="29">
        <v>2.2000000000000002</v>
      </c>
      <c r="O221" s="6"/>
      <c r="P221" s="31"/>
      <c r="Q221" s="31"/>
      <c r="R221" s="31"/>
    </row>
    <row r="222" spans="1:18" ht="25.5" x14ac:dyDescent="0.25">
      <c r="A222" s="32" t="s">
        <v>492</v>
      </c>
      <c r="B222" s="32" t="s">
        <v>62</v>
      </c>
      <c r="C222" s="16">
        <v>2936</v>
      </c>
      <c r="D222" s="29">
        <v>3015.6</v>
      </c>
      <c r="E222" s="29">
        <v>3142.1</v>
      </c>
      <c r="F222" s="16">
        <v>79.599999999999909</v>
      </c>
      <c r="G222" s="29">
        <v>126.5</v>
      </c>
      <c r="H222" s="30">
        <v>0.3</v>
      </c>
      <c r="I222" s="29">
        <v>0.4</v>
      </c>
      <c r="J222" s="29">
        <v>200.5</v>
      </c>
      <c r="K222" s="29">
        <v>224.2</v>
      </c>
      <c r="L222" s="29">
        <v>267</v>
      </c>
      <c r="M222" s="29">
        <v>1.1000000000000001</v>
      </c>
      <c r="N222" s="29">
        <v>1.8</v>
      </c>
      <c r="O222" s="6"/>
      <c r="P222" s="31"/>
      <c r="Q222" s="31"/>
      <c r="R222" s="31"/>
    </row>
    <row r="223" spans="1:18" x14ac:dyDescent="0.25">
      <c r="A223" s="33" t="s">
        <v>493</v>
      </c>
      <c r="B223" s="32" t="s">
        <v>494</v>
      </c>
      <c r="C223" s="16">
        <v>1690.5</v>
      </c>
      <c r="D223" s="29">
        <v>1728.5</v>
      </c>
      <c r="E223" s="29">
        <v>1731.4</v>
      </c>
      <c r="F223" s="16">
        <v>38</v>
      </c>
      <c r="G223" s="29">
        <v>2.9</v>
      </c>
      <c r="H223" s="30">
        <v>0.2</v>
      </c>
      <c r="I223" s="29">
        <v>0</v>
      </c>
      <c r="J223" s="29">
        <v>85.7</v>
      </c>
      <c r="K223" s="29">
        <v>89.7</v>
      </c>
      <c r="L223" s="29">
        <v>102.2</v>
      </c>
      <c r="M223" s="29">
        <v>0.5</v>
      </c>
      <c r="N223" s="29">
        <v>1.3</v>
      </c>
      <c r="O223" s="6"/>
      <c r="P223" s="31"/>
      <c r="Q223" s="31"/>
      <c r="R223" s="31"/>
    </row>
    <row r="224" spans="1:18" ht="25.5" x14ac:dyDescent="0.25">
      <c r="A224" s="33" t="s">
        <v>495</v>
      </c>
      <c r="B224" s="32" t="s">
        <v>496</v>
      </c>
      <c r="C224" s="16">
        <v>363.1</v>
      </c>
      <c r="D224" s="29">
        <v>418.8</v>
      </c>
      <c r="E224" s="29">
        <v>518.20000000000005</v>
      </c>
      <c r="F224" s="16">
        <v>55.699999999999989</v>
      </c>
      <c r="G224" s="29">
        <v>99.4</v>
      </c>
      <c r="H224" s="30">
        <v>1.4</v>
      </c>
      <c r="I224" s="29">
        <v>2.2000000000000002</v>
      </c>
      <c r="J224" s="29">
        <v>44</v>
      </c>
      <c r="K224" s="29">
        <v>48.9</v>
      </c>
      <c r="L224" s="29">
        <v>60.2</v>
      </c>
      <c r="M224" s="29">
        <v>1.1000000000000001</v>
      </c>
      <c r="N224" s="29">
        <v>2.1</v>
      </c>
      <c r="O224" s="6"/>
      <c r="P224" s="31"/>
      <c r="Q224" s="31"/>
      <c r="R224" s="31"/>
    </row>
    <row r="225" spans="1:18" x14ac:dyDescent="0.25">
      <c r="A225" s="32" t="s">
        <v>497</v>
      </c>
      <c r="B225" s="32" t="s">
        <v>498</v>
      </c>
      <c r="C225" s="16">
        <v>882.4</v>
      </c>
      <c r="D225" s="29">
        <v>868.3</v>
      </c>
      <c r="E225" s="29">
        <v>892.5</v>
      </c>
      <c r="F225" s="16">
        <v>-14.100000000000023</v>
      </c>
      <c r="G225" s="29">
        <v>24.2</v>
      </c>
      <c r="H225" s="30">
        <v>-0.2</v>
      </c>
      <c r="I225" s="29">
        <v>0.3</v>
      </c>
      <c r="J225" s="29">
        <v>70.900000000000006</v>
      </c>
      <c r="K225" s="29">
        <v>85.6</v>
      </c>
      <c r="L225" s="29">
        <v>104.4</v>
      </c>
      <c r="M225" s="29">
        <v>1.9</v>
      </c>
      <c r="N225" s="29">
        <v>2</v>
      </c>
      <c r="O225" s="6"/>
      <c r="P225" s="31"/>
      <c r="Q225" s="31"/>
      <c r="R225" s="31"/>
    </row>
    <row r="226" spans="1:18" x14ac:dyDescent="0.25">
      <c r="A226" s="20" t="s">
        <v>499</v>
      </c>
      <c r="B226" s="32" t="s">
        <v>500</v>
      </c>
      <c r="C226" s="16">
        <v>783</v>
      </c>
      <c r="D226" s="36">
        <v>820.8</v>
      </c>
      <c r="E226" s="36">
        <v>792.4</v>
      </c>
      <c r="F226" s="16">
        <v>37.799999999999955</v>
      </c>
      <c r="G226" s="37">
        <v>-28.3</v>
      </c>
      <c r="H226" s="30">
        <v>0.5</v>
      </c>
      <c r="I226" s="37">
        <v>-0.4</v>
      </c>
      <c r="J226" s="36">
        <v>17.3</v>
      </c>
      <c r="K226" s="36">
        <v>18.7</v>
      </c>
      <c r="L226" s="36">
        <v>22.1</v>
      </c>
      <c r="M226" s="37">
        <v>0.8</v>
      </c>
      <c r="N226" s="37">
        <v>1.7</v>
      </c>
      <c r="O226" t="s">
        <v>33</v>
      </c>
      <c r="P226" s="31"/>
      <c r="Q226" s="31"/>
      <c r="R226" s="31"/>
    </row>
    <row r="227" spans="1:18" x14ac:dyDescent="0.25">
      <c r="A227" s="33" t="s">
        <v>60</v>
      </c>
      <c r="B227" s="32" t="s">
        <v>60</v>
      </c>
      <c r="C227" s="16" t="s">
        <v>323</v>
      </c>
      <c r="D227" s="29" t="s">
        <v>323</v>
      </c>
      <c r="E227" s="29" t="s">
        <v>323</v>
      </c>
      <c r="F227" s="29" t="s">
        <v>323</v>
      </c>
      <c r="G227" s="29" t="s">
        <v>323</v>
      </c>
      <c r="H227" s="29" t="s">
        <v>323</v>
      </c>
      <c r="I227" s="29" t="s">
        <v>323</v>
      </c>
      <c r="J227" s="29" t="s">
        <v>323</v>
      </c>
      <c r="K227" s="29" t="s">
        <v>323</v>
      </c>
      <c r="L227" s="29" t="s">
        <v>323</v>
      </c>
      <c r="M227" s="29" t="s">
        <v>323</v>
      </c>
      <c r="N227" s="29" t="s">
        <v>501</v>
      </c>
      <c r="P227" s="31"/>
      <c r="Q227" s="31"/>
      <c r="R227" s="31"/>
    </row>
    <row r="228" spans="1:18" x14ac:dyDescent="0.25">
      <c r="A228" s="33" t="s">
        <v>502</v>
      </c>
      <c r="B228" s="32" t="s">
        <v>62</v>
      </c>
      <c r="C228" s="16">
        <v>2832</v>
      </c>
      <c r="D228" s="36">
        <v>2834</v>
      </c>
      <c r="E228" s="36">
        <v>2650.4</v>
      </c>
      <c r="F228" s="16">
        <v>2</v>
      </c>
      <c r="G228" s="37">
        <v>-183.6</v>
      </c>
      <c r="H228" s="30">
        <v>0</v>
      </c>
      <c r="I228" s="37">
        <v>-0.7</v>
      </c>
      <c r="J228" s="36">
        <v>1125.7</v>
      </c>
      <c r="K228" s="36">
        <v>1118.8</v>
      </c>
      <c r="L228" s="36">
        <v>1112.4000000000001</v>
      </c>
      <c r="M228" s="37">
        <v>-0.1</v>
      </c>
      <c r="N228" s="37">
        <v>-0.1</v>
      </c>
      <c r="O228" t="s">
        <v>29</v>
      </c>
      <c r="P228" s="31"/>
      <c r="Q228" s="31"/>
      <c r="R228" s="31"/>
    </row>
    <row r="229" spans="1:18" ht="30" customHeight="1" x14ac:dyDescent="0.25">
      <c r="A229" s="33" t="s">
        <v>299</v>
      </c>
      <c r="B229" s="32" t="s">
        <v>300</v>
      </c>
      <c r="C229" s="16">
        <v>703.4</v>
      </c>
      <c r="D229" s="36">
        <v>607.29999999999995</v>
      </c>
      <c r="E229" s="36">
        <v>519.1</v>
      </c>
      <c r="F229" s="16">
        <v>-96.100000000000023</v>
      </c>
      <c r="G229" s="37">
        <v>-88.2</v>
      </c>
      <c r="H229" s="30">
        <v>-1.5</v>
      </c>
      <c r="I229" s="37">
        <v>-1.6</v>
      </c>
      <c r="J229" s="36">
        <v>73.5</v>
      </c>
      <c r="K229" s="36">
        <v>53.5</v>
      </c>
      <c r="L229" s="36">
        <v>49.3</v>
      </c>
      <c r="M229" s="37">
        <v>-3.1</v>
      </c>
      <c r="N229" s="37">
        <v>-0.8</v>
      </c>
      <c r="O229" s="9"/>
      <c r="P229" s="31"/>
      <c r="Q229" s="31"/>
      <c r="R229" s="31"/>
    </row>
    <row r="230" spans="1:18" x14ac:dyDescent="0.25">
      <c r="A230" s="38" t="s">
        <v>503</v>
      </c>
      <c r="B230" s="32" t="s">
        <v>62</v>
      </c>
      <c r="C230" s="16">
        <v>23</v>
      </c>
      <c r="D230" s="36">
        <v>14.9</v>
      </c>
      <c r="E230" s="36">
        <v>10.1</v>
      </c>
      <c r="F230" s="16">
        <v>-8.1</v>
      </c>
      <c r="G230" s="37">
        <v>-4.8</v>
      </c>
      <c r="H230" s="30">
        <v>-4.2</v>
      </c>
      <c r="I230" s="37">
        <v>-3.8</v>
      </c>
      <c r="J230" s="36">
        <v>12.3</v>
      </c>
      <c r="K230" s="36">
        <v>16.3</v>
      </c>
      <c r="L230" s="36">
        <v>19.399999999999999</v>
      </c>
      <c r="M230" s="37">
        <v>2.9</v>
      </c>
      <c r="N230" s="37">
        <v>1.7</v>
      </c>
      <c r="O230" s="9"/>
      <c r="P230" s="31"/>
      <c r="Q230" s="31"/>
      <c r="R230" s="31"/>
    </row>
    <row r="231" spans="1:18" ht="25.5" x14ac:dyDescent="0.25">
      <c r="A231" s="38" t="s">
        <v>504</v>
      </c>
      <c r="B231" s="32" t="s">
        <v>62</v>
      </c>
      <c r="C231" s="16">
        <v>85.6</v>
      </c>
      <c r="D231" s="36">
        <v>70.8</v>
      </c>
      <c r="E231" s="36">
        <v>73.400000000000006</v>
      </c>
      <c r="F231" s="16">
        <v>-14.799999999999997</v>
      </c>
      <c r="G231" s="37">
        <v>2.6</v>
      </c>
      <c r="H231" s="30">
        <v>-1.9</v>
      </c>
      <c r="I231" s="37">
        <v>0.4</v>
      </c>
      <c r="J231" s="36">
        <v>19</v>
      </c>
      <c r="K231" s="36">
        <v>20.9</v>
      </c>
      <c r="L231" s="36">
        <v>25.2</v>
      </c>
      <c r="M231" s="37">
        <v>1</v>
      </c>
      <c r="N231" s="37">
        <v>1.9</v>
      </c>
      <c r="O231" s="9"/>
      <c r="P231" s="31"/>
      <c r="Q231" s="31"/>
      <c r="R231" s="31"/>
    </row>
    <row r="232" spans="1:18" x14ac:dyDescent="0.25">
      <c r="A232" s="33" t="s">
        <v>505</v>
      </c>
      <c r="B232" s="32" t="s">
        <v>62</v>
      </c>
      <c r="C232" s="16">
        <v>518.70000000000005</v>
      </c>
      <c r="D232" s="29">
        <v>543</v>
      </c>
      <c r="E232" s="29">
        <v>530.5</v>
      </c>
      <c r="F232" s="16">
        <v>24.299999999999955</v>
      </c>
      <c r="G232" s="29">
        <v>-12.5</v>
      </c>
      <c r="H232" s="30">
        <v>0.5</v>
      </c>
      <c r="I232" s="29">
        <v>-0.2</v>
      </c>
      <c r="J232" s="29">
        <v>242.6</v>
      </c>
      <c r="K232" s="29">
        <v>234</v>
      </c>
      <c r="L232" s="29">
        <v>227.1</v>
      </c>
      <c r="M232" s="29">
        <v>-0.4</v>
      </c>
      <c r="N232" s="29">
        <v>-0.3</v>
      </c>
      <c r="O232" s="9"/>
      <c r="P232" s="31"/>
      <c r="Q232" s="31"/>
      <c r="R232" s="31"/>
    </row>
    <row r="233" spans="1:18" x14ac:dyDescent="0.25">
      <c r="A233" s="33" t="s">
        <v>506</v>
      </c>
      <c r="B233" s="32" t="s">
        <v>62</v>
      </c>
      <c r="C233" s="16">
        <v>0</v>
      </c>
      <c r="D233" s="29">
        <v>0</v>
      </c>
      <c r="E233" s="29">
        <v>0</v>
      </c>
      <c r="F233" s="16">
        <v>0</v>
      </c>
      <c r="G233" s="29">
        <v>0</v>
      </c>
      <c r="H233" s="30">
        <v>0</v>
      </c>
      <c r="I233" s="29">
        <v>0</v>
      </c>
      <c r="J233" s="29">
        <v>150.9</v>
      </c>
      <c r="K233" s="29">
        <v>152</v>
      </c>
      <c r="L233" s="29">
        <v>147.5</v>
      </c>
      <c r="M233" s="29">
        <v>0.1</v>
      </c>
      <c r="N233" s="29">
        <v>-0.3</v>
      </c>
      <c r="O233" s="9"/>
      <c r="P233" s="31"/>
      <c r="Q233" s="31"/>
      <c r="R233" s="31"/>
    </row>
    <row r="234" spans="1:18" ht="25.5" x14ac:dyDescent="0.25">
      <c r="A234" s="33" t="s">
        <v>507</v>
      </c>
      <c r="B234" s="32" t="s">
        <v>62</v>
      </c>
      <c r="C234" s="16">
        <v>0</v>
      </c>
      <c r="D234" s="29">
        <v>0</v>
      </c>
      <c r="E234" s="29">
        <v>0</v>
      </c>
      <c r="F234" s="16">
        <v>0</v>
      </c>
      <c r="G234" s="29">
        <v>0</v>
      </c>
      <c r="H234" s="30">
        <v>0</v>
      </c>
      <c r="I234" s="29">
        <v>0</v>
      </c>
      <c r="J234" s="29">
        <v>273.2</v>
      </c>
      <c r="K234" s="29">
        <v>247.3</v>
      </c>
      <c r="L234" s="29">
        <v>246</v>
      </c>
      <c r="M234" s="29">
        <v>-1</v>
      </c>
      <c r="N234" s="29">
        <v>-0.1</v>
      </c>
      <c r="O234" s="9"/>
      <c r="P234" s="31"/>
      <c r="Q234" s="31"/>
      <c r="R234" s="31"/>
    </row>
    <row r="235" spans="1:18" ht="25.5" x14ac:dyDescent="0.25">
      <c r="A235" s="33" t="s">
        <v>508</v>
      </c>
      <c r="B235" s="32" t="s">
        <v>62</v>
      </c>
      <c r="C235" s="16">
        <v>1501.3</v>
      </c>
      <c r="D235" s="29">
        <v>1598</v>
      </c>
      <c r="E235" s="29">
        <v>1517.3</v>
      </c>
      <c r="F235" s="16">
        <v>96.700000000000045</v>
      </c>
      <c r="G235" s="29">
        <v>-80.8</v>
      </c>
      <c r="H235" s="30">
        <v>0.6</v>
      </c>
      <c r="I235" s="29">
        <v>-0.5</v>
      </c>
      <c r="J235" s="29">
        <v>155.4</v>
      </c>
      <c r="K235" s="29">
        <v>158.80000000000001</v>
      </c>
      <c r="L235" s="29">
        <v>157.5</v>
      </c>
      <c r="M235" s="29">
        <v>0.2</v>
      </c>
      <c r="N235" s="29">
        <v>-0.1</v>
      </c>
      <c r="O235" s="9"/>
      <c r="P235" s="31"/>
      <c r="Q235" s="31"/>
      <c r="R235" s="31"/>
    </row>
    <row r="236" spans="1:18" ht="25.5" x14ac:dyDescent="0.25">
      <c r="A236" s="33" t="s">
        <v>509</v>
      </c>
      <c r="B236" s="32" t="s">
        <v>62</v>
      </c>
      <c r="C236" s="16">
        <v>0</v>
      </c>
      <c r="D236" s="29">
        <v>0</v>
      </c>
      <c r="E236" s="29">
        <v>0</v>
      </c>
      <c r="F236" s="16">
        <v>0</v>
      </c>
      <c r="G236" s="29">
        <v>0</v>
      </c>
      <c r="H236" s="30">
        <v>0</v>
      </c>
      <c r="I236" s="29">
        <v>0</v>
      </c>
      <c r="J236" s="29">
        <v>87.7</v>
      </c>
      <c r="K236" s="29">
        <v>108.5</v>
      </c>
      <c r="L236" s="29">
        <v>107.6</v>
      </c>
      <c r="M236" s="29">
        <v>2.2000000000000002</v>
      </c>
      <c r="N236" s="29">
        <v>-0.1</v>
      </c>
      <c r="O236" s="9"/>
      <c r="P236" s="31"/>
      <c r="Q236" s="31"/>
      <c r="R236" s="31"/>
    </row>
    <row r="237" spans="1:18" ht="25.5" x14ac:dyDescent="0.25">
      <c r="A237" s="39" t="s">
        <v>510</v>
      </c>
      <c r="B237" s="32" t="s">
        <v>62</v>
      </c>
      <c r="C237" s="16">
        <v>0</v>
      </c>
      <c r="D237" s="29">
        <v>0</v>
      </c>
      <c r="E237" s="29">
        <v>0</v>
      </c>
      <c r="F237" s="16">
        <v>0</v>
      </c>
      <c r="G237" s="29">
        <v>0</v>
      </c>
      <c r="H237" s="30">
        <v>0</v>
      </c>
      <c r="I237" s="29">
        <v>0</v>
      </c>
      <c r="J237" s="29">
        <v>111.4</v>
      </c>
      <c r="K237" s="29">
        <v>128</v>
      </c>
      <c r="L237" s="29">
        <v>133.6</v>
      </c>
      <c r="M237" s="29">
        <v>1.4</v>
      </c>
      <c r="N237" s="29">
        <v>0.4</v>
      </c>
      <c r="O237" s="9"/>
      <c r="P237" s="31"/>
      <c r="Q237" s="31"/>
      <c r="R237" s="31"/>
    </row>
    <row r="238" spans="1:18" x14ac:dyDescent="0.25">
      <c r="A238" s="33" t="s">
        <v>511</v>
      </c>
      <c r="B238" s="32" t="s">
        <v>62</v>
      </c>
      <c r="C238" s="16">
        <v>2020</v>
      </c>
      <c r="D238" s="29">
        <v>2141</v>
      </c>
      <c r="E238" s="29">
        <v>2047.8</v>
      </c>
      <c r="F238" s="16">
        <v>121</v>
      </c>
      <c r="G238" s="29">
        <v>-93.2</v>
      </c>
      <c r="H238" s="30">
        <v>0.6</v>
      </c>
      <c r="I238" s="29">
        <v>-0.4</v>
      </c>
      <c r="J238" s="29">
        <v>1021.2</v>
      </c>
      <c r="K238" s="29">
        <v>1028.5999999999999</v>
      </c>
      <c r="L238" s="29">
        <v>1019.2</v>
      </c>
      <c r="M238" s="29">
        <v>0.1</v>
      </c>
      <c r="N238" s="29">
        <v>-0.1</v>
      </c>
      <c r="O238" s="9"/>
      <c r="P238" s="31"/>
      <c r="Q238" s="31"/>
      <c r="R238" s="31"/>
    </row>
    <row r="239" spans="1:18" x14ac:dyDescent="0.25">
      <c r="A239" s="20" t="s">
        <v>512</v>
      </c>
      <c r="B239" s="32" t="s">
        <v>62</v>
      </c>
      <c r="C239" s="16">
        <v>19722.7</v>
      </c>
      <c r="D239" s="29">
        <v>19759.400000000001</v>
      </c>
      <c r="E239" s="29">
        <v>20080</v>
      </c>
      <c r="F239" s="16">
        <v>36.700000000000728</v>
      </c>
      <c r="G239" s="29">
        <v>320.60000000000002</v>
      </c>
      <c r="H239" s="30">
        <v>0</v>
      </c>
      <c r="I239" s="29">
        <v>0.2</v>
      </c>
      <c r="J239" s="29">
        <v>2333.5</v>
      </c>
      <c r="K239" s="29">
        <v>2475.1</v>
      </c>
      <c r="L239" s="29">
        <v>2754.4</v>
      </c>
      <c r="M239" s="29">
        <v>0.6</v>
      </c>
      <c r="N239" s="29">
        <v>1.1000000000000001</v>
      </c>
      <c r="O239" t="s">
        <v>29</v>
      </c>
      <c r="P239" s="31"/>
      <c r="Q239" s="31"/>
      <c r="R239" s="31"/>
    </row>
    <row r="240" spans="1:18" x14ac:dyDescent="0.25">
      <c r="A240" s="33" t="s">
        <v>513</v>
      </c>
      <c r="B240" s="32" t="s">
        <v>62</v>
      </c>
      <c r="C240" s="16">
        <v>269.3</v>
      </c>
      <c r="D240" s="29">
        <v>288.7</v>
      </c>
      <c r="E240" s="29">
        <v>307.39999999999998</v>
      </c>
      <c r="F240" s="16">
        <v>19.399999999999977</v>
      </c>
      <c r="G240" s="29">
        <v>18.7</v>
      </c>
      <c r="H240" s="30">
        <v>0.7</v>
      </c>
      <c r="I240" s="29">
        <v>0.6</v>
      </c>
      <c r="J240" s="29">
        <v>14.8</v>
      </c>
      <c r="K240" s="29">
        <v>15.5</v>
      </c>
      <c r="L240" s="29">
        <v>18.8</v>
      </c>
      <c r="M240" s="29">
        <v>0.4</v>
      </c>
      <c r="N240" s="29">
        <v>2</v>
      </c>
      <c r="O240" s="9"/>
      <c r="P240" s="31"/>
      <c r="Q240" s="31"/>
      <c r="R240" s="31"/>
    </row>
    <row r="241" spans="1:18" x14ac:dyDescent="0.25">
      <c r="A241" s="33" t="s">
        <v>514</v>
      </c>
      <c r="B241" s="32" t="s">
        <v>62</v>
      </c>
      <c r="C241" s="16">
        <v>1346.1</v>
      </c>
      <c r="D241" s="29">
        <v>1346.9</v>
      </c>
      <c r="E241" s="29">
        <v>1368.5</v>
      </c>
      <c r="F241" s="16">
        <v>0.8000000000001819</v>
      </c>
      <c r="G241" s="29">
        <v>21.6</v>
      </c>
      <c r="H241" s="30">
        <v>0</v>
      </c>
      <c r="I241" s="29">
        <v>0.2</v>
      </c>
      <c r="J241" s="29">
        <v>177.3</v>
      </c>
      <c r="K241" s="29">
        <v>197.8</v>
      </c>
      <c r="L241" s="29">
        <v>233.6</v>
      </c>
      <c r="M241" s="29">
        <v>1.1000000000000001</v>
      </c>
      <c r="N241" s="29">
        <v>1.7</v>
      </c>
      <c r="O241" s="9"/>
      <c r="P241" s="31"/>
      <c r="Q241" s="31"/>
      <c r="R241" s="31"/>
    </row>
    <row r="242" spans="1:18" x14ac:dyDescent="0.25">
      <c r="A242" s="33" t="s">
        <v>515</v>
      </c>
      <c r="B242" s="32" t="s">
        <v>62</v>
      </c>
      <c r="C242" s="16">
        <v>660.6</v>
      </c>
      <c r="D242" s="29">
        <v>683.6</v>
      </c>
      <c r="E242" s="29">
        <v>714</v>
      </c>
      <c r="F242" s="16">
        <v>23</v>
      </c>
      <c r="G242" s="29">
        <v>30.4</v>
      </c>
      <c r="H242" s="30">
        <v>0.3</v>
      </c>
      <c r="I242" s="29">
        <v>0.4</v>
      </c>
      <c r="J242" s="29">
        <v>64</v>
      </c>
      <c r="K242" s="29">
        <v>65.7</v>
      </c>
      <c r="L242" s="29">
        <v>70</v>
      </c>
      <c r="M242" s="29">
        <v>0.3</v>
      </c>
      <c r="N242" s="29">
        <v>0.6</v>
      </c>
      <c r="O242" s="9"/>
      <c r="P242" s="31"/>
      <c r="Q242" s="31"/>
      <c r="R242" s="31"/>
    </row>
    <row r="243" spans="1:18" x14ac:dyDescent="0.25">
      <c r="A243" s="33" t="s">
        <v>516</v>
      </c>
      <c r="B243" s="32" t="s">
        <v>62</v>
      </c>
      <c r="C243" s="16">
        <v>8078.8</v>
      </c>
      <c r="D243" s="29">
        <v>8009.7</v>
      </c>
      <c r="E243" s="29">
        <v>8032.6</v>
      </c>
      <c r="F243" s="16">
        <v>-69.100000000000364</v>
      </c>
      <c r="G243" s="29">
        <v>22.9</v>
      </c>
      <c r="H243" s="30">
        <v>-0.1</v>
      </c>
      <c r="I243" s="29">
        <v>0</v>
      </c>
      <c r="J243" s="29">
        <v>436.6</v>
      </c>
      <c r="K243" s="29">
        <v>419.7</v>
      </c>
      <c r="L243" s="29">
        <v>447.1</v>
      </c>
      <c r="M243" s="29">
        <v>-0.4</v>
      </c>
      <c r="N243" s="29">
        <v>0.6</v>
      </c>
      <c r="O243" s="9"/>
      <c r="P243" s="31"/>
      <c r="Q243" s="31"/>
      <c r="R243" s="31"/>
    </row>
    <row r="244" spans="1:18" ht="25.5" x14ac:dyDescent="0.25">
      <c r="A244" s="33" t="s">
        <v>517</v>
      </c>
      <c r="B244" s="32" t="s">
        <v>62</v>
      </c>
      <c r="C244" s="16">
        <v>4198.8999999999996</v>
      </c>
      <c r="D244" s="29">
        <v>4254.3999999999996</v>
      </c>
      <c r="E244" s="29">
        <v>4462.6000000000004</v>
      </c>
      <c r="F244" s="16">
        <v>55.5</v>
      </c>
      <c r="G244" s="29">
        <v>208.2</v>
      </c>
      <c r="H244" s="30">
        <v>0.1</v>
      </c>
      <c r="I244" s="29">
        <v>0.5</v>
      </c>
      <c r="J244" s="29">
        <v>344.1</v>
      </c>
      <c r="K244" s="29">
        <v>347.1</v>
      </c>
      <c r="L244" s="29">
        <v>369.8</v>
      </c>
      <c r="M244" s="29">
        <v>0.1</v>
      </c>
      <c r="N244" s="29">
        <v>0.6</v>
      </c>
      <c r="O244" s="9"/>
      <c r="P244" s="31"/>
      <c r="Q244" s="31"/>
      <c r="R244" s="31"/>
    </row>
    <row r="245" spans="1:18" x14ac:dyDescent="0.25">
      <c r="A245" s="33" t="s">
        <v>518</v>
      </c>
      <c r="B245" s="32" t="s">
        <v>62</v>
      </c>
      <c r="C245" s="16">
        <v>530.9</v>
      </c>
      <c r="D245" s="29">
        <v>480.9</v>
      </c>
      <c r="E245" s="29">
        <v>464.5</v>
      </c>
      <c r="F245" s="16">
        <v>-50</v>
      </c>
      <c r="G245" s="29">
        <v>-16.399999999999999</v>
      </c>
      <c r="H245" s="30">
        <v>-1</v>
      </c>
      <c r="I245" s="29">
        <v>-0.3</v>
      </c>
      <c r="J245" s="29">
        <v>87.4</v>
      </c>
      <c r="K245" s="29">
        <v>96.4</v>
      </c>
      <c r="L245" s="29">
        <v>113.8</v>
      </c>
      <c r="M245" s="29">
        <v>1</v>
      </c>
      <c r="N245" s="29">
        <v>1.7</v>
      </c>
      <c r="O245" s="9"/>
      <c r="P245" s="31"/>
      <c r="Q245" s="31"/>
      <c r="R245" s="31"/>
    </row>
    <row r="246" spans="1:18" x14ac:dyDescent="0.25">
      <c r="A246" s="33" t="s">
        <v>519</v>
      </c>
      <c r="B246" s="32" t="s">
        <v>62</v>
      </c>
      <c r="C246" s="16">
        <v>358.8</v>
      </c>
      <c r="D246" s="29">
        <v>386.5</v>
      </c>
      <c r="E246" s="29">
        <v>406.6</v>
      </c>
      <c r="F246" s="16">
        <v>27.699999999999989</v>
      </c>
      <c r="G246" s="29">
        <v>20.100000000000001</v>
      </c>
      <c r="H246" s="30">
        <v>0.7</v>
      </c>
      <c r="I246" s="29">
        <v>0.5</v>
      </c>
      <c r="J246" s="29">
        <v>44</v>
      </c>
      <c r="K246" s="29">
        <v>39.200000000000003</v>
      </c>
      <c r="L246" s="29">
        <v>41.7</v>
      </c>
      <c r="M246" s="29">
        <v>-1.2</v>
      </c>
      <c r="N246" s="29">
        <v>0.6</v>
      </c>
      <c r="O246" s="9"/>
      <c r="P246" s="31"/>
      <c r="Q246" s="31"/>
      <c r="R246" s="31"/>
    </row>
    <row r="247" spans="1:18" x14ac:dyDescent="0.25">
      <c r="A247" s="33" t="s">
        <v>520</v>
      </c>
      <c r="B247" s="32" t="s">
        <v>62</v>
      </c>
      <c r="C247" s="16">
        <v>2360.1999999999998</v>
      </c>
      <c r="D247" s="29">
        <v>2484</v>
      </c>
      <c r="E247" s="29">
        <v>2528.8000000000002</v>
      </c>
      <c r="F247" s="16">
        <v>123.80000000000018</v>
      </c>
      <c r="G247" s="29">
        <v>44.8</v>
      </c>
      <c r="H247" s="30">
        <v>0.5</v>
      </c>
      <c r="I247" s="29">
        <v>0.2</v>
      </c>
      <c r="J247" s="29">
        <v>128.1</v>
      </c>
      <c r="K247" s="29">
        <v>143.4</v>
      </c>
      <c r="L247" s="29">
        <v>152.69999999999999</v>
      </c>
      <c r="M247" s="29">
        <v>1.1000000000000001</v>
      </c>
      <c r="N247" s="29">
        <v>0.6</v>
      </c>
      <c r="O247" s="9"/>
      <c r="P247" s="31"/>
      <c r="Q247" s="31"/>
      <c r="R247" s="31"/>
    </row>
    <row r="248" spans="1:18" x14ac:dyDescent="0.25">
      <c r="A248" s="33" t="s">
        <v>521</v>
      </c>
      <c r="B248" s="32" t="s">
        <v>62</v>
      </c>
      <c r="C248" s="16">
        <v>1919.1</v>
      </c>
      <c r="D248" s="29">
        <v>1824.7</v>
      </c>
      <c r="E248" s="29">
        <v>1794.9</v>
      </c>
      <c r="F248" s="16">
        <v>-94.399999999999864</v>
      </c>
      <c r="G248" s="29">
        <v>-29.8</v>
      </c>
      <c r="H248" s="30">
        <v>-0.5</v>
      </c>
      <c r="I248" s="29">
        <v>-0.2</v>
      </c>
      <c r="J248" s="29">
        <v>182.4</v>
      </c>
      <c r="K248" s="29">
        <v>173.2</v>
      </c>
      <c r="L248" s="29">
        <v>184.5</v>
      </c>
      <c r="M248" s="29">
        <v>-0.5</v>
      </c>
      <c r="N248" s="29">
        <v>0.6</v>
      </c>
      <c r="O248" s="9"/>
      <c r="P248" s="31"/>
      <c r="Q248" s="31"/>
      <c r="R248" s="31"/>
    </row>
    <row r="249" spans="1:18" x14ac:dyDescent="0.25">
      <c r="A249" s="33" t="s">
        <v>522</v>
      </c>
      <c r="B249" s="32" t="s">
        <v>62</v>
      </c>
      <c r="C249" s="16">
        <v>0</v>
      </c>
      <c r="D249" s="29">
        <v>0</v>
      </c>
      <c r="E249" s="29">
        <v>0</v>
      </c>
      <c r="F249" s="16">
        <v>0</v>
      </c>
      <c r="G249" s="29">
        <v>0</v>
      </c>
      <c r="H249" s="30">
        <v>0</v>
      </c>
      <c r="I249" s="29">
        <v>0</v>
      </c>
      <c r="J249" s="29">
        <v>171.2</v>
      </c>
      <c r="K249" s="29">
        <v>195.9</v>
      </c>
      <c r="L249" s="29">
        <v>208.7</v>
      </c>
      <c r="M249" s="29">
        <v>1.4</v>
      </c>
      <c r="N249" s="29">
        <v>0.6</v>
      </c>
      <c r="O249" s="9"/>
      <c r="P249" s="31"/>
      <c r="Q249" s="31"/>
      <c r="R249" s="31"/>
    </row>
    <row r="250" spans="1:18" ht="25.5" x14ac:dyDescent="0.25">
      <c r="A250" s="33" t="s">
        <v>523</v>
      </c>
      <c r="B250" s="32" t="s">
        <v>62</v>
      </c>
      <c r="C250" s="16">
        <v>0</v>
      </c>
      <c r="D250" s="29">
        <v>0</v>
      </c>
      <c r="E250" s="29">
        <v>0</v>
      </c>
      <c r="F250" s="16">
        <v>0</v>
      </c>
      <c r="G250" s="29">
        <v>0</v>
      </c>
      <c r="H250" s="30">
        <v>0</v>
      </c>
      <c r="I250" s="29">
        <v>0</v>
      </c>
      <c r="J250" s="29">
        <v>684.3</v>
      </c>
      <c r="K250" s="29">
        <v>790.3</v>
      </c>
      <c r="L250" s="29">
        <v>929.4</v>
      </c>
      <c r="M250" s="29">
        <v>1.5</v>
      </c>
      <c r="N250" s="29">
        <v>1.6</v>
      </c>
      <c r="O250" s="9"/>
      <c r="P250" s="31"/>
      <c r="Q250" s="31"/>
      <c r="R250" s="31"/>
    </row>
    <row r="251" spans="1:18" x14ac:dyDescent="0.25">
      <c r="A251" s="33" t="s">
        <v>524</v>
      </c>
      <c r="B251" s="32" t="s">
        <v>62</v>
      </c>
      <c r="C251" s="16">
        <v>0</v>
      </c>
      <c r="D251" s="29">
        <v>0</v>
      </c>
      <c r="E251" s="29">
        <v>0</v>
      </c>
      <c r="F251" s="16">
        <v>0</v>
      </c>
      <c r="G251" s="29">
        <v>0</v>
      </c>
      <c r="H251" s="30">
        <v>0</v>
      </c>
      <c r="I251" s="29">
        <v>0</v>
      </c>
      <c r="J251" s="29">
        <v>1273.7</v>
      </c>
      <c r="K251" s="29">
        <v>1505.5</v>
      </c>
      <c r="L251" s="29">
        <v>1671.1</v>
      </c>
      <c r="M251" s="29">
        <v>1.7</v>
      </c>
      <c r="N251" s="29">
        <v>1</v>
      </c>
      <c r="O251" s="9"/>
      <c r="P251" s="31"/>
      <c r="Q251" s="31"/>
      <c r="R251" s="31"/>
    </row>
    <row r="252" spans="1:18" x14ac:dyDescent="0.25">
      <c r="A252" s="33" t="s">
        <v>525</v>
      </c>
      <c r="B252" s="32" t="s">
        <v>526</v>
      </c>
      <c r="C252" s="16">
        <v>2011.9</v>
      </c>
      <c r="D252" s="29">
        <v>2303.6</v>
      </c>
      <c r="E252" s="29">
        <v>2265.1</v>
      </c>
      <c r="F252" s="16">
        <v>291.69999999999982</v>
      </c>
      <c r="G252" s="29">
        <v>-38.6</v>
      </c>
      <c r="H252" s="30">
        <v>1.4</v>
      </c>
      <c r="I252" s="29">
        <v>-0.2</v>
      </c>
      <c r="J252" s="29">
        <v>459.5</v>
      </c>
      <c r="K252" s="29">
        <v>571.6</v>
      </c>
      <c r="L252" s="29">
        <v>684.5</v>
      </c>
      <c r="M252" s="29">
        <v>2.2000000000000002</v>
      </c>
      <c r="N252" s="29">
        <v>1.8</v>
      </c>
      <c r="O252" t="s">
        <v>3</v>
      </c>
      <c r="P252" s="31"/>
      <c r="Q252" s="31"/>
      <c r="R252" s="31"/>
    </row>
    <row r="253" spans="1:18" x14ac:dyDescent="0.25">
      <c r="A253" s="33" t="s">
        <v>527</v>
      </c>
      <c r="B253" s="32" t="s">
        <v>528</v>
      </c>
      <c r="C253" s="16">
        <v>904.4</v>
      </c>
      <c r="D253" s="29">
        <v>1240.5</v>
      </c>
      <c r="E253" s="29">
        <v>1306.8</v>
      </c>
      <c r="F253" s="16">
        <v>336.1</v>
      </c>
      <c r="G253" s="29">
        <v>66.2</v>
      </c>
      <c r="H253" s="30">
        <v>3.2</v>
      </c>
      <c r="I253" s="29">
        <v>0.5</v>
      </c>
      <c r="J253" s="29">
        <v>212.9</v>
      </c>
      <c r="K253" s="29">
        <v>308.89999999999998</v>
      </c>
      <c r="L253" s="29">
        <v>377.3</v>
      </c>
      <c r="M253" s="29">
        <v>3.8</v>
      </c>
      <c r="N253" s="29">
        <v>2</v>
      </c>
      <c r="O253" s="9"/>
      <c r="P253" s="31"/>
      <c r="Q253" s="31"/>
      <c r="R253" s="31"/>
    </row>
    <row r="254" spans="1:18" x14ac:dyDescent="0.25">
      <c r="A254" s="33" t="s">
        <v>529</v>
      </c>
      <c r="B254" s="32" t="s">
        <v>530</v>
      </c>
      <c r="C254" s="16">
        <v>846.8</v>
      </c>
      <c r="D254" s="29">
        <v>749.7</v>
      </c>
      <c r="E254" s="29">
        <v>646.4</v>
      </c>
      <c r="F254" s="16">
        <v>-97.099999999999909</v>
      </c>
      <c r="G254" s="29">
        <v>-103.3</v>
      </c>
      <c r="H254" s="30">
        <v>-1.2</v>
      </c>
      <c r="I254" s="29">
        <v>-1.5</v>
      </c>
      <c r="J254" s="29">
        <v>200</v>
      </c>
      <c r="K254" s="29">
        <v>216.2</v>
      </c>
      <c r="L254" s="29">
        <v>254</v>
      </c>
      <c r="M254" s="29">
        <v>0.8</v>
      </c>
      <c r="N254" s="29">
        <v>1.6</v>
      </c>
      <c r="O254" s="9"/>
      <c r="P254" s="31"/>
      <c r="Q254" s="31"/>
      <c r="R254" s="31"/>
    </row>
    <row r="255" spans="1:18" x14ac:dyDescent="0.25">
      <c r="A255" s="33" t="s">
        <v>531</v>
      </c>
      <c r="B255" s="32" t="s">
        <v>532</v>
      </c>
      <c r="C255" s="16">
        <v>16.2</v>
      </c>
      <c r="D255" s="29">
        <v>16</v>
      </c>
      <c r="E255" s="29">
        <v>19.5</v>
      </c>
      <c r="F255" s="16">
        <v>-0.19999999999999929</v>
      </c>
      <c r="G255" s="29">
        <v>3.5</v>
      </c>
      <c r="H255" s="30">
        <v>-0.1</v>
      </c>
      <c r="I255" s="29">
        <v>2</v>
      </c>
      <c r="J255" s="29">
        <v>5.4</v>
      </c>
      <c r="K255" s="29">
        <v>4.0999999999999996</v>
      </c>
      <c r="L255" s="29">
        <v>4.5</v>
      </c>
      <c r="M255" s="29">
        <v>-2.7</v>
      </c>
      <c r="N255" s="29">
        <v>0.9</v>
      </c>
      <c r="O255" s="9"/>
      <c r="P255" s="31"/>
      <c r="Q255" s="31"/>
      <c r="R255" s="31"/>
    </row>
    <row r="256" spans="1:18" x14ac:dyDescent="0.25">
      <c r="A256" s="33" t="s">
        <v>533</v>
      </c>
      <c r="B256" s="32" t="s">
        <v>534</v>
      </c>
      <c r="C256" s="16">
        <v>71.900000000000006</v>
      </c>
      <c r="D256" s="29">
        <v>73.2</v>
      </c>
      <c r="E256" s="29">
        <v>58.4</v>
      </c>
      <c r="F256" s="16">
        <v>1.2999999999999972</v>
      </c>
      <c r="G256" s="29">
        <v>-14.8</v>
      </c>
      <c r="H256" s="30">
        <v>0.2</v>
      </c>
      <c r="I256" s="29">
        <v>-2.2000000000000002</v>
      </c>
      <c r="J256" s="29">
        <v>14</v>
      </c>
      <c r="K256" s="29">
        <v>15.1</v>
      </c>
      <c r="L256" s="29">
        <v>17</v>
      </c>
      <c r="M256" s="29">
        <v>0.7</v>
      </c>
      <c r="N256" s="29">
        <v>1.2</v>
      </c>
      <c r="O256" s="9"/>
      <c r="P256" s="31"/>
      <c r="Q256" s="31"/>
      <c r="R256" s="31"/>
    </row>
    <row r="257" spans="1:18" x14ac:dyDescent="0.25">
      <c r="A257" s="33" t="s">
        <v>535</v>
      </c>
      <c r="B257" s="32" t="s">
        <v>536</v>
      </c>
      <c r="C257" s="16">
        <v>41.1</v>
      </c>
      <c r="D257" s="29">
        <v>56.5</v>
      </c>
      <c r="E257" s="29">
        <v>51.6</v>
      </c>
      <c r="F257" s="16">
        <v>15.399999999999999</v>
      </c>
      <c r="G257" s="29">
        <v>-4.9000000000000004</v>
      </c>
      <c r="H257" s="30">
        <v>3.2</v>
      </c>
      <c r="I257" s="29">
        <v>-0.9</v>
      </c>
      <c r="J257" s="29">
        <v>7.5</v>
      </c>
      <c r="K257" s="29">
        <v>9.6999999999999993</v>
      </c>
      <c r="L257" s="29">
        <v>11</v>
      </c>
      <c r="M257" s="29">
        <v>2.6</v>
      </c>
      <c r="N257" s="29">
        <v>1.3</v>
      </c>
      <c r="O257" s="9"/>
      <c r="P257" s="31"/>
      <c r="Q257" s="31"/>
      <c r="R257" s="31"/>
    </row>
    <row r="258" spans="1:18" x14ac:dyDescent="0.25">
      <c r="A258" s="33" t="s">
        <v>537</v>
      </c>
      <c r="B258" s="32" t="s">
        <v>538</v>
      </c>
      <c r="C258" s="16">
        <v>131.5</v>
      </c>
      <c r="D258" s="29">
        <v>167.7</v>
      </c>
      <c r="E258" s="29">
        <v>182.3</v>
      </c>
      <c r="F258" s="16">
        <v>36.199999999999989</v>
      </c>
      <c r="G258" s="29">
        <v>14.6</v>
      </c>
      <c r="H258" s="30">
        <v>2.5</v>
      </c>
      <c r="I258" s="29">
        <v>0.8</v>
      </c>
      <c r="J258" s="29">
        <v>19.8</v>
      </c>
      <c r="K258" s="29">
        <v>23.8</v>
      </c>
      <c r="L258" s="29">
        <v>29.8</v>
      </c>
      <c r="M258" s="29">
        <v>1.9</v>
      </c>
      <c r="N258" s="29">
        <v>2.2999999999999998</v>
      </c>
      <c r="O258" s="9"/>
      <c r="P258" s="31"/>
      <c r="Q258" s="31"/>
      <c r="R258" s="31"/>
    </row>
    <row r="259" spans="1:18" x14ac:dyDescent="0.25">
      <c r="A259" s="27" t="s">
        <v>60</v>
      </c>
      <c r="B259" s="32" t="s">
        <v>60</v>
      </c>
      <c r="C259" s="24"/>
      <c r="D259" s="29"/>
      <c r="E259" s="29"/>
      <c r="F259" s="16"/>
      <c r="G259" s="29"/>
      <c r="H259" s="16"/>
      <c r="I259" s="29"/>
      <c r="J259" s="29"/>
      <c r="K259" s="29"/>
      <c r="L259" s="29"/>
      <c r="M259" s="29"/>
      <c r="N259" s="29"/>
      <c r="P259" s="31"/>
      <c r="Q259" s="31"/>
      <c r="R259" s="31"/>
    </row>
    <row r="260" spans="1:18" ht="15.75" thickBot="1" x14ac:dyDescent="0.3">
      <c r="A260" s="27" t="s">
        <v>539</v>
      </c>
      <c r="B260" s="32" t="s">
        <v>60</v>
      </c>
      <c r="C260" s="16">
        <v>8995.2999999999993</v>
      </c>
      <c r="D260" s="29">
        <v>8782.2999999999993</v>
      </c>
      <c r="E260" s="29">
        <v>8454.1</v>
      </c>
      <c r="F260" s="16">
        <v>-213</v>
      </c>
      <c r="G260" s="29">
        <v>-328.2</v>
      </c>
      <c r="H260" s="30">
        <v>-0.2</v>
      </c>
      <c r="I260" s="29">
        <v>-0.4</v>
      </c>
      <c r="J260" s="29"/>
      <c r="K260" s="29"/>
      <c r="L260" s="29"/>
      <c r="M260" s="29">
        <v>0</v>
      </c>
      <c r="N260" s="29">
        <v>0</v>
      </c>
      <c r="O260" s="9"/>
      <c r="P260" s="31"/>
      <c r="Q260" s="31"/>
      <c r="R260" s="31"/>
    </row>
    <row r="261" spans="1:18" ht="15.6" customHeight="1" x14ac:dyDescent="0.25">
      <c r="A261" s="98" t="s">
        <v>540</v>
      </c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P261" s="31"/>
      <c r="Q261" s="31"/>
      <c r="R261" s="31"/>
    </row>
    <row r="262" spans="1:18" ht="27" customHeight="1" x14ac:dyDescent="0.25">
      <c r="A262" s="99" t="s">
        <v>541</v>
      </c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P262" s="31"/>
      <c r="Q262" s="31"/>
      <c r="R262" s="31"/>
    </row>
    <row r="263" spans="1:18" x14ac:dyDescent="0.25">
      <c r="A263" s="100" t="s">
        <v>542</v>
      </c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P263" s="31"/>
      <c r="Q263" s="31"/>
      <c r="R263" s="31"/>
    </row>
    <row r="264" spans="1:18" ht="30" customHeight="1" x14ac:dyDescent="0.25">
      <c r="A264" s="99" t="s">
        <v>543</v>
      </c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</row>
    <row r="265" spans="1:18" x14ac:dyDescent="0.25">
      <c r="A265" s="100" t="s">
        <v>544</v>
      </c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</row>
    <row r="266" spans="1:18" ht="15" customHeight="1" x14ac:dyDescent="0.25">
      <c r="A266" s="40" t="s">
        <v>545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</row>
    <row r="267" spans="1:18" ht="15" customHeight="1" x14ac:dyDescent="0.25">
      <c r="A267" s="97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</row>
    <row r="268" spans="1:18" x14ac:dyDescent="0.25">
      <c r="A268" s="95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</row>
    <row r="269" spans="1:18" x14ac:dyDescent="0.25">
      <c r="A269" s="97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</row>
    <row r="270" spans="1:18" x14ac:dyDescent="0.25">
      <c r="A270" s="97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</row>
  </sheetData>
  <mergeCells count="19">
    <mergeCell ref="A268:N268"/>
    <mergeCell ref="A269:N269"/>
    <mergeCell ref="A270:N270"/>
    <mergeCell ref="A261:N261"/>
    <mergeCell ref="A262:N262"/>
    <mergeCell ref="A263:N263"/>
    <mergeCell ref="A264:N264"/>
    <mergeCell ref="A265:N265"/>
    <mergeCell ref="A267:N267"/>
    <mergeCell ref="A1:N1"/>
    <mergeCell ref="A2:A4"/>
    <mergeCell ref="B2:B4"/>
    <mergeCell ref="C2:I2"/>
    <mergeCell ref="J2:N2"/>
    <mergeCell ref="C3:E3"/>
    <mergeCell ref="F3:G3"/>
    <mergeCell ref="H3:I3"/>
    <mergeCell ref="J3:L3"/>
    <mergeCell ref="M3:N3"/>
  </mergeCells>
  <pageMargins left="0.7" right="0.7" top="0.75" bottom="0.75" header="0.3" footer="0.3"/>
  <pageSetup scale="61" fitToHeight="100" orientation="landscape" r:id="rId1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1815-CD3E-4141-AAA7-493FB40AE0DC}">
  <dimension ref="A1:AL47"/>
  <sheetViews>
    <sheetView workbookViewId="0">
      <selection activeCell="AN35" sqref="AK29:AN35"/>
    </sheetView>
  </sheetViews>
  <sheetFormatPr defaultRowHeight="15" x14ac:dyDescent="0.25"/>
  <sheetData>
    <row r="1" spans="1:36" x14ac:dyDescent="0.25">
      <c r="A1" t="s">
        <v>728</v>
      </c>
    </row>
    <row r="2" spans="1:36" x14ac:dyDescent="0.25">
      <c r="A2" t="s">
        <v>729</v>
      </c>
    </row>
    <row r="3" spans="1:36" x14ac:dyDescent="0.25">
      <c r="A3" t="s">
        <v>730</v>
      </c>
    </row>
    <row r="4" spans="1:36" x14ac:dyDescent="0.25">
      <c r="A4" t="s">
        <v>731</v>
      </c>
    </row>
    <row r="5" spans="1:36" x14ac:dyDescent="0.25">
      <c r="B5" t="s">
        <v>732</v>
      </c>
      <c r="C5" t="s">
        <v>733</v>
      </c>
      <c r="D5" t="s">
        <v>734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735</v>
      </c>
    </row>
    <row r="6" spans="1:36" x14ac:dyDescent="0.25">
      <c r="A6" t="s">
        <v>736</v>
      </c>
    </row>
    <row r="7" spans="1:36" x14ac:dyDescent="0.25">
      <c r="A7" t="s">
        <v>564</v>
      </c>
      <c r="B7" t="s">
        <v>738</v>
      </c>
      <c r="C7" t="s">
        <v>739</v>
      </c>
      <c r="D7" t="s">
        <v>740</v>
      </c>
      <c r="F7">
        <v>19287.708984000001</v>
      </c>
      <c r="G7">
        <v>19760.287109000001</v>
      </c>
      <c r="H7">
        <v>20221.789062</v>
      </c>
      <c r="I7">
        <v>20729.912109000001</v>
      </c>
      <c r="J7">
        <v>21174.707031000002</v>
      </c>
      <c r="K7">
        <v>21588.189452999999</v>
      </c>
      <c r="L7">
        <v>21943.693359000001</v>
      </c>
      <c r="M7">
        <v>22341.447265999999</v>
      </c>
      <c r="N7">
        <v>22750.484375</v>
      </c>
      <c r="O7">
        <v>23184.712890999999</v>
      </c>
      <c r="P7">
        <v>23604.685547000001</v>
      </c>
      <c r="Q7">
        <v>24072.310547000001</v>
      </c>
      <c r="R7">
        <v>24531.642577999999</v>
      </c>
      <c r="S7">
        <v>24923.117188</v>
      </c>
      <c r="T7">
        <v>25304.564452999999</v>
      </c>
      <c r="U7">
        <v>25681.664062</v>
      </c>
      <c r="V7">
        <v>26080.943359000001</v>
      </c>
      <c r="W7">
        <v>26491.984375</v>
      </c>
      <c r="X7">
        <v>26940.375</v>
      </c>
      <c r="Y7">
        <v>27407.310547000001</v>
      </c>
      <c r="Z7">
        <v>27842.832031000002</v>
      </c>
      <c r="AA7">
        <v>28292.699218999998</v>
      </c>
      <c r="AB7">
        <v>28753.757812</v>
      </c>
      <c r="AC7">
        <v>29223.880859000001</v>
      </c>
      <c r="AD7">
        <v>29725.132812</v>
      </c>
      <c r="AE7">
        <v>30268.091797000001</v>
      </c>
      <c r="AF7">
        <v>30800.546875</v>
      </c>
      <c r="AG7">
        <v>31310.892577999999</v>
      </c>
      <c r="AH7">
        <v>31858.810547000001</v>
      </c>
      <c r="AI7">
        <v>32479.828125</v>
      </c>
      <c r="AJ7" s="81">
        <v>1.7999999999999999E-2</v>
      </c>
    </row>
    <row r="8" spans="1:36" x14ac:dyDescent="0.25">
      <c r="A8" t="s">
        <v>566</v>
      </c>
      <c r="B8" t="s">
        <v>741</v>
      </c>
      <c r="C8" t="s">
        <v>742</v>
      </c>
      <c r="D8" t="s">
        <v>743</v>
      </c>
      <c r="F8">
        <v>147.73539700000001</v>
      </c>
      <c r="G8">
        <v>148.57751500000001</v>
      </c>
      <c r="H8">
        <v>151.114746</v>
      </c>
      <c r="I8">
        <v>152.88180500000001</v>
      </c>
      <c r="J8">
        <v>153.79975899999999</v>
      </c>
      <c r="K8">
        <v>154.22972100000001</v>
      </c>
      <c r="L8">
        <v>154.40425099999999</v>
      </c>
      <c r="M8">
        <v>154.764374</v>
      </c>
      <c r="N8">
        <v>155.22358700000001</v>
      </c>
      <c r="O8">
        <v>155.96845999999999</v>
      </c>
      <c r="P8">
        <v>156.83200099999999</v>
      </c>
      <c r="Q8">
        <v>157.90751599999999</v>
      </c>
      <c r="R8">
        <v>158.97392300000001</v>
      </c>
      <c r="S8">
        <v>159.592026</v>
      </c>
      <c r="T8">
        <v>160.032928</v>
      </c>
      <c r="U8">
        <v>160.57656900000001</v>
      </c>
      <c r="V8">
        <v>161.21490499999999</v>
      </c>
      <c r="W8">
        <v>161.874146</v>
      </c>
      <c r="X8">
        <v>162.66340600000001</v>
      </c>
      <c r="Y8">
        <v>163.589279</v>
      </c>
      <c r="Z8">
        <v>164.25657699999999</v>
      </c>
      <c r="AA8">
        <v>164.99642900000001</v>
      </c>
      <c r="AB8">
        <v>165.65443400000001</v>
      </c>
      <c r="AC8">
        <v>166.30429100000001</v>
      </c>
      <c r="AD8">
        <v>167.189178</v>
      </c>
      <c r="AE8">
        <v>168.241287</v>
      </c>
      <c r="AF8">
        <v>169.31140099999999</v>
      </c>
      <c r="AG8">
        <v>170.22872899999999</v>
      </c>
      <c r="AH8">
        <v>171.10382100000001</v>
      </c>
      <c r="AI8">
        <v>172.19258099999999</v>
      </c>
      <c r="AJ8" s="81">
        <v>5.0000000000000001E-3</v>
      </c>
    </row>
    <row r="9" spans="1:36" x14ac:dyDescent="0.25">
      <c r="A9" t="s">
        <v>567</v>
      </c>
      <c r="C9" t="s">
        <v>744</v>
      </c>
    </row>
    <row r="10" spans="1:36" x14ac:dyDescent="0.25">
      <c r="A10" t="s">
        <v>568</v>
      </c>
      <c r="C10" t="s">
        <v>745</v>
      </c>
    </row>
    <row r="11" spans="1:36" x14ac:dyDescent="0.25">
      <c r="A11" t="s">
        <v>746</v>
      </c>
      <c r="B11" t="s">
        <v>747</v>
      </c>
      <c r="C11" t="s">
        <v>748</v>
      </c>
      <c r="D11" t="s">
        <v>740</v>
      </c>
      <c r="F11">
        <v>545.77948000000004</v>
      </c>
      <c r="G11">
        <v>551.13958700000001</v>
      </c>
      <c r="H11">
        <v>558.31286599999999</v>
      </c>
      <c r="I11">
        <v>562.69604500000003</v>
      </c>
      <c r="J11">
        <v>566.57074</v>
      </c>
      <c r="K11">
        <v>570.89679000000001</v>
      </c>
      <c r="L11">
        <v>574.01483199999996</v>
      </c>
      <c r="M11">
        <v>575.962402</v>
      </c>
      <c r="N11">
        <v>577.76355000000001</v>
      </c>
      <c r="O11">
        <v>580.19329800000003</v>
      </c>
      <c r="P11">
        <v>582.15270999999996</v>
      </c>
      <c r="Q11">
        <v>584.11523399999999</v>
      </c>
      <c r="R11">
        <v>586.77783199999999</v>
      </c>
      <c r="S11">
        <v>588.97094700000002</v>
      </c>
      <c r="T11">
        <v>590.37792999999999</v>
      </c>
      <c r="U11">
        <v>592.02593999999999</v>
      </c>
      <c r="V11">
        <v>593.71820100000002</v>
      </c>
      <c r="W11">
        <v>595.43859899999995</v>
      </c>
      <c r="X11">
        <v>597.58563200000003</v>
      </c>
      <c r="Y11">
        <v>599.52459699999997</v>
      </c>
      <c r="Z11">
        <v>601.00347899999997</v>
      </c>
      <c r="AA11">
        <v>602.93469200000004</v>
      </c>
      <c r="AB11">
        <v>605.20434599999999</v>
      </c>
      <c r="AC11">
        <v>606.87676999999996</v>
      </c>
      <c r="AD11">
        <v>608.22619599999996</v>
      </c>
      <c r="AE11">
        <v>609.61218299999996</v>
      </c>
      <c r="AF11">
        <v>610.96179199999995</v>
      </c>
      <c r="AG11">
        <v>613.48284899999999</v>
      </c>
      <c r="AH11">
        <v>616.400757</v>
      </c>
      <c r="AI11">
        <v>619.95855700000004</v>
      </c>
      <c r="AJ11" s="81">
        <v>4.0000000000000001E-3</v>
      </c>
    </row>
    <row r="12" spans="1:36" x14ac:dyDescent="0.25">
      <c r="A12" t="s">
        <v>749</v>
      </c>
      <c r="B12" t="s">
        <v>750</v>
      </c>
      <c r="C12" t="s">
        <v>737</v>
      </c>
      <c r="D12" t="s">
        <v>740</v>
      </c>
      <c r="F12">
        <v>688.52893100000006</v>
      </c>
      <c r="G12">
        <v>684.086365</v>
      </c>
      <c r="H12">
        <v>694.49340800000004</v>
      </c>
      <c r="I12">
        <v>699.25799600000005</v>
      </c>
      <c r="J12">
        <v>707.49761999999998</v>
      </c>
      <c r="K12">
        <v>709.316284</v>
      </c>
      <c r="L12">
        <v>706.40289299999995</v>
      </c>
      <c r="M12">
        <v>714.37170400000002</v>
      </c>
      <c r="N12">
        <v>716.31878700000004</v>
      </c>
      <c r="O12">
        <v>716.490723</v>
      </c>
      <c r="P12">
        <v>716.28942900000004</v>
      </c>
      <c r="Q12">
        <v>717.49902299999997</v>
      </c>
      <c r="R12">
        <v>719.57141100000001</v>
      </c>
      <c r="S12">
        <v>714.41589399999998</v>
      </c>
      <c r="T12">
        <v>711.59710700000005</v>
      </c>
      <c r="U12">
        <v>710.25048800000002</v>
      </c>
      <c r="V12">
        <v>708.04540999999995</v>
      </c>
      <c r="W12">
        <v>708.728882</v>
      </c>
      <c r="X12">
        <v>711.70678699999996</v>
      </c>
      <c r="Y12">
        <v>715.08569299999999</v>
      </c>
      <c r="Z12">
        <v>715.07507299999997</v>
      </c>
      <c r="AA12">
        <v>714.95477300000005</v>
      </c>
      <c r="AB12">
        <v>716.31176800000003</v>
      </c>
      <c r="AC12">
        <v>718.23498500000005</v>
      </c>
      <c r="AD12">
        <v>723.43109100000004</v>
      </c>
      <c r="AE12">
        <v>730.20544400000006</v>
      </c>
      <c r="AF12">
        <v>733.34979199999998</v>
      </c>
      <c r="AG12">
        <v>732.57879600000001</v>
      </c>
      <c r="AH12">
        <v>733.87646500000005</v>
      </c>
      <c r="AI12">
        <v>740.81579599999998</v>
      </c>
      <c r="AJ12" s="81">
        <v>3.0000000000000001E-3</v>
      </c>
    </row>
    <row r="13" spans="1:36" x14ac:dyDescent="0.25">
      <c r="A13" t="s">
        <v>751</v>
      </c>
      <c r="B13" t="s">
        <v>752</v>
      </c>
      <c r="C13" t="s">
        <v>753</v>
      </c>
      <c r="D13" t="s">
        <v>740</v>
      </c>
      <c r="F13">
        <v>1448.7993160000001</v>
      </c>
      <c r="G13">
        <v>1344.4849850000001</v>
      </c>
      <c r="H13">
        <v>1310.3020019999999</v>
      </c>
      <c r="I13">
        <v>1321.809692</v>
      </c>
      <c r="J13">
        <v>1327.1669919999999</v>
      </c>
      <c r="K13">
        <v>1326.1383060000001</v>
      </c>
      <c r="L13">
        <v>1323.183716</v>
      </c>
      <c r="M13">
        <v>1333.3876949999999</v>
      </c>
      <c r="N13">
        <v>1346.3139650000001</v>
      </c>
      <c r="O13">
        <v>1355.6225589999999</v>
      </c>
      <c r="P13">
        <v>1366.4567870000001</v>
      </c>
      <c r="Q13">
        <v>1408.8607179999999</v>
      </c>
      <c r="R13">
        <v>1446.3237300000001</v>
      </c>
      <c r="S13">
        <v>1453.3330080000001</v>
      </c>
      <c r="T13">
        <v>1458.318481</v>
      </c>
      <c r="U13">
        <v>1465.8522949999999</v>
      </c>
      <c r="V13">
        <v>1487.877808</v>
      </c>
      <c r="W13">
        <v>1517.082764</v>
      </c>
      <c r="X13">
        <v>1549.084717</v>
      </c>
      <c r="Y13">
        <v>1575.965942</v>
      </c>
      <c r="Z13">
        <v>1597.8957519999999</v>
      </c>
      <c r="AA13">
        <v>1619.0770259999999</v>
      </c>
      <c r="AB13">
        <v>1638.0722659999999</v>
      </c>
      <c r="AC13">
        <v>1654.0939940000001</v>
      </c>
      <c r="AD13">
        <v>1668.0817870000001</v>
      </c>
      <c r="AE13">
        <v>1686.932251</v>
      </c>
      <c r="AF13">
        <v>1705.473999</v>
      </c>
      <c r="AG13">
        <v>1723.6689449999999</v>
      </c>
      <c r="AH13">
        <v>1747.067749</v>
      </c>
      <c r="AI13">
        <v>1773.0322269999999</v>
      </c>
      <c r="AJ13" s="81">
        <v>7.0000000000000001E-3</v>
      </c>
    </row>
    <row r="14" spans="1:36" x14ac:dyDescent="0.25">
      <c r="A14" t="s">
        <v>575</v>
      </c>
      <c r="C14" t="s">
        <v>754</v>
      </c>
    </row>
    <row r="15" spans="1:36" x14ac:dyDescent="0.25">
      <c r="A15" t="s">
        <v>755</v>
      </c>
      <c r="B15" t="s">
        <v>756</v>
      </c>
      <c r="C15" t="s">
        <v>757</v>
      </c>
      <c r="D15" t="s">
        <v>740</v>
      </c>
      <c r="F15">
        <v>951.64434800000004</v>
      </c>
      <c r="G15">
        <v>968.13769500000001</v>
      </c>
      <c r="H15">
        <v>969.99871800000005</v>
      </c>
      <c r="I15">
        <v>974.52917500000001</v>
      </c>
      <c r="J15">
        <v>980.49780299999998</v>
      </c>
      <c r="K15">
        <v>986.57391399999995</v>
      </c>
      <c r="L15">
        <v>993.19183299999997</v>
      </c>
      <c r="M15">
        <v>999.98217799999998</v>
      </c>
      <c r="N15">
        <v>1005.9415279999999</v>
      </c>
      <c r="O15">
        <v>1011.705017</v>
      </c>
      <c r="P15">
        <v>1017.668274</v>
      </c>
      <c r="Q15">
        <v>1023.182495</v>
      </c>
      <c r="R15">
        <v>1027.451294</v>
      </c>
      <c r="S15">
        <v>1031.005737</v>
      </c>
      <c r="T15">
        <v>1034.5820309999999</v>
      </c>
      <c r="U15">
        <v>1038.2364500000001</v>
      </c>
      <c r="V15">
        <v>1041.2788089999999</v>
      </c>
      <c r="W15">
        <v>1044.4017329999999</v>
      </c>
      <c r="X15">
        <v>1048.053711</v>
      </c>
      <c r="Y15">
        <v>1051.4875489999999</v>
      </c>
      <c r="Z15">
        <v>1054.318726</v>
      </c>
      <c r="AA15">
        <v>1057.786987</v>
      </c>
      <c r="AB15">
        <v>1061.2742920000001</v>
      </c>
      <c r="AC15">
        <v>1064.614014</v>
      </c>
      <c r="AD15">
        <v>1067.841797</v>
      </c>
      <c r="AE15">
        <v>1070.3272710000001</v>
      </c>
      <c r="AF15">
        <v>1072.7795410000001</v>
      </c>
      <c r="AG15">
        <v>1076.1705320000001</v>
      </c>
      <c r="AH15">
        <v>1080.1557620000001</v>
      </c>
      <c r="AI15">
        <v>1085.2459719999999</v>
      </c>
      <c r="AJ15" s="81">
        <v>5.0000000000000001E-3</v>
      </c>
    </row>
    <row r="16" spans="1:36" x14ac:dyDescent="0.25">
      <c r="A16" t="s">
        <v>758</v>
      </c>
      <c r="B16" t="s">
        <v>759</v>
      </c>
      <c r="C16" t="s">
        <v>760</v>
      </c>
      <c r="D16" t="s">
        <v>740</v>
      </c>
      <c r="F16">
        <v>150.72590600000001</v>
      </c>
      <c r="G16">
        <v>146.54585299999999</v>
      </c>
      <c r="H16">
        <v>143.67477400000001</v>
      </c>
      <c r="I16">
        <v>141.76295500000001</v>
      </c>
      <c r="J16">
        <v>140.077698</v>
      </c>
      <c r="K16">
        <v>138.97024500000001</v>
      </c>
      <c r="L16">
        <v>138.38009600000001</v>
      </c>
      <c r="M16">
        <v>138.23794599999999</v>
      </c>
      <c r="N16">
        <v>138.098129</v>
      </c>
      <c r="O16">
        <v>138.01229900000001</v>
      </c>
      <c r="P16">
        <v>137.93879699999999</v>
      </c>
      <c r="Q16">
        <v>138.42849699999999</v>
      </c>
      <c r="R16">
        <v>138.210205</v>
      </c>
      <c r="S16">
        <v>137.88587999999999</v>
      </c>
      <c r="T16">
        <v>137.821945</v>
      </c>
      <c r="U16">
        <v>137.792969</v>
      </c>
      <c r="V16">
        <v>137.77362099999999</v>
      </c>
      <c r="W16">
        <v>137.748581</v>
      </c>
      <c r="X16">
        <v>137.727844</v>
      </c>
      <c r="Y16">
        <v>137.70062300000001</v>
      </c>
      <c r="Z16">
        <v>137.569748</v>
      </c>
      <c r="AA16">
        <v>137.477676</v>
      </c>
      <c r="AB16">
        <v>137.701279</v>
      </c>
      <c r="AC16">
        <v>138.139343</v>
      </c>
      <c r="AD16">
        <v>138.44804400000001</v>
      </c>
      <c r="AE16">
        <v>138.82553100000001</v>
      </c>
      <c r="AF16">
        <v>139.34397899999999</v>
      </c>
      <c r="AG16">
        <v>140.150803</v>
      </c>
      <c r="AH16">
        <v>141.08917199999999</v>
      </c>
      <c r="AI16">
        <v>142.092331</v>
      </c>
      <c r="AJ16" s="81">
        <v>-2E-3</v>
      </c>
    </row>
    <row r="17" spans="1:38" x14ac:dyDescent="0.25">
      <c r="A17" t="s">
        <v>761</v>
      </c>
      <c r="B17" t="s">
        <v>762</v>
      </c>
      <c r="C17" t="s">
        <v>763</v>
      </c>
      <c r="D17" t="s">
        <v>740</v>
      </c>
      <c r="F17">
        <v>66.721694999999997</v>
      </c>
      <c r="G17">
        <v>67.566856000000001</v>
      </c>
      <c r="H17">
        <v>68.538239000000004</v>
      </c>
      <c r="I17">
        <v>68.599648000000002</v>
      </c>
      <c r="J17">
        <v>68.280685000000005</v>
      </c>
      <c r="K17">
        <v>67.760955999999993</v>
      </c>
      <c r="L17">
        <v>67.162627999999998</v>
      </c>
      <c r="M17">
        <v>66.835319999999996</v>
      </c>
      <c r="N17">
        <v>66.431586999999993</v>
      </c>
      <c r="O17">
        <v>66.230735999999993</v>
      </c>
      <c r="P17">
        <v>66.143990000000002</v>
      </c>
      <c r="Q17">
        <v>65.868149000000003</v>
      </c>
      <c r="R17">
        <v>65.687247999999997</v>
      </c>
      <c r="S17">
        <v>65.428848000000002</v>
      </c>
      <c r="T17">
        <v>65.043457000000004</v>
      </c>
      <c r="U17">
        <v>64.738547999999994</v>
      </c>
      <c r="V17">
        <v>64.548325000000006</v>
      </c>
      <c r="W17">
        <v>64.244315999999998</v>
      </c>
      <c r="X17">
        <v>64.002433999999994</v>
      </c>
      <c r="Y17">
        <v>63.834743000000003</v>
      </c>
      <c r="Z17">
        <v>63.528030000000001</v>
      </c>
      <c r="AA17">
        <v>63.220855999999998</v>
      </c>
      <c r="AB17">
        <v>63.055897000000002</v>
      </c>
      <c r="AC17">
        <v>62.821331000000001</v>
      </c>
      <c r="AD17">
        <v>62.599750999999998</v>
      </c>
      <c r="AE17">
        <v>62.486159999999998</v>
      </c>
      <c r="AF17">
        <v>62.270629999999997</v>
      </c>
      <c r="AG17">
        <v>61.878734999999999</v>
      </c>
      <c r="AH17">
        <v>61.477103999999997</v>
      </c>
      <c r="AI17">
        <v>61.008437999999998</v>
      </c>
      <c r="AJ17" s="81">
        <v>-3.0000000000000001E-3</v>
      </c>
    </row>
    <row r="18" spans="1:38" x14ac:dyDescent="0.25">
      <c r="A18" t="s">
        <v>764</v>
      </c>
      <c r="B18" t="s">
        <v>765</v>
      </c>
      <c r="C18" t="s">
        <v>766</v>
      </c>
      <c r="D18" t="s">
        <v>740</v>
      </c>
      <c r="F18">
        <v>109.865883</v>
      </c>
      <c r="G18">
        <v>103.384575</v>
      </c>
      <c r="H18">
        <v>97.434769000000003</v>
      </c>
      <c r="I18">
        <v>97.533112000000003</v>
      </c>
      <c r="J18">
        <v>98.415633999999997</v>
      </c>
      <c r="K18">
        <v>94.947829999999996</v>
      </c>
      <c r="L18">
        <v>90.944564999999997</v>
      </c>
      <c r="M18">
        <v>87.395415999999997</v>
      </c>
      <c r="N18">
        <v>85.541420000000002</v>
      </c>
      <c r="O18">
        <v>85.198097000000004</v>
      </c>
      <c r="P18">
        <v>83.265372999999997</v>
      </c>
      <c r="Q18">
        <v>82.290381999999994</v>
      </c>
      <c r="R18">
        <v>81.322890999999998</v>
      </c>
      <c r="S18">
        <v>80.921729999999997</v>
      </c>
      <c r="T18">
        <v>80.755691999999996</v>
      </c>
      <c r="U18">
        <v>81.034049999999993</v>
      </c>
      <c r="V18">
        <v>80.751334999999997</v>
      </c>
      <c r="W18">
        <v>80.406363999999996</v>
      </c>
      <c r="X18">
        <v>80.710457000000005</v>
      </c>
      <c r="Y18">
        <v>81.227317999999997</v>
      </c>
      <c r="Z18">
        <v>82.065094000000002</v>
      </c>
      <c r="AA18">
        <v>83.27713</v>
      </c>
      <c r="AB18">
        <v>84.180367000000004</v>
      </c>
      <c r="AC18">
        <v>83.959121999999994</v>
      </c>
      <c r="AD18">
        <v>83.839530999999994</v>
      </c>
      <c r="AE18">
        <v>84.499367000000007</v>
      </c>
      <c r="AF18">
        <v>85.330498000000006</v>
      </c>
      <c r="AG18">
        <v>86.038773000000006</v>
      </c>
      <c r="AH18">
        <v>87.018608</v>
      </c>
      <c r="AI18">
        <v>89.788933</v>
      </c>
      <c r="AJ18" s="81">
        <v>-7.0000000000000001E-3</v>
      </c>
    </row>
    <row r="19" spans="1:38" x14ac:dyDescent="0.25">
      <c r="A19" t="s">
        <v>767</v>
      </c>
      <c r="B19" t="s">
        <v>768</v>
      </c>
      <c r="C19" t="s">
        <v>769</v>
      </c>
      <c r="D19" t="s">
        <v>740</v>
      </c>
      <c r="F19">
        <v>73.106605999999999</v>
      </c>
      <c r="G19">
        <v>74.492615000000001</v>
      </c>
      <c r="H19">
        <v>74.920852999999994</v>
      </c>
      <c r="I19">
        <v>74.970245000000006</v>
      </c>
      <c r="J19">
        <v>75.073691999999994</v>
      </c>
      <c r="K19">
        <v>74.813400000000001</v>
      </c>
      <c r="L19">
        <v>73.955078</v>
      </c>
      <c r="M19">
        <v>73.365143000000003</v>
      </c>
      <c r="N19">
        <v>72.822044000000005</v>
      </c>
      <c r="O19">
        <v>73.29007</v>
      </c>
      <c r="P19">
        <v>73.362350000000006</v>
      </c>
      <c r="Q19">
        <v>73.803443999999999</v>
      </c>
      <c r="R19">
        <v>74.245209000000003</v>
      </c>
      <c r="S19">
        <v>74.740074000000007</v>
      </c>
      <c r="T19">
        <v>75.565612999999999</v>
      </c>
      <c r="U19">
        <v>76.517937000000003</v>
      </c>
      <c r="V19">
        <v>77.588065999999998</v>
      </c>
      <c r="W19">
        <v>78.300179</v>
      </c>
      <c r="X19">
        <v>79.465652000000006</v>
      </c>
      <c r="Y19">
        <v>80.692490000000006</v>
      </c>
      <c r="Z19">
        <v>81.847877999999994</v>
      </c>
      <c r="AA19">
        <v>83.498360000000005</v>
      </c>
      <c r="AB19">
        <v>85.137603999999996</v>
      </c>
      <c r="AC19">
        <v>85.927277000000004</v>
      </c>
      <c r="AD19">
        <v>86.475052000000005</v>
      </c>
      <c r="AE19">
        <v>88.442543000000001</v>
      </c>
      <c r="AF19">
        <v>90.415633999999997</v>
      </c>
      <c r="AG19">
        <v>91.291968999999995</v>
      </c>
      <c r="AH19">
        <v>92.919960000000003</v>
      </c>
      <c r="AI19">
        <v>95.786666999999994</v>
      </c>
      <c r="AJ19" s="81">
        <v>8.9999999999999993E-3</v>
      </c>
    </row>
    <row r="20" spans="1:38" x14ac:dyDescent="0.25">
      <c r="A20" t="s">
        <v>770</v>
      </c>
      <c r="B20" t="s">
        <v>771</v>
      </c>
      <c r="C20" t="s">
        <v>772</v>
      </c>
      <c r="D20" t="s">
        <v>740</v>
      </c>
      <c r="F20">
        <v>172.226822</v>
      </c>
      <c r="G20">
        <v>173.272018</v>
      </c>
      <c r="H20">
        <v>172.64489699999999</v>
      </c>
      <c r="I20">
        <v>171.370575</v>
      </c>
      <c r="J20">
        <v>169.472443</v>
      </c>
      <c r="K20">
        <v>167.815506</v>
      </c>
      <c r="L20">
        <v>166.219055</v>
      </c>
      <c r="M20">
        <v>164.844269</v>
      </c>
      <c r="N20">
        <v>163.43594400000001</v>
      </c>
      <c r="O20">
        <v>161.91227699999999</v>
      </c>
      <c r="P20">
        <v>160.287994</v>
      </c>
      <c r="Q20">
        <v>158.899551</v>
      </c>
      <c r="R20">
        <v>157.27024800000001</v>
      </c>
      <c r="S20">
        <v>155.54357899999999</v>
      </c>
      <c r="T20">
        <v>154.13870199999999</v>
      </c>
      <c r="U20">
        <v>152.74082899999999</v>
      </c>
      <c r="V20">
        <v>151.28488200000001</v>
      </c>
      <c r="W20">
        <v>149.957718</v>
      </c>
      <c r="X20">
        <v>148.827606</v>
      </c>
      <c r="Y20">
        <v>147.47110000000001</v>
      </c>
      <c r="Z20">
        <v>146.151703</v>
      </c>
      <c r="AA20">
        <v>145.10871900000001</v>
      </c>
      <c r="AB20">
        <v>144.08341999999999</v>
      </c>
      <c r="AC20">
        <v>142.38600199999999</v>
      </c>
      <c r="AD20">
        <v>141.10952800000001</v>
      </c>
      <c r="AE20">
        <v>140.48240699999999</v>
      </c>
      <c r="AF20">
        <v>139.86592099999999</v>
      </c>
      <c r="AG20">
        <v>139.51620500000001</v>
      </c>
      <c r="AH20">
        <v>137.74025</v>
      </c>
      <c r="AI20">
        <v>137.07678200000001</v>
      </c>
      <c r="AJ20" s="81">
        <v>-8.0000000000000002E-3</v>
      </c>
    </row>
    <row r="21" spans="1:38" x14ac:dyDescent="0.25">
      <c r="A21" t="s">
        <v>773</v>
      </c>
      <c r="B21" t="s">
        <v>774</v>
      </c>
      <c r="C21" t="s">
        <v>775</v>
      </c>
      <c r="D21" t="s">
        <v>740</v>
      </c>
      <c r="F21">
        <v>82.234702999999996</v>
      </c>
      <c r="G21">
        <v>81.187163999999996</v>
      </c>
      <c r="H21">
        <v>79.630684000000002</v>
      </c>
      <c r="I21">
        <v>77.586235000000002</v>
      </c>
      <c r="J21">
        <v>75.565124999999995</v>
      </c>
      <c r="K21">
        <v>73.572090000000003</v>
      </c>
      <c r="L21">
        <v>71.851616000000007</v>
      </c>
      <c r="M21">
        <v>70.612922999999995</v>
      </c>
      <c r="N21">
        <v>69.551024999999996</v>
      </c>
      <c r="O21">
        <v>68.676833999999999</v>
      </c>
      <c r="P21">
        <v>67.632064999999997</v>
      </c>
      <c r="Q21">
        <v>67.008430000000004</v>
      </c>
      <c r="R21">
        <v>66.476471000000004</v>
      </c>
      <c r="S21">
        <v>65.723656000000005</v>
      </c>
      <c r="T21">
        <v>64.944396999999995</v>
      </c>
      <c r="U21">
        <v>63.884346000000001</v>
      </c>
      <c r="V21">
        <v>62.556235999999998</v>
      </c>
      <c r="W21">
        <v>61.694462000000001</v>
      </c>
      <c r="X21">
        <v>61.072051999999999</v>
      </c>
      <c r="Y21">
        <v>61.092018000000003</v>
      </c>
      <c r="Z21">
        <v>61.034531000000001</v>
      </c>
      <c r="AA21">
        <v>60.722279</v>
      </c>
      <c r="AB21">
        <v>61.370449000000001</v>
      </c>
      <c r="AC21">
        <v>60.406033000000001</v>
      </c>
      <c r="AD21">
        <v>59.911456999999999</v>
      </c>
      <c r="AE21">
        <v>58.687168</v>
      </c>
      <c r="AF21">
        <v>57.077961000000002</v>
      </c>
      <c r="AG21">
        <v>55.920696</v>
      </c>
      <c r="AH21">
        <v>55.103805999999999</v>
      </c>
      <c r="AI21">
        <v>53.869822999999997</v>
      </c>
      <c r="AJ21" s="81">
        <v>-1.4E-2</v>
      </c>
    </row>
    <row r="22" spans="1:38" x14ac:dyDescent="0.25">
      <c r="A22" t="s">
        <v>776</v>
      </c>
      <c r="B22" t="s">
        <v>777</v>
      </c>
      <c r="C22" t="s">
        <v>778</v>
      </c>
      <c r="D22" t="s">
        <v>740</v>
      </c>
      <c r="F22">
        <v>980.72161900000003</v>
      </c>
      <c r="G22">
        <v>940.86901899999998</v>
      </c>
      <c r="H22">
        <v>930.38812299999995</v>
      </c>
      <c r="I22">
        <v>926.09252900000001</v>
      </c>
      <c r="J22">
        <v>934.00262499999997</v>
      </c>
      <c r="K22">
        <v>943.36395300000004</v>
      </c>
      <c r="L22">
        <v>951.80041500000004</v>
      </c>
      <c r="M22">
        <v>959.39624000000003</v>
      </c>
      <c r="N22">
        <v>964.21441700000003</v>
      </c>
      <c r="O22">
        <v>970.38867200000004</v>
      </c>
      <c r="P22">
        <v>979.801331</v>
      </c>
      <c r="Q22">
        <v>994.37609899999995</v>
      </c>
      <c r="R22">
        <v>1006.759155</v>
      </c>
      <c r="S22">
        <v>1016.387207</v>
      </c>
      <c r="T22">
        <v>1027.3154300000001</v>
      </c>
      <c r="U22">
        <v>1039.3498540000001</v>
      </c>
      <c r="V22">
        <v>1052.8603519999999</v>
      </c>
      <c r="W22">
        <v>1066.6613769999999</v>
      </c>
      <c r="X22">
        <v>1080.939453</v>
      </c>
      <c r="Y22">
        <v>1093.885376</v>
      </c>
      <c r="Z22">
        <v>1108.392578</v>
      </c>
      <c r="AA22">
        <v>1126.6770019999999</v>
      </c>
      <c r="AB22">
        <v>1146.821533</v>
      </c>
      <c r="AC22">
        <v>1162.1750489999999</v>
      </c>
      <c r="AD22">
        <v>1178.5720209999999</v>
      </c>
      <c r="AE22">
        <v>1203.0020750000001</v>
      </c>
      <c r="AF22">
        <v>1224.2114260000001</v>
      </c>
      <c r="AG22">
        <v>1238.2368160000001</v>
      </c>
      <c r="AH22">
        <v>1257.2177730000001</v>
      </c>
      <c r="AI22">
        <v>1282.0888669999999</v>
      </c>
      <c r="AJ22" s="81">
        <v>8.9999999999999993E-3</v>
      </c>
    </row>
    <row r="23" spans="1:38" x14ac:dyDescent="0.25">
      <c r="A23" t="s">
        <v>779</v>
      </c>
      <c r="B23" t="s">
        <v>780</v>
      </c>
      <c r="C23" t="s">
        <v>781</v>
      </c>
      <c r="D23" t="s">
        <v>740</v>
      </c>
      <c r="F23">
        <v>463.10674999999998</v>
      </c>
      <c r="G23">
        <v>455.298248</v>
      </c>
      <c r="H23">
        <v>451.302032</v>
      </c>
      <c r="I23">
        <v>448.81549100000001</v>
      </c>
      <c r="J23">
        <v>456.10266100000001</v>
      </c>
      <c r="K23">
        <v>463.94164999999998</v>
      </c>
      <c r="L23">
        <v>470.07739299999997</v>
      </c>
      <c r="M23">
        <v>475.59738199999998</v>
      </c>
      <c r="N23">
        <v>478.43301400000001</v>
      </c>
      <c r="O23">
        <v>482.51589999999999</v>
      </c>
      <c r="P23">
        <v>488.89401199999998</v>
      </c>
      <c r="Q23">
        <v>499.06353799999999</v>
      </c>
      <c r="R23">
        <v>506.06686400000001</v>
      </c>
      <c r="S23">
        <v>510.52136200000001</v>
      </c>
      <c r="T23">
        <v>515.73773200000005</v>
      </c>
      <c r="U23">
        <v>521.22619599999996</v>
      </c>
      <c r="V23">
        <v>527.05810499999995</v>
      </c>
      <c r="W23">
        <v>532.28247099999999</v>
      </c>
      <c r="X23">
        <v>537.46704099999999</v>
      </c>
      <c r="Y23">
        <v>541.01818800000001</v>
      </c>
      <c r="Z23">
        <v>545.26507600000002</v>
      </c>
      <c r="AA23">
        <v>550.62841800000001</v>
      </c>
      <c r="AB23">
        <v>556.98748799999998</v>
      </c>
      <c r="AC23">
        <v>558.42749000000003</v>
      </c>
      <c r="AD23">
        <v>560.82269299999996</v>
      </c>
      <c r="AE23">
        <v>569.84582499999999</v>
      </c>
      <c r="AF23">
        <v>574.25354000000004</v>
      </c>
      <c r="AG23">
        <v>571.66546600000004</v>
      </c>
      <c r="AH23">
        <v>573.69122300000004</v>
      </c>
      <c r="AI23">
        <v>583.27954099999999</v>
      </c>
      <c r="AJ23" s="81">
        <v>8.0000000000000002E-3</v>
      </c>
    </row>
    <row r="24" spans="1:38" x14ac:dyDescent="0.25">
      <c r="A24" t="s">
        <v>782</v>
      </c>
      <c r="B24" t="s">
        <v>783</v>
      </c>
      <c r="C24" t="s">
        <v>784</v>
      </c>
      <c r="D24" t="s">
        <v>740</v>
      </c>
      <c r="F24">
        <v>53.850636000000002</v>
      </c>
      <c r="G24">
        <v>51.550567999999998</v>
      </c>
      <c r="H24">
        <v>49.438751000000003</v>
      </c>
      <c r="I24">
        <v>48.350109000000003</v>
      </c>
      <c r="J24">
        <v>47.734375</v>
      </c>
      <c r="K24">
        <v>47.503692999999998</v>
      </c>
      <c r="L24">
        <v>47.458179000000001</v>
      </c>
      <c r="M24">
        <v>47.777470000000001</v>
      </c>
      <c r="N24">
        <v>47.768639</v>
      </c>
      <c r="O24">
        <v>47.684147000000003</v>
      </c>
      <c r="P24">
        <v>47.559882999999999</v>
      </c>
      <c r="Q24">
        <v>47.722785999999999</v>
      </c>
      <c r="R24">
        <v>47.588608000000001</v>
      </c>
      <c r="S24">
        <v>47.195621000000003</v>
      </c>
      <c r="T24">
        <v>46.945366</v>
      </c>
      <c r="U24">
        <v>46.787833999999997</v>
      </c>
      <c r="V24">
        <v>46.789524</v>
      </c>
      <c r="W24">
        <v>46.814411</v>
      </c>
      <c r="X24">
        <v>46.820006999999997</v>
      </c>
      <c r="Y24">
        <v>46.556323999999996</v>
      </c>
      <c r="Z24">
        <v>46.370941000000002</v>
      </c>
      <c r="AA24">
        <v>46.241123000000002</v>
      </c>
      <c r="AB24">
        <v>46.037731000000001</v>
      </c>
      <c r="AC24">
        <v>45.256706000000001</v>
      </c>
      <c r="AD24">
        <v>44.760390999999998</v>
      </c>
      <c r="AE24">
        <v>44.776980999999999</v>
      </c>
      <c r="AF24">
        <v>44.703194000000003</v>
      </c>
      <c r="AG24">
        <v>43.526035</v>
      </c>
      <c r="AH24">
        <v>42.594841000000002</v>
      </c>
      <c r="AI24">
        <v>42.479103000000002</v>
      </c>
      <c r="AJ24" s="81">
        <v>-8.0000000000000002E-3</v>
      </c>
    </row>
    <row r="25" spans="1:38" x14ac:dyDescent="0.25">
      <c r="A25" t="s">
        <v>785</v>
      </c>
      <c r="B25" t="s">
        <v>786</v>
      </c>
      <c r="C25" t="s">
        <v>787</v>
      </c>
      <c r="D25" t="s">
        <v>740</v>
      </c>
      <c r="F25">
        <v>234.04574600000001</v>
      </c>
      <c r="G25">
        <v>225.48904400000001</v>
      </c>
      <c r="H25">
        <v>227.23129299999999</v>
      </c>
      <c r="I25">
        <v>229.237595</v>
      </c>
      <c r="J25">
        <v>233.21202099999999</v>
      </c>
      <c r="K25">
        <v>235.84612999999999</v>
      </c>
      <c r="L25">
        <v>238.11674500000001</v>
      </c>
      <c r="M25">
        <v>240.73487900000001</v>
      </c>
      <c r="N25">
        <v>243.95472699999999</v>
      </c>
      <c r="O25">
        <v>247.65332000000001</v>
      </c>
      <c r="P25">
        <v>251.37535099999999</v>
      </c>
      <c r="Q25">
        <v>256.15502900000001</v>
      </c>
      <c r="R25">
        <v>259.93643200000002</v>
      </c>
      <c r="S25">
        <v>264.31484999999998</v>
      </c>
      <c r="T25">
        <v>268.79714999999999</v>
      </c>
      <c r="U25">
        <v>273.12536599999999</v>
      </c>
      <c r="V25">
        <v>277.17214999999999</v>
      </c>
      <c r="W25">
        <v>280.96246300000001</v>
      </c>
      <c r="X25">
        <v>284.30343599999998</v>
      </c>
      <c r="Y25">
        <v>287.32800300000002</v>
      </c>
      <c r="Z25">
        <v>291.57226600000001</v>
      </c>
      <c r="AA25">
        <v>296.066711</v>
      </c>
      <c r="AB25">
        <v>300.46002199999998</v>
      </c>
      <c r="AC25">
        <v>301.39941399999998</v>
      </c>
      <c r="AD25">
        <v>302.66381799999999</v>
      </c>
      <c r="AE25">
        <v>308.00750699999998</v>
      </c>
      <c r="AF25">
        <v>310.79541</v>
      </c>
      <c r="AG25">
        <v>309.99148600000001</v>
      </c>
      <c r="AH25">
        <v>311.87802099999999</v>
      </c>
      <c r="AI25">
        <v>317.72769199999999</v>
      </c>
      <c r="AJ25" s="81">
        <v>1.0999999999999999E-2</v>
      </c>
    </row>
    <row r="26" spans="1:38" x14ac:dyDescent="0.25">
      <c r="A26" t="s">
        <v>788</v>
      </c>
      <c r="B26" t="s">
        <v>789</v>
      </c>
      <c r="C26" t="s">
        <v>790</v>
      </c>
      <c r="D26" t="s">
        <v>791</v>
      </c>
      <c r="E26" t="s">
        <v>792</v>
      </c>
      <c r="F26">
        <v>130.706772</v>
      </c>
      <c r="G26">
        <v>135.51040599999999</v>
      </c>
      <c r="H26">
        <v>131.558243</v>
      </c>
      <c r="I26">
        <v>128.28755200000001</v>
      </c>
      <c r="J26">
        <v>132.05851699999999</v>
      </c>
      <c r="K26">
        <v>137.179428</v>
      </c>
      <c r="L26">
        <v>140.60777300000001</v>
      </c>
      <c r="M26">
        <v>142.44058200000001</v>
      </c>
      <c r="N26">
        <v>141.51821899999999</v>
      </c>
      <c r="O26">
        <v>141.52049299999999</v>
      </c>
      <c r="P26">
        <v>143.92950400000001</v>
      </c>
      <c r="Q26">
        <v>148.53035</v>
      </c>
      <c r="R26">
        <v>151.426895</v>
      </c>
      <c r="S26">
        <v>151.70507799999999</v>
      </c>
      <c r="T26">
        <v>152.395996</v>
      </c>
      <c r="U26">
        <v>153.51660200000001</v>
      </c>
      <c r="V26">
        <v>155.09947199999999</v>
      </c>
      <c r="W26">
        <v>156.348129</v>
      </c>
      <c r="X26">
        <v>158.019745</v>
      </c>
      <c r="Y26">
        <v>158.761551</v>
      </c>
      <c r="Z26">
        <v>158.86943099999999</v>
      </c>
      <c r="AA26">
        <v>159.733047</v>
      </c>
      <c r="AB26">
        <v>161.81849700000001</v>
      </c>
      <c r="AC26">
        <v>163.12077300000001</v>
      </c>
      <c r="AD26">
        <v>164.795624</v>
      </c>
      <c r="AE26">
        <v>168.07678200000001</v>
      </c>
      <c r="AF26">
        <v>169.583405</v>
      </c>
      <c r="AG26">
        <v>169.122849</v>
      </c>
      <c r="AH26">
        <v>170.116669</v>
      </c>
      <c r="AI26">
        <v>173.62245200000001</v>
      </c>
      <c r="AJ26" s="81">
        <v>0.01</v>
      </c>
      <c r="AL26" s="81"/>
    </row>
    <row r="27" spans="1:38" x14ac:dyDescent="0.25">
      <c r="A27" t="s">
        <v>793</v>
      </c>
      <c r="B27" t="s">
        <v>794</v>
      </c>
      <c r="C27" t="s">
        <v>795</v>
      </c>
      <c r="D27" t="s">
        <v>740</v>
      </c>
      <c r="F27">
        <v>44.503590000000003</v>
      </c>
      <c r="G27">
        <v>42.748218999999999</v>
      </c>
      <c r="H27">
        <v>43.073760999999998</v>
      </c>
      <c r="I27">
        <v>42.940258</v>
      </c>
      <c r="J27">
        <v>43.097712999999999</v>
      </c>
      <c r="K27">
        <v>43.412410999999999</v>
      </c>
      <c r="L27">
        <v>43.894714</v>
      </c>
      <c r="M27">
        <v>44.644444</v>
      </c>
      <c r="N27">
        <v>45.191433000000004</v>
      </c>
      <c r="O27">
        <v>45.657940000000004</v>
      </c>
      <c r="P27">
        <v>46.029277999999998</v>
      </c>
      <c r="Q27">
        <v>46.655380000000001</v>
      </c>
      <c r="R27">
        <v>47.114947999999998</v>
      </c>
      <c r="S27">
        <v>47.305813000000001</v>
      </c>
      <c r="T27">
        <v>47.59919</v>
      </c>
      <c r="U27">
        <v>47.796402</v>
      </c>
      <c r="V27">
        <v>47.996955999999997</v>
      </c>
      <c r="W27">
        <v>48.157459000000003</v>
      </c>
      <c r="X27">
        <v>48.323878999999998</v>
      </c>
      <c r="Y27">
        <v>48.372287999999998</v>
      </c>
      <c r="Z27">
        <v>48.452449999999999</v>
      </c>
      <c r="AA27">
        <v>48.587542999999997</v>
      </c>
      <c r="AB27">
        <v>48.671253</v>
      </c>
      <c r="AC27">
        <v>48.650596999999998</v>
      </c>
      <c r="AD27">
        <v>48.602817999999999</v>
      </c>
      <c r="AE27">
        <v>48.984561999999997</v>
      </c>
      <c r="AF27">
        <v>49.171539000000003</v>
      </c>
      <c r="AG27">
        <v>49.025089000000001</v>
      </c>
      <c r="AH27">
        <v>49.101685000000003</v>
      </c>
      <c r="AI27">
        <v>49.450347999999998</v>
      </c>
      <c r="AJ27" s="81">
        <v>4.0000000000000001E-3</v>
      </c>
    </row>
    <row r="28" spans="1:38" x14ac:dyDescent="0.25">
      <c r="A28" t="s">
        <v>796</v>
      </c>
      <c r="B28" t="s">
        <v>797</v>
      </c>
      <c r="C28" t="s">
        <v>798</v>
      </c>
      <c r="D28" t="s">
        <v>740</v>
      </c>
      <c r="F28">
        <v>517.614868</v>
      </c>
      <c r="G28">
        <v>485.57076999999998</v>
      </c>
      <c r="H28">
        <v>479.08609000000001</v>
      </c>
      <c r="I28">
        <v>477.27706899999998</v>
      </c>
      <c r="J28">
        <v>477.89996300000001</v>
      </c>
      <c r="K28">
        <v>479.422302</v>
      </c>
      <c r="L28">
        <v>481.72305299999999</v>
      </c>
      <c r="M28">
        <v>483.79888899999997</v>
      </c>
      <c r="N28">
        <v>485.78140300000001</v>
      </c>
      <c r="O28">
        <v>487.87274200000002</v>
      </c>
      <c r="P28">
        <v>490.90731799999998</v>
      </c>
      <c r="Q28">
        <v>495.312592</v>
      </c>
      <c r="R28">
        <v>500.69232199999999</v>
      </c>
      <c r="S28">
        <v>505.865814</v>
      </c>
      <c r="T28">
        <v>511.57763699999998</v>
      </c>
      <c r="U28">
        <v>518.12371800000005</v>
      </c>
      <c r="V28">
        <v>525.80218500000001</v>
      </c>
      <c r="W28">
        <v>534.37884499999996</v>
      </c>
      <c r="X28">
        <v>543.47247300000004</v>
      </c>
      <c r="Y28">
        <v>552.86718800000006</v>
      </c>
      <c r="Z28">
        <v>563.12744099999998</v>
      </c>
      <c r="AA28">
        <v>576.04864499999996</v>
      </c>
      <c r="AB28">
        <v>589.83410600000002</v>
      </c>
      <c r="AC28">
        <v>603.74755900000002</v>
      </c>
      <c r="AD28">
        <v>617.74926800000003</v>
      </c>
      <c r="AE28">
        <v>633.15625</v>
      </c>
      <c r="AF28">
        <v>649.95788600000003</v>
      </c>
      <c r="AG28">
        <v>666.57135000000005</v>
      </c>
      <c r="AH28">
        <v>683.52648899999997</v>
      </c>
      <c r="AI28">
        <v>698.80932600000006</v>
      </c>
      <c r="AJ28" s="81">
        <v>0.01</v>
      </c>
    </row>
    <row r="29" spans="1:38" x14ac:dyDescent="0.25">
      <c r="A29" t="s">
        <v>799</v>
      </c>
      <c r="B29" t="s">
        <v>800</v>
      </c>
      <c r="C29" t="s">
        <v>801</v>
      </c>
      <c r="D29" t="s">
        <v>740</v>
      </c>
      <c r="F29">
        <v>789.06366000000003</v>
      </c>
      <c r="G29">
        <v>885.51178000000004</v>
      </c>
      <c r="H29">
        <v>899.496399</v>
      </c>
      <c r="I29">
        <v>897.32391399999995</v>
      </c>
      <c r="J29">
        <v>897.97326699999996</v>
      </c>
      <c r="K29">
        <v>896.10211200000003</v>
      </c>
      <c r="L29">
        <v>892.39953600000001</v>
      </c>
      <c r="M29">
        <v>890.51330600000006</v>
      </c>
      <c r="N29">
        <v>887.01245100000006</v>
      </c>
      <c r="O29">
        <v>884.10363800000005</v>
      </c>
      <c r="P29">
        <v>883.01489300000003</v>
      </c>
      <c r="Q29">
        <v>884.73651099999995</v>
      </c>
      <c r="R29">
        <v>884.38122599999997</v>
      </c>
      <c r="S29">
        <v>882.094604</v>
      </c>
      <c r="T29">
        <v>879.74871800000005</v>
      </c>
      <c r="U29">
        <v>878.12823500000002</v>
      </c>
      <c r="V29">
        <v>877.94244400000002</v>
      </c>
      <c r="W29">
        <v>877.26892099999998</v>
      </c>
      <c r="X29">
        <v>878.56304899999998</v>
      </c>
      <c r="Y29">
        <v>878.48266599999999</v>
      </c>
      <c r="Z29">
        <v>879.24432400000001</v>
      </c>
      <c r="AA29">
        <v>881.43170199999997</v>
      </c>
      <c r="AB29">
        <v>883.830017</v>
      </c>
      <c r="AC29">
        <v>884.55798300000004</v>
      </c>
      <c r="AD29">
        <v>886.77825900000005</v>
      </c>
      <c r="AE29">
        <v>890.43878199999995</v>
      </c>
      <c r="AF29">
        <v>892.92889400000001</v>
      </c>
      <c r="AG29">
        <v>893.51226799999995</v>
      </c>
      <c r="AH29">
        <v>896.77117899999996</v>
      </c>
      <c r="AI29">
        <v>904.23968500000001</v>
      </c>
      <c r="AJ29" s="81">
        <v>5.0000000000000001E-3</v>
      </c>
    </row>
    <row r="30" spans="1:38" x14ac:dyDescent="0.25">
      <c r="A30" t="s">
        <v>802</v>
      </c>
      <c r="B30" t="s">
        <v>803</v>
      </c>
      <c r="C30" t="s">
        <v>804</v>
      </c>
      <c r="D30" t="s">
        <v>740</v>
      </c>
      <c r="F30">
        <v>746.87048300000004</v>
      </c>
      <c r="G30">
        <v>840.716003</v>
      </c>
      <c r="H30">
        <v>850.76226799999995</v>
      </c>
      <c r="I30">
        <v>846.17730700000004</v>
      </c>
      <c r="J30">
        <v>846.14965800000004</v>
      </c>
      <c r="K30">
        <v>844.26403800000003</v>
      </c>
      <c r="L30">
        <v>840.59942599999999</v>
      </c>
      <c r="M30">
        <v>838.87609899999995</v>
      </c>
      <c r="N30">
        <v>835.64575200000002</v>
      </c>
      <c r="O30">
        <v>832.79443400000002</v>
      </c>
      <c r="P30">
        <v>831.82012899999995</v>
      </c>
      <c r="Q30">
        <v>833.64276099999995</v>
      </c>
      <c r="R30">
        <v>833.29260299999999</v>
      </c>
      <c r="S30">
        <v>831.01507600000002</v>
      </c>
      <c r="T30">
        <v>828.73272699999995</v>
      </c>
      <c r="U30">
        <v>827.11175500000002</v>
      </c>
      <c r="V30">
        <v>826.83715800000004</v>
      </c>
      <c r="W30">
        <v>826.180115</v>
      </c>
      <c r="X30">
        <v>827.33056599999998</v>
      </c>
      <c r="Y30">
        <v>827.06683299999997</v>
      </c>
      <c r="Z30">
        <v>827.625854</v>
      </c>
      <c r="AA30">
        <v>829.53912400000002</v>
      </c>
      <c r="AB30">
        <v>831.72735599999999</v>
      </c>
      <c r="AC30">
        <v>832.18102999999996</v>
      </c>
      <c r="AD30">
        <v>834.06146200000001</v>
      </c>
      <c r="AE30">
        <v>837.30822799999999</v>
      </c>
      <c r="AF30">
        <v>839.428223</v>
      </c>
      <c r="AG30">
        <v>839.74255400000004</v>
      </c>
      <c r="AH30">
        <v>842.51312299999995</v>
      </c>
      <c r="AI30">
        <v>849.40979000000004</v>
      </c>
      <c r="AJ30" s="81">
        <v>4.0000000000000001E-3</v>
      </c>
    </row>
    <row r="31" spans="1:38" x14ac:dyDescent="0.25">
      <c r="A31" t="s">
        <v>805</v>
      </c>
      <c r="B31" t="s">
        <v>806</v>
      </c>
      <c r="C31" t="s">
        <v>807</v>
      </c>
      <c r="D31" t="s">
        <v>740</v>
      </c>
      <c r="F31">
        <v>42.193161000000003</v>
      </c>
      <c r="G31">
        <v>44.795791999999999</v>
      </c>
      <c r="H31">
        <v>48.734158000000001</v>
      </c>
      <c r="I31">
        <v>51.146605999999998</v>
      </c>
      <c r="J31">
        <v>51.823608</v>
      </c>
      <c r="K31">
        <v>51.838081000000003</v>
      </c>
      <c r="L31">
        <v>51.800133000000002</v>
      </c>
      <c r="M31">
        <v>51.637183999999998</v>
      </c>
      <c r="N31">
        <v>51.366695</v>
      </c>
      <c r="O31">
        <v>51.309204000000001</v>
      </c>
      <c r="P31">
        <v>51.194752000000001</v>
      </c>
      <c r="Q31">
        <v>51.093730999999998</v>
      </c>
      <c r="R31">
        <v>51.088633999999999</v>
      </c>
      <c r="S31">
        <v>51.079501999999998</v>
      </c>
      <c r="T31">
        <v>51.015999000000001</v>
      </c>
      <c r="U31">
        <v>51.016506</v>
      </c>
      <c r="V31">
        <v>51.105297</v>
      </c>
      <c r="W31">
        <v>51.088779000000002</v>
      </c>
      <c r="X31">
        <v>51.232498</v>
      </c>
      <c r="Y31">
        <v>51.415824999999998</v>
      </c>
      <c r="Z31">
        <v>51.618454</v>
      </c>
      <c r="AA31">
        <v>51.892569999999999</v>
      </c>
      <c r="AB31">
        <v>52.102637999999999</v>
      </c>
      <c r="AC31">
        <v>52.376975999999999</v>
      </c>
      <c r="AD31">
        <v>52.716824000000003</v>
      </c>
      <c r="AE31">
        <v>53.130543000000003</v>
      </c>
      <c r="AF31">
        <v>53.500678999999998</v>
      </c>
      <c r="AG31">
        <v>53.769714</v>
      </c>
      <c r="AH31">
        <v>54.258045000000003</v>
      </c>
      <c r="AI31">
        <v>54.829875999999999</v>
      </c>
      <c r="AJ31" s="81">
        <v>8.9999999999999993E-3</v>
      </c>
    </row>
    <row r="32" spans="1:38" x14ac:dyDescent="0.25">
      <c r="A32" t="s">
        <v>808</v>
      </c>
      <c r="B32" t="s">
        <v>809</v>
      </c>
      <c r="C32" t="s">
        <v>810</v>
      </c>
      <c r="D32" t="s">
        <v>740</v>
      </c>
      <c r="F32">
        <v>245.455399</v>
      </c>
      <c r="G32">
        <v>241.79295300000001</v>
      </c>
      <c r="H32">
        <v>238.33036799999999</v>
      </c>
      <c r="I32">
        <v>239.35244800000001</v>
      </c>
      <c r="J32">
        <v>241.29742400000001</v>
      </c>
      <c r="K32">
        <v>243.388443</v>
      </c>
      <c r="L32">
        <v>246.60760500000001</v>
      </c>
      <c r="M32">
        <v>251.61869799999999</v>
      </c>
      <c r="N32">
        <v>255.540268</v>
      </c>
      <c r="O32">
        <v>259.35934400000002</v>
      </c>
      <c r="P32">
        <v>262.99316399999998</v>
      </c>
      <c r="Q32">
        <v>267.15747099999999</v>
      </c>
      <c r="R32">
        <v>270.874664</v>
      </c>
      <c r="S32">
        <v>273.07781999999997</v>
      </c>
      <c r="T32">
        <v>276.69216899999998</v>
      </c>
      <c r="U32">
        <v>280.75842299999999</v>
      </c>
      <c r="V32">
        <v>285.36068699999998</v>
      </c>
      <c r="W32">
        <v>289.78723100000002</v>
      </c>
      <c r="X32">
        <v>294.53463699999998</v>
      </c>
      <c r="Y32">
        <v>299.19793700000002</v>
      </c>
      <c r="Z32">
        <v>303.74288899999999</v>
      </c>
      <c r="AA32">
        <v>308.89785799999999</v>
      </c>
      <c r="AB32">
        <v>315.15469400000001</v>
      </c>
      <c r="AC32">
        <v>320.66641199999998</v>
      </c>
      <c r="AD32">
        <v>326.10000600000001</v>
      </c>
      <c r="AE32">
        <v>333.033905</v>
      </c>
      <c r="AF32">
        <v>339.61480699999998</v>
      </c>
      <c r="AG32">
        <v>345.44082600000002</v>
      </c>
      <c r="AH32">
        <v>351.48700000000002</v>
      </c>
      <c r="AI32">
        <v>359.67404199999999</v>
      </c>
      <c r="AJ32" s="81">
        <v>1.2999999999999999E-2</v>
      </c>
    </row>
    <row r="33" spans="1:38" x14ac:dyDescent="0.25">
      <c r="A33" t="s">
        <v>811</v>
      </c>
      <c r="B33" t="s">
        <v>812</v>
      </c>
      <c r="C33" t="s">
        <v>813</v>
      </c>
      <c r="D33" t="s">
        <v>814</v>
      </c>
      <c r="E33" t="s">
        <v>815</v>
      </c>
      <c r="F33">
        <v>113.227737</v>
      </c>
      <c r="G33">
        <v>109.109207</v>
      </c>
      <c r="H33">
        <v>106.69244399999999</v>
      </c>
      <c r="I33">
        <v>107.43405199999999</v>
      </c>
      <c r="J33">
        <v>108.528435</v>
      </c>
      <c r="K33">
        <v>109.185585</v>
      </c>
      <c r="L33">
        <v>109.47917200000001</v>
      </c>
      <c r="M33">
        <v>109.89218099999999</v>
      </c>
      <c r="N33">
        <v>110.357849</v>
      </c>
      <c r="O33">
        <v>111.353172</v>
      </c>
      <c r="P33">
        <v>112.262619</v>
      </c>
      <c r="Q33">
        <v>113.35408</v>
      </c>
      <c r="R33">
        <v>114.380325</v>
      </c>
      <c r="S33">
        <v>114.70244599999999</v>
      </c>
      <c r="T33">
        <v>115.583923</v>
      </c>
      <c r="U33">
        <v>116.32440200000001</v>
      </c>
      <c r="V33">
        <v>117.12651099999999</v>
      </c>
      <c r="W33">
        <v>117.76142900000001</v>
      </c>
      <c r="X33">
        <v>118.41100299999999</v>
      </c>
      <c r="Y33">
        <v>119.154732</v>
      </c>
      <c r="Z33">
        <v>120.05632799999999</v>
      </c>
      <c r="AA33">
        <v>120.667603</v>
      </c>
      <c r="AB33">
        <v>120.67707799999999</v>
      </c>
      <c r="AC33">
        <v>121.01808200000001</v>
      </c>
      <c r="AD33">
        <v>121.55239899999999</v>
      </c>
      <c r="AE33">
        <v>122.32905599999999</v>
      </c>
      <c r="AF33">
        <v>123.009445</v>
      </c>
      <c r="AG33">
        <v>122.92292</v>
      </c>
      <c r="AH33">
        <v>122.631821</v>
      </c>
      <c r="AI33">
        <v>122.747513</v>
      </c>
      <c r="AJ33" s="81">
        <v>3.0000000000000001E-3</v>
      </c>
      <c r="AL33" s="81"/>
    </row>
    <row r="34" spans="1:38" x14ac:dyDescent="0.25">
      <c r="A34" t="s">
        <v>816</v>
      </c>
      <c r="B34" t="s">
        <v>817</v>
      </c>
      <c r="C34" t="s">
        <v>818</v>
      </c>
      <c r="D34" t="s">
        <v>740</v>
      </c>
      <c r="F34">
        <v>23.465088000000002</v>
      </c>
      <c r="G34">
        <v>21.783059999999999</v>
      </c>
      <c r="H34">
        <v>21.384214</v>
      </c>
      <c r="I34">
        <v>20.878117</v>
      </c>
      <c r="J34">
        <v>20.782543</v>
      </c>
      <c r="K34">
        <v>20.692644000000001</v>
      </c>
      <c r="L34">
        <v>20.512906999999998</v>
      </c>
      <c r="M34">
        <v>20.323284000000001</v>
      </c>
      <c r="N34">
        <v>20.166574000000001</v>
      </c>
      <c r="O34">
        <v>20.228386</v>
      </c>
      <c r="P34">
        <v>20.307383000000002</v>
      </c>
      <c r="Q34">
        <v>20.425203</v>
      </c>
      <c r="R34">
        <v>20.499140000000001</v>
      </c>
      <c r="S34">
        <v>20.438977999999999</v>
      </c>
      <c r="T34">
        <v>20.404790999999999</v>
      </c>
      <c r="U34">
        <v>20.316797000000001</v>
      </c>
      <c r="V34">
        <v>20.171747</v>
      </c>
      <c r="W34">
        <v>20.004017000000001</v>
      </c>
      <c r="X34">
        <v>19.919577</v>
      </c>
      <c r="Y34">
        <v>19.699514000000001</v>
      </c>
      <c r="Z34">
        <v>19.535419000000001</v>
      </c>
      <c r="AA34">
        <v>19.386906</v>
      </c>
      <c r="AB34">
        <v>19.263349999999999</v>
      </c>
      <c r="AC34">
        <v>19.142690999999999</v>
      </c>
      <c r="AD34">
        <v>18.977442</v>
      </c>
      <c r="AE34">
        <v>18.848768</v>
      </c>
      <c r="AF34">
        <v>18.691172000000002</v>
      </c>
      <c r="AG34">
        <v>18.550405999999999</v>
      </c>
      <c r="AH34">
        <v>18.279713000000001</v>
      </c>
      <c r="AI34">
        <v>18.123037</v>
      </c>
      <c r="AJ34" s="81">
        <v>-8.9999999999999993E-3</v>
      </c>
    </row>
    <row r="35" spans="1:38" x14ac:dyDescent="0.25">
      <c r="A35" t="s">
        <v>819</v>
      </c>
      <c r="B35" t="s">
        <v>820</v>
      </c>
      <c r="C35" t="s">
        <v>821</v>
      </c>
      <c r="D35" t="s">
        <v>740</v>
      </c>
      <c r="F35">
        <v>13.972248</v>
      </c>
      <c r="G35">
        <v>14.708410000000001</v>
      </c>
      <c r="H35">
        <v>14.789883</v>
      </c>
      <c r="I35">
        <v>15.090622</v>
      </c>
      <c r="J35">
        <v>15.311078999999999</v>
      </c>
      <c r="K35">
        <v>15.412535</v>
      </c>
      <c r="L35">
        <v>15.460963</v>
      </c>
      <c r="M35">
        <v>15.52693</v>
      </c>
      <c r="N35">
        <v>15.640758999999999</v>
      </c>
      <c r="O35">
        <v>15.860227999999999</v>
      </c>
      <c r="P35">
        <v>16.10014</v>
      </c>
      <c r="Q35">
        <v>16.290489000000001</v>
      </c>
      <c r="R35">
        <v>16.472929000000001</v>
      </c>
      <c r="S35">
        <v>16.664034000000001</v>
      </c>
      <c r="T35">
        <v>16.890529999999998</v>
      </c>
      <c r="U35">
        <v>17.055897000000002</v>
      </c>
      <c r="V35">
        <v>17.196073999999999</v>
      </c>
      <c r="W35">
        <v>17.328506000000001</v>
      </c>
      <c r="X35">
        <v>17.456821000000001</v>
      </c>
      <c r="Y35">
        <v>17.659683000000001</v>
      </c>
      <c r="Z35">
        <v>17.887958999999999</v>
      </c>
      <c r="AA35">
        <v>18.065276999999998</v>
      </c>
      <c r="AB35">
        <v>18.146941999999999</v>
      </c>
      <c r="AC35">
        <v>18.263258</v>
      </c>
      <c r="AD35">
        <v>18.386185000000001</v>
      </c>
      <c r="AE35">
        <v>18.506488999999998</v>
      </c>
      <c r="AF35">
        <v>18.638000000000002</v>
      </c>
      <c r="AG35">
        <v>18.651053999999998</v>
      </c>
      <c r="AH35">
        <v>18.658252999999998</v>
      </c>
      <c r="AI35">
        <v>18.717762</v>
      </c>
      <c r="AJ35" s="81">
        <v>0.01</v>
      </c>
    </row>
    <row r="36" spans="1:38" x14ac:dyDescent="0.25">
      <c r="A36" t="s">
        <v>822</v>
      </c>
      <c r="B36" t="s">
        <v>823</v>
      </c>
      <c r="C36" t="s">
        <v>824</v>
      </c>
      <c r="D36" t="s">
        <v>740</v>
      </c>
      <c r="F36">
        <v>75.790397999999996</v>
      </c>
      <c r="G36">
        <v>72.617737000000005</v>
      </c>
      <c r="H36">
        <v>70.518349000000001</v>
      </c>
      <c r="I36">
        <v>71.465309000000005</v>
      </c>
      <c r="J36">
        <v>72.434814000000003</v>
      </c>
      <c r="K36">
        <v>73.080405999999996</v>
      </c>
      <c r="L36">
        <v>73.505302</v>
      </c>
      <c r="M36">
        <v>74.041968999999995</v>
      </c>
      <c r="N36">
        <v>74.550514000000007</v>
      </c>
      <c r="O36">
        <v>75.264556999999996</v>
      </c>
      <c r="P36">
        <v>75.855095000000006</v>
      </c>
      <c r="Q36">
        <v>76.638390000000001</v>
      </c>
      <c r="R36">
        <v>77.408257000000006</v>
      </c>
      <c r="S36">
        <v>77.599434000000002</v>
      </c>
      <c r="T36">
        <v>78.288596999999996</v>
      </c>
      <c r="U36">
        <v>78.951706000000001</v>
      </c>
      <c r="V36">
        <v>79.758690000000001</v>
      </c>
      <c r="W36">
        <v>80.428901999999994</v>
      </c>
      <c r="X36">
        <v>81.034606999999994</v>
      </c>
      <c r="Y36">
        <v>81.795531999999994</v>
      </c>
      <c r="Z36">
        <v>82.632949999999994</v>
      </c>
      <c r="AA36">
        <v>83.215416000000005</v>
      </c>
      <c r="AB36">
        <v>83.266784999999999</v>
      </c>
      <c r="AC36">
        <v>83.612137000000004</v>
      </c>
      <c r="AD36">
        <v>84.188766000000001</v>
      </c>
      <c r="AE36">
        <v>84.973800999999995</v>
      </c>
      <c r="AF36">
        <v>85.680267000000001</v>
      </c>
      <c r="AG36">
        <v>85.721457999999998</v>
      </c>
      <c r="AH36">
        <v>85.693854999999999</v>
      </c>
      <c r="AI36">
        <v>85.906715000000005</v>
      </c>
      <c r="AJ36" s="81">
        <v>4.0000000000000001E-3</v>
      </c>
    </row>
    <row r="37" spans="1:38" x14ac:dyDescent="0.25">
      <c r="A37" t="s">
        <v>825</v>
      </c>
      <c r="B37" t="s">
        <v>826</v>
      </c>
      <c r="C37" t="s">
        <v>827</v>
      </c>
      <c r="D37" t="s">
        <v>740</v>
      </c>
      <c r="F37">
        <v>240.150848</v>
      </c>
      <c r="G37">
        <v>248.902557</v>
      </c>
      <c r="H37">
        <v>250.07702599999999</v>
      </c>
      <c r="I37">
        <v>249.029785</v>
      </c>
      <c r="J37">
        <v>250.30413799999999</v>
      </c>
      <c r="K37">
        <v>250.60803200000001</v>
      </c>
      <c r="L37">
        <v>250.12616</v>
      </c>
      <c r="M37">
        <v>250.007172</v>
      </c>
      <c r="N37">
        <v>249.85891699999999</v>
      </c>
      <c r="O37">
        <v>249.90986599999999</v>
      </c>
      <c r="P37">
        <v>249.19882200000001</v>
      </c>
      <c r="Q37">
        <v>249.037476</v>
      </c>
      <c r="R37">
        <v>248.40512100000001</v>
      </c>
      <c r="S37">
        <v>247.97602800000001</v>
      </c>
      <c r="T37">
        <v>248.227203</v>
      </c>
      <c r="U37">
        <v>248.2901</v>
      </c>
      <c r="V37">
        <v>248.27737400000001</v>
      </c>
      <c r="W37">
        <v>248.48130800000001</v>
      </c>
      <c r="X37">
        <v>248.10502600000001</v>
      </c>
      <c r="Y37">
        <v>247.71679700000001</v>
      </c>
      <c r="Z37">
        <v>248.85090600000001</v>
      </c>
      <c r="AA37">
        <v>250.90130600000001</v>
      </c>
      <c r="AB37">
        <v>253.09219400000001</v>
      </c>
      <c r="AC37">
        <v>253.60751300000001</v>
      </c>
      <c r="AD37">
        <v>254.59634399999999</v>
      </c>
      <c r="AE37">
        <v>257.39395100000002</v>
      </c>
      <c r="AF37">
        <v>259.41772500000002</v>
      </c>
      <c r="AG37">
        <v>258.65225199999998</v>
      </c>
      <c r="AH37">
        <v>258.38314800000001</v>
      </c>
      <c r="AI37">
        <v>260.98474099999999</v>
      </c>
      <c r="AJ37" s="81">
        <v>3.0000000000000001E-3</v>
      </c>
    </row>
    <row r="38" spans="1:38" x14ac:dyDescent="0.25">
      <c r="A38" t="s">
        <v>828</v>
      </c>
      <c r="B38" t="s">
        <v>829</v>
      </c>
      <c r="C38" t="s">
        <v>830</v>
      </c>
      <c r="D38" t="s">
        <v>740</v>
      </c>
      <c r="F38">
        <v>125.35865</v>
      </c>
      <c r="G38">
        <v>127.91269699999999</v>
      </c>
      <c r="H38">
        <v>128.28152499999999</v>
      </c>
      <c r="I38">
        <v>127.148476</v>
      </c>
      <c r="J38">
        <v>128.209946</v>
      </c>
      <c r="K38">
        <v>127.609177</v>
      </c>
      <c r="L38">
        <v>126.071602</v>
      </c>
      <c r="M38">
        <v>124.352448</v>
      </c>
      <c r="N38">
        <v>123.029678</v>
      </c>
      <c r="O38">
        <v>122.10034899999999</v>
      </c>
      <c r="P38">
        <v>120.695824</v>
      </c>
      <c r="Q38">
        <v>119.79025300000001</v>
      </c>
      <c r="R38">
        <v>118.342522</v>
      </c>
      <c r="S38">
        <v>117.34465</v>
      </c>
      <c r="T38">
        <v>116.889847</v>
      </c>
      <c r="U38">
        <v>116.50052599999999</v>
      </c>
      <c r="V38">
        <v>115.871872</v>
      </c>
      <c r="W38">
        <v>115.075523</v>
      </c>
      <c r="X38">
        <v>113.55774700000001</v>
      </c>
      <c r="Y38">
        <v>112.112976</v>
      </c>
      <c r="Z38">
        <v>112.048103</v>
      </c>
      <c r="AA38">
        <v>112.703903</v>
      </c>
      <c r="AB38">
        <v>113.546875</v>
      </c>
      <c r="AC38">
        <v>112.848602</v>
      </c>
      <c r="AD38">
        <v>112.083946</v>
      </c>
      <c r="AE38">
        <v>112.853897</v>
      </c>
      <c r="AF38">
        <v>112.86077899999999</v>
      </c>
      <c r="AG38">
        <v>110.487877</v>
      </c>
      <c r="AH38">
        <v>108.78362300000001</v>
      </c>
      <c r="AI38">
        <v>109.414001</v>
      </c>
      <c r="AJ38" s="81">
        <v>-5.0000000000000001E-3</v>
      </c>
    </row>
    <row r="39" spans="1:38" x14ac:dyDescent="0.25">
      <c r="A39" t="s">
        <v>831</v>
      </c>
      <c r="B39" t="s">
        <v>832</v>
      </c>
      <c r="C39" t="s">
        <v>833</v>
      </c>
      <c r="D39" t="s">
        <v>740</v>
      </c>
      <c r="F39">
        <v>37.984836999999999</v>
      </c>
      <c r="G39">
        <v>40.766379999999998</v>
      </c>
      <c r="H39">
        <v>41.336982999999996</v>
      </c>
      <c r="I39">
        <v>41.340252</v>
      </c>
      <c r="J39">
        <v>41.685943999999999</v>
      </c>
      <c r="K39">
        <v>42.266392000000003</v>
      </c>
      <c r="L39">
        <v>42.752811000000001</v>
      </c>
      <c r="M39">
        <v>43.178772000000002</v>
      </c>
      <c r="N39">
        <v>43.573250000000002</v>
      </c>
      <c r="O39">
        <v>43.938220999999999</v>
      </c>
      <c r="P39">
        <v>44.238689000000001</v>
      </c>
      <c r="Q39">
        <v>44.402591999999999</v>
      </c>
      <c r="R39">
        <v>44.571877000000001</v>
      </c>
      <c r="S39">
        <v>44.748257000000002</v>
      </c>
      <c r="T39">
        <v>44.868228999999999</v>
      </c>
      <c r="U39">
        <v>44.736099000000003</v>
      </c>
      <c r="V39">
        <v>44.609898000000001</v>
      </c>
      <c r="W39">
        <v>44.769489</v>
      </c>
      <c r="X39">
        <v>44.712195999999999</v>
      </c>
      <c r="Y39">
        <v>44.451583999999997</v>
      </c>
      <c r="Z39">
        <v>44.670883000000003</v>
      </c>
      <c r="AA39">
        <v>45.104655999999999</v>
      </c>
      <c r="AB39">
        <v>45.442836999999997</v>
      </c>
      <c r="AC39">
        <v>45.543002999999999</v>
      </c>
      <c r="AD39">
        <v>45.942951000000001</v>
      </c>
      <c r="AE39">
        <v>46.439526000000001</v>
      </c>
      <c r="AF39">
        <v>46.926341999999998</v>
      </c>
      <c r="AG39">
        <v>47.142417999999999</v>
      </c>
      <c r="AH39">
        <v>47.268768000000001</v>
      </c>
      <c r="AI39">
        <v>47.882832000000001</v>
      </c>
      <c r="AJ39" s="81">
        <v>8.0000000000000002E-3</v>
      </c>
    </row>
    <row r="40" spans="1:38" x14ac:dyDescent="0.25">
      <c r="A40" t="s">
        <v>834</v>
      </c>
      <c r="B40" t="s">
        <v>835</v>
      </c>
      <c r="C40" t="s">
        <v>836</v>
      </c>
      <c r="D40" t="s">
        <v>740</v>
      </c>
      <c r="F40">
        <v>76.807365000000004</v>
      </c>
      <c r="G40">
        <v>80.223488000000003</v>
      </c>
      <c r="H40">
        <v>80.458534</v>
      </c>
      <c r="I40">
        <v>80.541054000000003</v>
      </c>
      <c r="J40">
        <v>80.408257000000006</v>
      </c>
      <c r="K40">
        <v>80.732467999999997</v>
      </c>
      <c r="L40">
        <v>81.301743000000002</v>
      </c>
      <c r="M40">
        <v>82.475944999999996</v>
      </c>
      <c r="N40">
        <v>83.255989</v>
      </c>
      <c r="O40">
        <v>83.871291999999997</v>
      </c>
      <c r="P40">
        <v>84.264319999999998</v>
      </c>
      <c r="Q40">
        <v>84.844643000000005</v>
      </c>
      <c r="R40">
        <v>85.490729999999999</v>
      </c>
      <c r="S40">
        <v>85.883117999999996</v>
      </c>
      <c r="T40">
        <v>86.469138999999998</v>
      </c>
      <c r="U40">
        <v>87.053466999999998</v>
      </c>
      <c r="V40">
        <v>87.795615999999995</v>
      </c>
      <c r="W40">
        <v>88.636291999999997</v>
      </c>
      <c r="X40">
        <v>89.835082999999997</v>
      </c>
      <c r="Y40">
        <v>91.152229000000005</v>
      </c>
      <c r="Z40">
        <v>92.131912</v>
      </c>
      <c r="AA40">
        <v>93.092735000000005</v>
      </c>
      <c r="AB40">
        <v>94.102485999999999</v>
      </c>
      <c r="AC40">
        <v>95.215919</v>
      </c>
      <c r="AD40">
        <v>96.569434999999999</v>
      </c>
      <c r="AE40">
        <v>98.100525000000005</v>
      </c>
      <c r="AF40">
        <v>99.630607999999995</v>
      </c>
      <c r="AG40">
        <v>101.02195</v>
      </c>
      <c r="AH40">
        <v>102.33074999999999</v>
      </c>
      <c r="AI40">
        <v>103.687927</v>
      </c>
      <c r="AJ40" s="81">
        <v>0.01</v>
      </c>
    </row>
    <row r="41" spans="1:38" x14ac:dyDescent="0.25">
      <c r="A41" t="s">
        <v>837</v>
      </c>
      <c r="B41" t="s">
        <v>838</v>
      </c>
      <c r="C41" t="s">
        <v>839</v>
      </c>
      <c r="D41" t="s">
        <v>740</v>
      </c>
      <c r="F41">
        <v>356.37753300000003</v>
      </c>
      <c r="G41">
        <v>359.29522700000001</v>
      </c>
      <c r="H41">
        <v>363.27825899999999</v>
      </c>
      <c r="I41">
        <v>368.16574100000003</v>
      </c>
      <c r="J41">
        <v>371.49911500000002</v>
      </c>
      <c r="K41">
        <v>372.59030200000001</v>
      </c>
      <c r="L41">
        <v>372.03076199999998</v>
      </c>
      <c r="M41">
        <v>371.24575800000002</v>
      </c>
      <c r="N41">
        <v>370.73941000000002</v>
      </c>
      <c r="O41">
        <v>372.00726300000002</v>
      </c>
      <c r="P41">
        <v>373.46173099999999</v>
      </c>
      <c r="Q41">
        <v>376.92715500000003</v>
      </c>
      <c r="R41">
        <v>379.464111</v>
      </c>
      <c r="S41">
        <v>381.31366000000003</v>
      </c>
      <c r="T41">
        <v>384.96923800000002</v>
      </c>
      <c r="U41">
        <v>389.304779</v>
      </c>
      <c r="V41">
        <v>394.42782599999998</v>
      </c>
      <c r="W41">
        <v>398.19241299999999</v>
      </c>
      <c r="X41">
        <v>402.32666</v>
      </c>
      <c r="Y41">
        <v>404.352081</v>
      </c>
      <c r="Z41">
        <v>404.87933299999997</v>
      </c>
      <c r="AA41">
        <v>408.22418199999998</v>
      </c>
      <c r="AB41">
        <v>412.78311200000002</v>
      </c>
      <c r="AC41">
        <v>414.81549100000001</v>
      </c>
      <c r="AD41">
        <v>416.70446800000002</v>
      </c>
      <c r="AE41">
        <v>421.12728900000002</v>
      </c>
      <c r="AF41">
        <v>424.59088100000002</v>
      </c>
      <c r="AG41">
        <v>422.18838499999998</v>
      </c>
      <c r="AH41">
        <v>420.16357399999998</v>
      </c>
      <c r="AI41">
        <v>423.55367999999999</v>
      </c>
      <c r="AJ41" s="81">
        <v>6.0000000000000001E-3</v>
      </c>
    </row>
    <row r="42" spans="1:38" x14ac:dyDescent="0.25">
      <c r="A42" t="s">
        <v>840</v>
      </c>
      <c r="B42" t="s">
        <v>841</v>
      </c>
      <c r="C42" t="s">
        <v>842</v>
      </c>
      <c r="D42" t="s">
        <v>740</v>
      </c>
      <c r="F42">
        <v>388.79586799999998</v>
      </c>
      <c r="G42">
        <v>398.37432899999999</v>
      </c>
      <c r="H42">
        <v>399.22537199999999</v>
      </c>
      <c r="I42">
        <v>401.57873499999999</v>
      </c>
      <c r="J42">
        <v>405.31845099999998</v>
      </c>
      <c r="K42">
        <v>408.47576900000001</v>
      </c>
      <c r="L42">
        <v>413.05300899999997</v>
      </c>
      <c r="M42">
        <v>419.558044</v>
      </c>
      <c r="N42">
        <v>425.84225500000002</v>
      </c>
      <c r="O42">
        <v>432.07843000000003</v>
      </c>
      <c r="P42">
        <v>438.235657</v>
      </c>
      <c r="Q42">
        <v>445.50433299999997</v>
      </c>
      <c r="R42">
        <v>452.63754299999999</v>
      </c>
      <c r="S42">
        <v>458.25268599999998</v>
      </c>
      <c r="T42">
        <v>465.470642</v>
      </c>
      <c r="U42">
        <v>473.26666299999999</v>
      </c>
      <c r="V42">
        <v>480.79089399999998</v>
      </c>
      <c r="W42">
        <v>486.65777600000001</v>
      </c>
      <c r="X42">
        <v>492.95571899999999</v>
      </c>
      <c r="Y42">
        <v>499.28601099999997</v>
      </c>
      <c r="Z42">
        <v>504.48223899999999</v>
      </c>
      <c r="AA42">
        <v>510.45431500000001</v>
      </c>
      <c r="AB42">
        <v>517.14227300000005</v>
      </c>
      <c r="AC42">
        <v>522.069031</v>
      </c>
      <c r="AD42">
        <v>526.67352300000005</v>
      </c>
      <c r="AE42">
        <v>535.09979199999998</v>
      </c>
      <c r="AF42">
        <v>542.12152100000003</v>
      </c>
      <c r="AG42">
        <v>547.38360599999999</v>
      </c>
      <c r="AH42">
        <v>553.39324999999997</v>
      </c>
      <c r="AI42">
        <v>562.37976100000003</v>
      </c>
      <c r="AJ42" s="81">
        <v>1.2999999999999999E-2</v>
      </c>
    </row>
    <row r="43" spans="1:38" x14ac:dyDescent="0.25">
      <c r="A43" t="s">
        <v>843</v>
      </c>
      <c r="B43" t="s">
        <v>844</v>
      </c>
      <c r="C43" t="s">
        <v>845</v>
      </c>
      <c r="D43" t="s">
        <v>740</v>
      </c>
      <c r="F43">
        <v>481.070221</v>
      </c>
      <c r="G43">
        <v>505.31369000000001</v>
      </c>
      <c r="H43">
        <v>525.62902799999995</v>
      </c>
      <c r="I43">
        <v>533.49408000000005</v>
      </c>
      <c r="J43">
        <v>539.71502699999996</v>
      </c>
      <c r="K43">
        <v>545.90917999999999</v>
      </c>
      <c r="L43">
        <v>553.06506300000001</v>
      </c>
      <c r="M43">
        <v>565.90130599999998</v>
      </c>
      <c r="N43">
        <v>575.21942100000001</v>
      </c>
      <c r="O43">
        <v>582.54345699999999</v>
      </c>
      <c r="P43">
        <v>590.879456</v>
      </c>
      <c r="Q43">
        <v>600.48510699999997</v>
      </c>
      <c r="R43">
        <v>610.73120100000006</v>
      </c>
      <c r="S43">
        <v>619.27539100000001</v>
      </c>
      <c r="T43">
        <v>629.14562999999998</v>
      </c>
      <c r="U43">
        <v>639.70922900000005</v>
      </c>
      <c r="V43">
        <v>652.650757</v>
      </c>
      <c r="W43">
        <v>667.27392599999996</v>
      </c>
      <c r="X43">
        <v>682.90515100000005</v>
      </c>
      <c r="Y43">
        <v>699.01855499999999</v>
      </c>
      <c r="Z43">
        <v>714.75573699999995</v>
      </c>
      <c r="AA43">
        <v>731.39123500000005</v>
      </c>
      <c r="AB43">
        <v>748.01068099999998</v>
      </c>
      <c r="AC43">
        <v>765.94457999999997</v>
      </c>
      <c r="AD43">
        <v>784.43158000000005</v>
      </c>
      <c r="AE43">
        <v>803.51324499999998</v>
      </c>
      <c r="AF43">
        <v>823.01654099999996</v>
      </c>
      <c r="AG43">
        <v>845.07055700000001</v>
      </c>
      <c r="AH43">
        <v>869.23821999999996</v>
      </c>
      <c r="AI43">
        <v>891.82745399999999</v>
      </c>
      <c r="AJ43" s="81">
        <v>2.1999999999999999E-2</v>
      </c>
    </row>
    <row r="44" spans="1:38" x14ac:dyDescent="0.25">
      <c r="A44" t="s">
        <v>846</v>
      </c>
      <c r="B44" t="s">
        <v>847</v>
      </c>
      <c r="C44" t="s">
        <v>848</v>
      </c>
      <c r="D44" t="s">
        <v>740</v>
      </c>
      <c r="F44">
        <v>1097.1733400000001</v>
      </c>
      <c r="G44">
        <v>1186.075439</v>
      </c>
      <c r="H44">
        <v>1256.555298</v>
      </c>
      <c r="I44">
        <v>1230.367798</v>
      </c>
      <c r="J44">
        <v>1211.182251</v>
      </c>
      <c r="K44">
        <v>1197.5460210000001</v>
      </c>
      <c r="L44">
        <v>1182.4027100000001</v>
      </c>
      <c r="M44">
        <v>1180.8767089999999</v>
      </c>
      <c r="N44">
        <v>1171.3919679999999</v>
      </c>
      <c r="O44">
        <v>1167.7052000000001</v>
      </c>
      <c r="P44">
        <v>1169.6130370000001</v>
      </c>
      <c r="Q44">
        <v>1178.7113039999999</v>
      </c>
      <c r="R44">
        <v>1188.4804690000001</v>
      </c>
      <c r="S44">
        <v>1195.6717530000001</v>
      </c>
      <c r="T44">
        <v>1206.940308</v>
      </c>
      <c r="U44">
        <v>1219.6142580000001</v>
      </c>
      <c r="V44">
        <v>1230.876953</v>
      </c>
      <c r="W44">
        <v>1242.948975</v>
      </c>
      <c r="X44">
        <v>1256.479736</v>
      </c>
      <c r="Y44">
        <v>1272.7285159999999</v>
      </c>
      <c r="Z44">
        <v>1292.114746</v>
      </c>
      <c r="AA44">
        <v>1311.7542719999999</v>
      </c>
      <c r="AB44">
        <v>1334.029297</v>
      </c>
      <c r="AC44">
        <v>1351.8857419999999</v>
      </c>
      <c r="AD44">
        <v>1374.792725</v>
      </c>
      <c r="AE44">
        <v>1404.3470460000001</v>
      </c>
      <c r="AF44">
        <v>1429.5639650000001</v>
      </c>
      <c r="AG44">
        <v>1443.489014</v>
      </c>
      <c r="AH44">
        <v>1457.2767329999999</v>
      </c>
      <c r="AI44">
        <v>1477.3979489999999</v>
      </c>
      <c r="AJ44" s="81">
        <v>0.01</v>
      </c>
    </row>
    <row r="45" spans="1:38" x14ac:dyDescent="0.25">
      <c r="A45" t="s">
        <v>849</v>
      </c>
      <c r="B45" t="s">
        <v>850</v>
      </c>
      <c r="C45" t="s">
        <v>851</v>
      </c>
      <c r="D45" t="s">
        <v>740</v>
      </c>
      <c r="F45">
        <v>133.00749200000001</v>
      </c>
      <c r="G45">
        <v>137.616547</v>
      </c>
      <c r="H45">
        <v>140.914749</v>
      </c>
      <c r="I45">
        <v>142.85202000000001</v>
      </c>
      <c r="J45">
        <v>143.61579900000001</v>
      </c>
      <c r="K45">
        <v>144.118729</v>
      </c>
      <c r="L45">
        <v>144.58192399999999</v>
      </c>
      <c r="M45">
        <v>145.72431900000001</v>
      </c>
      <c r="N45">
        <v>146.694199</v>
      </c>
      <c r="O45">
        <v>147.99382</v>
      </c>
      <c r="P45">
        <v>147.95579499999999</v>
      </c>
      <c r="Q45">
        <v>149.27063000000001</v>
      </c>
      <c r="R45">
        <v>151.788025</v>
      </c>
      <c r="S45">
        <v>154.34442100000001</v>
      </c>
      <c r="T45">
        <v>157.258499</v>
      </c>
      <c r="U45">
        <v>160.440979</v>
      </c>
      <c r="V45">
        <v>164.25590500000001</v>
      </c>
      <c r="W45">
        <v>168.61090100000001</v>
      </c>
      <c r="X45">
        <v>173.61320499999999</v>
      </c>
      <c r="Y45">
        <v>178.562332</v>
      </c>
      <c r="Z45">
        <v>183.50466900000001</v>
      </c>
      <c r="AA45">
        <v>188.881821</v>
      </c>
      <c r="AB45">
        <v>194.57617200000001</v>
      </c>
      <c r="AC45">
        <v>200.26440400000001</v>
      </c>
      <c r="AD45">
        <v>206.51586900000001</v>
      </c>
      <c r="AE45">
        <v>213.24478099999999</v>
      </c>
      <c r="AF45">
        <v>219.983643</v>
      </c>
      <c r="AG45">
        <v>227.372131</v>
      </c>
      <c r="AH45">
        <v>235.171707</v>
      </c>
      <c r="AI45">
        <v>242.98387099999999</v>
      </c>
      <c r="AJ45" s="81">
        <v>2.1000000000000001E-2</v>
      </c>
    </row>
    <row r="46" spans="1:38" x14ac:dyDescent="0.25">
      <c r="A46" t="s">
        <v>852</v>
      </c>
      <c r="B46" t="s">
        <v>853</v>
      </c>
      <c r="C46" t="s">
        <v>854</v>
      </c>
      <c r="D46" t="s">
        <v>740</v>
      </c>
      <c r="F46">
        <v>160.348679</v>
      </c>
      <c r="G46">
        <v>159.03637699999999</v>
      </c>
      <c r="H46">
        <v>159.82165499999999</v>
      </c>
      <c r="I46">
        <v>161.89936800000001</v>
      </c>
      <c r="J46">
        <v>163.54092399999999</v>
      </c>
      <c r="K46">
        <v>166.911102</v>
      </c>
      <c r="L46">
        <v>170.52979999999999</v>
      </c>
      <c r="M46">
        <v>174.195831</v>
      </c>
      <c r="N46">
        <v>177.68064899999999</v>
      </c>
      <c r="O46">
        <v>181.44438199999999</v>
      </c>
      <c r="P46">
        <v>184.97383099999999</v>
      </c>
      <c r="Q46">
        <v>188.605423</v>
      </c>
      <c r="R46">
        <v>192.53074599999999</v>
      </c>
      <c r="S46">
        <v>196.05207799999999</v>
      </c>
      <c r="T46">
        <v>199.26417499999999</v>
      </c>
      <c r="U46">
        <v>201.98182700000001</v>
      </c>
      <c r="V46">
        <v>204.48912000000001</v>
      </c>
      <c r="W46">
        <v>206.86556999999999</v>
      </c>
      <c r="X46">
        <v>209.393372</v>
      </c>
      <c r="Y46">
        <v>211.50140400000001</v>
      </c>
      <c r="Z46">
        <v>213.029068</v>
      </c>
      <c r="AA46">
        <v>215.54780600000001</v>
      </c>
      <c r="AB46">
        <v>217.86184700000001</v>
      </c>
      <c r="AC46">
        <v>218.91592399999999</v>
      </c>
      <c r="AD46">
        <v>219.07725500000001</v>
      </c>
      <c r="AE46">
        <v>220.11357100000001</v>
      </c>
      <c r="AF46">
        <v>220.98539700000001</v>
      </c>
      <c r="AG46">
        <v>221.284851</v>
      </c>
      <c r="AH46">
        <v>220.807343</v>
      </c>
      <c r="AI46">
        <v>220.45422400000001</v>
      </c>
      <c r="AJ46" s="81">
        <v>1.0999999999999999E-2</v>
      </c>
    </row>
    <row r="47" spans="1:38" x14ac:dyDescent="0.25">
      <c r="A47" t="s">
        <v>641</v>
      </c>
      <c r="B47" t="s">
        <v>855</v>
      </c>
      <c r="C47" t="s">
        <v>856</v>
      </c>
      <c r="D47" t="s">
        <v>740</v>
      </c>
      <c r="F47">
        <v>9275.0263670000004</v>
      </c>
      <c r="G47">
        <v>9366.1943360000005</v>
      </c>
      <c r="H47">
        <v>9440.3613280000009</v>
      </c>
      <c r="I47">
        <v>9447.7050780000009</v>
      </c>
      <c r="J47">
        <v>9475.5957030000009</v>
      </c>
      <c r="K47">
        <v>9489.0048829999996</v>
      </c>
      <c r="L47">
        <v>9491.3828119999998</v>
      </c>
      <c r="M47">
        <v>9543.9257809999999</v>
      </c>
      <c r="N47">
        <v>9576.7685550000006</v>
      </c>
      <c r="O47">
        <v>9616.21875</v>
      </c>
      <c r="P47">
        <v>9663.5878909999992</v>
      </c>
      <c r="Q47">
        <v>9768.1210940000001</v>
      </c>
      <c r="R47">
        <v>9863.7695309999999</v>
      </c>
      <c r="S47">
        <v>9907.1171880000002</v>
      </c>
      <c r="T47">
        <v>9963.7617190000001</v>
      </c>
      <c r="U47">
        <v>10030.242188</v>
      </c>
      <c r="V47">
        <v>10114.481444999999</v>
      </c>
      <c r="W47">
        <v>10208.513671999999</v>
      </c>
      <c r="X47">
        <v>10316.463867</v>
      </c>
      <c r="Y47">
        <v>10417.967773</v>
      </c>
      <c r="Z47">
        <v>10513.541992</v>
      </c>
      <c r="AA47">
        <v>10622.886719</v>
      </c>
      <c r="AB47">
        <v>10740.371094</v>
      </c>
      <c r="AC47">
        <v>10833.378906</v>
      </c>
      <c r="AD47">
        <v>10935.758789</v>
      </c>
      <c r="AE47">
        <v>11074.144531</v>
      </c>
      <c r="AF47">
        <v>11196.3125</v>
      </c>
      <c r="AG47">
        <v>11286.251953000001</v>
      </c>
      <c r="AH47">
        <v>11395.391602</v>
      </c>
      <c r="AI47">
        <v>11547.005859000001</v>
      </c>
      <c r="AJ47" s="81">
        <v>8.0000000000000002E-3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F681-8694-4B7C-8090-597E3C250770}">
  <dimension ref="A1:AI1476"/>
  <sheetViews>
    <sheetView workbookViewId="0">
      <pane xSplit="3" ySplit="1" topLeftCell="D8" activePane="bottomRight" state="frozen"/>
      <selection pane="topRight" activeCell="C1" sqref="C1"/>
      <selection pane="bottomLeft" activeCell="A2" sqref="A2"/>
      <selection pane="bottomRight" activeCell="AG45" sqref="AG45"/>
    </sheetView>
  </sheetViews>
  <sheetFormatPr defaultRowHeight="15" customHeight="1" x14ac:dyDescent="0.2"/>
  <cols>
    <col min="1" max="1" width="22.42578125" style="42" hidden="1" customWidth="1"/>
    <col min="2" max="2" width="22.42578125" style="42" customWidth="1"/>
    <col min="3" max="3" width="49" style="42" customWidth="1"/>
    <col min="4" max="34" width="9.140625" style="42"/>
    <col min="35" max="35" width="9.140625" style="42" bestFit="1" customWidth="1"/>
    <col min="36" max="16384" width="9.140625" style="42"/>
  </cols>
  <sheetData>
    <row r="1" spans="1:35" ht="15" customHeight="1" thickBot="1" x14ac:dyDescent="0.25">
      <c r="C1" s="43" t="s">
        <v>546</v>
      </c>
      <c r="D1" s="44">
        <v>2020</v>
      </c>
      <c r="E1" s="44">
        <v>2021</v>
      </c>
      <c r="F1" s="44">
        <v>2022</v>
      </c>
      <c r="G1" s="44">
        <v>2023</v>
      </c>
      <c r="H1" s="44">
        <v>2024</v>
      </c>
      <c r="I1" s="44">
        <v>2025</v>
      </c>
      <c r="J1" s="44">
        <v>2026</v>
      </c>
      <c r="K1" s="44">
        <v>2027</v>
      </c>
      <c r="L1" s="44">
        <v>2028</v>
      </c>
      <c r="M1" s="44">
        <v>2029</v>
      </c>
      <c r="N1" s="44">
        <v>2030</v>
      </c>
      <c r="O1" s="44">
        <v>2031</v>
      </c>
      <c r="P1" s="44">
        <v>2032</v>
      </c>
      <c r="Q1" s="44">
        <v>2033</v>
      </c>
      <c r="R1" s="44">
        <v>2034</v>
      </c>
      <c r="S1" s="44">
        <v>2035</v>
      </c>
      <c r="T1" s="44">
        <v>2036</v>
      </c>
      <c r="U1" s="44">
        <v>2037</v>
      </c>
      <c r="V1" s="44">
        <v>2038</v>
      </c>
      <c r="W1" s="44">
        <v>2039</v>
      </c>
      <c r="X1" s="44">
        <v>2040</v>
      </c>
      <c r="Y1" s="44">
        <v>2041</v>
      </c>
      <c r="Z1" s="44">
        <v>2042</v>
      </c>
      <c r="AA1" s="44">
        <v>2043</v>
      </c>
      <c r="AB1" s="44">
        <v>2044</v>
      </c>
      <c r="AC1" s="44">
        <v>2045</v>
      </c>
      <c r="AD1" s="44">
        <v>2046</v>
      </c>
      <c r="AE1" s="44">
        <v>2047</v>
      </c>
      <c r="AF1" s="44">
        <v>2048</v>
      </c>
      <c r="AG1" s="44">
        <v>2049</v>
      </c>
      <c r="AH1" s="44">
        <v>2050</v>
      </c>
    </row>
    <row r="2" spans="1:35" ht="15" customHeight="1" thickTop="1" x14ac:dyDescent="0.2"/>
    <row r="3" spans="1:35" ht="15" customHeight="1" x14ac:dyDescent="0.2">
      <c r="D3" s="45" t="s">
        <v>547</v>
      </c>
      <c r="E3" s="45" t="s">
        <v>548</v>
      </c>
    </row>
    <row r="4" spans="1:35" ht="15" customHeight="1" x14ac:dyDescent="0.2">
      <c r="D4" s="45" t="s">
        <v>549</v>
      </c>
      <c r="E4" s="45" t="s">
        <v>550</v>
      </c>
      <c r="H4" s="45" t="s">
        <v>551</v>
      </c>
    </row>
    <row r="5" spans="1:35" ht="15" customHeight="1" x14ac:dyDescent="0.2">
      <c r="D5" s="45" t="s">
        <v>552</v>
      </c>
      <c r="E5" s="45" t="s">
        <v>553</v>
      </c>
    </row>
    <row r="6" spans="1:35" ht="15" customHeight="1" x14ac:dyDescent="0.2">
      <c r="D6" s="45" t="s">
        <v>554</v>
      </c>
      <c r="F6" s="45" t="s">
        <v>555</v>
      </c>
    </row>
    <row r="7" spans="1:35" ht="12" x14ac:dyDescent="0.2"/>
    <row r="8" spans="1:35" ht="12" x14ac:dyDescent="0.2"/>
    <row r="9" spans="1:35" ht="12" x14ac:dyDescent="0.2"/>
    <row r="10" spans="1:35" ht="15" customHeight="1" x14ac:dyDescent="0.25">
      <c r="A10" s="46" t="s">
        <v>556</v>
      </c>
      <c r="B10" s="46"/>
      <c r="C10" s="47" t="s">
        <v>557</v>
      </c>
      <c r="AI10" s="48" t="s">
        <v>558</v>
      </c>
    </row>
    <row r="11" spans="1:35" ht="15" customHeight="1" x14ac:dyDescent="0.2">
      <c r="C11" s="43"/>
      <c r="AI11" s="48" t="s">
        <v>559</v>
      </c>
    </row>
    <row r="12" spans="1:35" ht="15" customHeight="1" x14ac:dyDescent="0.2">
      <c r="C12" s="4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8" t="s">
        <v>560</v>
      </c>
    </row>
    <row r="13" spans="1:35" ht="15" customHeight="1" thickBot="1" x14ac:dyDescent="0.25">
      <c r="B13" s="64" t="s">
        <v>651</v>
      </c>
      <c r="C13" s="44" t="s">
        <v>561</v>
      </c>
      <c r="D13" s="44">
        <v>2020</v>
      </c>
      <c r="E13" s="44">
        <v>2021</v>
      </c>
      <c r="F13" s="44">
        <v>2022</v>
      </c>
      <c r="G13" s="44">
        <v>2023</v>
      </c>
      <c r="H13" s="44">
        <v>2024</v>
      </c>
      <c r="I13" s="44">
        <v>2025</v>
      </c>
      <c r="J13" s="44">
        <v>2026</v>
      </c>
      <c r="K13" s="44">
        <v>2027</v>
      </c>
      <c r="L13" s="44">
        <v>2028</v>
      </c>
      <c r="M13" s="44">
        <v>2029</v>
      </c>
      <c r="N13" s="44">
        <v>2030</v>
      </c>
      <c r="O13" s="44">
        <v>2031</v>
      </c>
      <c r="P13" s="44">
        <v>2032</v>
      </c>
      <c r="Q13" s="44">
        <v>2033</v>
      </c>
      <c r="R13" s="44">
        <v>2034</v>
      </c>
      <c r="S13" s="44">
        <v>2035</v>
      </c>
      <c r="T13" s="44">
        <v>2036</v>
      </c>
      <c r="U13" s="44">
        <v>2037</v>
      </c>
      <c r="V13" s="44">
        <v>2038</v>
      </c>
      <c r="W13" s="44">
        <v>2039</v>
      </c>
      <c r="X13" s="44">
        <v>2040</v>
      </c>
      <c r="Y13" s="44">
        <v>2041</v>
      </c>
      <c r="Z13" s="44">
        <v>2042</v>
      </c>
      <c r="AA13" s="44">
        <v>2043</v>
      </c>
      <c r="AB13" s="44">
        <v>2044</v>
      </c>
      <c r="AC13" s="44">
        <v>2045</v>
      </c>
      <c r="AD13" s="44">
        <v>2046</v>
      </c>
      <c r="AE13" s="44">
        <v>2047</v>
      </c>
      <c r="AF13" s="44">
        <v>2048</v>
      </c>
      <c r="AG13" s="44">
        <v>2049</v>
      </c>
      <c r="AH13" s="44">
        <v>2050</v>
      </c>
      <c r="AI13" s="50" t="s">
        <v>562</v>
      </c>
    </row>
    <row r="15" spans="1:35" ht="15" customHeight="1" x14ac:dyDescent="0.2">
      <c r="A15" s="46" t="s">
        <v>563</v>
      </c>
      <c r="B15" s="46"/>
      <c r="C15" s="51" t="s">
        <v>564</v>
      </c>
      <c r="D15" s="52">
        <v>18171.386718999998</v>
      </c>
      <c r="E15" s="82">
        <f>'AEO22 Table 23 Raw'!F7</f>
        <v>19287.708984000001</v>
      </c>
      <c r="F15" s="82">
        <f>'AEO22 Table 23 Raw'!G7</f>
        <v>19760.287109000001</v>
      </c>
      <c r="G15" s="82">
        <f>'AEO22 Table 23 Raw'!H7</f>
        <v>20221.789062</v>
      </c>
      <c r="H15" s="82">
        <f>'AEO22 Table 23 Raw'!I7</f>
        <v>20729.912109000001</v>
      </c>
      <c r="I15" s="82">
        <f>'AEO22 Table 23 Raw'!J7</f>
        <v>21174.707031000002</v>
      </c>
      <c r="J15" s="82">
        <f>'AEO22 Table 23 Raw'!K7</f>
        <v>21588.189452999999</v>
      </c>
      <c r="K15" s="82">
        <f>'AEO22 Table 23 Raw'!L7</f>
        <v>21943.693359000001</v>
      </c>
      <c r="L15" s="82">
        <f>'AEO22 Table 23 Raw'!M7</f>
        <v>22341.447265999999</v>
      </c>
      <c r="M15" s="82">
        <f>'AEO22 Table 23 Raw'!N7</f>
        <v>22750.484375</v>
      </c>
      <c r="N15" s="82">
        <f>'AEO22 Table 23 Raw'!O7</f>
        <v>23184.712890999999</v>
      </c>
      <c r="O15" s="82">
        <f>'AEO22 Table 23 Raw'!P7</f>
        <v>23604.685547000001</v>
      </c>
      <c r="P15" s="82">
        <f>'AEO22 Table 23 Raw'!Q7</f>
        <v>24072.310547000001</v>
      </c>
      <c r="Q15" s="82">
        <f>'AEO22 Table 23 Raw'!R7</f>
        <v>24531.642577999999</v>
      </c>
      <c r="R15" s="82">
        <f>'AEO22 Table 23 Raw'!S7</f>
        <v>24923.117188</v>
      </c>
      <c r="S15" s="82">
        <f>'AEO22 Table 23 Raw'!T7</f>
        <v>25304.564452999999</v>
      </c>
      <c r="T15" s="82">
        <f>'AEO22 Table 23 Raw'!U7</f>
        <v>25681.664062</v>
      </c>
      <c r="U15" s="82">
        <f>'AEO22 Table 23 Raw'!V7</f>
        <v>26080.943359000001</v>
      </c>
      <c r="V15" s="82">
        <f>'AEO22 Table 23 Raw'!W7</f>
        <v>26491.984375</v>
      </c>
      <c r="W15" s="82">
        <f>'AEO22 Table 23 Raw'!X7</f>
        <v>26940.375</v>
      </c>
      <c r="X15" s="82">
        <f>'AEO22 Table 23 Raw'!Y7</f>
        <v>27407.310547000001</v>
      </c>
      <c r="Y15" s="82">
        <f>'AEO22 Table 23 Raw'!Z7</f>
        <v>27842.832031000002</v>
      </c>
      <c r="Z15" s="82">
        <f>'AEO22 Table 23 Raw'!AA7</f>
        <v>28292.699218999998</v>
      </c>
      <c r="AA15" s="82">
        <f>'AEO22 Table 23 Raw'!AB7</f>
        <v>28753.757812</v>
      </c>
      <c r="AB15" s="82">
        <f>'AEO22 Table 23 Raw'!AC7</f>
        <v>29223.880859000001</v>
      </c>
      <c r="AC15" s="82">
        <f>'AEO22 Table 23 Raw'!AD7</f>
        <v>29725.132812</v>
      </c>
      <c r="AD15" s="82">
        <f>'AEO22 Table 23 Raw'!AE7</f>
        <v>30268.091797000001</v>
      </c>
      <c r="AE15" s="82">
        <f>'AEO22 Table 23 Raw'!AF7</f>
        <v>30800.546875</v>
      </c>
      <c r="AF15" s="82">
        <f>'AEO22 Table 23 Raw'!AG7</f>
        <v>31310.892577999999</v>
      </c>
      <c r="AG15" s="82">
        <f>'AEO22 Table 23 Raw'!AH7</f>
        <v>31858.810547000001</v>
      </c>
      <c r="AH15" s="82">
        <f>'AEO22 Table 23 Raw'!AI7</f>
        <v>32479.828125</v>
      </c>
      <c r="AI15" s="85">
        <f>'AEO22 Table 23 Raw'!AJ7</f>
        <v>1.7999999999999999E-2</v>
      </c>
    </row>
    <row r="16" spans="1:35" ht="15" customHeight="1" x14ac:dyDescent="0.2"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6"/>
    </row>
    <row r="17" spans="1:35" ht="15" customHeight="1" x14ac:dyDescent="0.2">
      <c r="A17" s="46" t="s">
        <v>565</v>
      </c>
      <c r="B17" s="46"/>
      <c r="C17" s="51" t="s">
        <v>566</v>
      </c>
      <c r="D17" s="52">
        <v>141.525452</v>
      </c>
      <c r="E17" s="82">
        <f>'AEO22 Table 23 Raw'!F8</f>
        <v>147.73539700000001</v>
      </c>
      <c r="F17" s="82">
        <f>'AEO22 Table 23 Raw'!G8</f>
        <v>148.57751500000001</v>
      </c>
      <c r="G17" s="82">
        <f>'AEO22 Table 23 Raw'!H8</f>
        <v>151.114746</v>
      </c>
      <c r="H17" s="82">
        <f>'AEO22 Table 23 Raw'!I8</f>
        <v>152.88180500000001</v>
      </c>
      <c r="I17" s="82">
        <f>'AEO22 Table 23 Raw'!J8</f>
        <v>153.79975899999999</v>
      </c>
      <c r="J17" s="82">
        <f>'AEO22 Table 23 Raw'!K8</f>
        <v>154.22972100000001</v>
      </c>
      <c r="K17" s="82">
        <f>'AEO22 Table 23 Raw'!L8</f>
        <v>154.40425099999999</v>
      </c>
      <c r="L17" s="82">
        <f>'AEO22 Table 23 Raw'!M8</f>
        <v>154.764374</v>
      </c>
      <c r="M17" s="82">
        <f>'AEO22 Table 23 Raw'!N8</f>
        <v>155.22358700000001</v>
      </c>
      <c r="N17" s="82">
        <f>'AEO22 Table 23 Raw'!O8</f>
        <v>155.96845999999999</v>
      </c>
      <c r="O17" s="82">
        <f>'AEO22 Table 23 Raw'!P8</f>
        <v>156.83200099999999</v>
      </c>
      <c r="P17" s="82">
        <f>'AEO22 Table 23 Raw'!Q8</f>
        <v>157.90751599999999</v>
      </c>
      <c r="Q17" s="82">
        <f>'AEO22 Table 23 Raw'!R8</f>
        <v>158.97392300000001</v>
      </c>
      <c r="R17" s="82">
        <f>'AEO22 Table 23 Raw'!S8</f>
        <v>159.592026</v>
      </c>
      <c r="S17" s="82">
        <f>'AEO22 Table 23 Raw'!T8</f>
        <v>160.032928</v>
      </c>
      <c r="T17" s="82">
        <f>'AEO22 Table 23 Raw'!U8</f>
        <v>160.57656900000001</v>
      </c>
      <c r="U17" s="82">
        <f>'AEO22 Table 23 Raw'!V8</f>
        <v>161.21490499999999</v>
      </c>
      <c r="V17" s="82">
        <f>'AEO22 Table 23 Raw'!W8</f>
        <v>161.874146</v>
      </c>
      <c r="W17" s="82">
        <f>'AEO22 Table 23 Raw'!X8</f>
        <v>162.66340600000001</v>
      </c>
      <c r="X17" s="82">
        <f>'AEO22 Table 23 Raw'!Y8</f>
        <v>163.589279</v>
      </c>
      <c r="Y17" s="82">
        <f>'AEO22 Table 23 Raw'!Z8</f>
        <v>164.25657699999999</v>
      </c>
      <c r="Z17" s="82">
        <f>'AEO22 Table 23 Raw'!AA8</f>
        <v>164.99642900000001</v>
      </c>
      <c r="AA17" s="82">
        <f>'AEO22 Table 23 Raw'!AB8</f>
        <v>165.65443400000001</v>
      </c>
      <c r="AB17" s="82">
        <f>'AEO22 Table 23 Raw'!AC8</f>
        <v>166.30429100000001</v>
      </c>
      <c r="AC17" s="82">
        <f>'AEO22 Table 23 Raw'!AD8</f>
        <v>167.189178</v>
      </c>
      <c r="AD17" s="82">
        <f>'AEO22 Table 23 Raw'!AE8</f>
        <v>168.241287</v>
      </c>
      <c r="AE17" s="82">
        <f>'AEO22 Table 23 Raw'!AF8</f>
        <v>169.31140099999999</v>
      </c>
      <c r="AF17" s="82">
        <f>'AEO22 Table 23 Raw'!AG8</f>
        <v>170.22872899999999</v>
      </c>
      <c r="AG17" s="82">
        <f>'AEO22 Table 23 Raw'!AH8</f>
        <v>171.10382100000001</v>
      </c>
      <c r="AH17" s="82">
        <f>'AEO22 Table 23 Raw'!AI8</f>
        <v>172.19258099999999</v>
      </c>
      <c r="AI17" s="85">
        <f>'AEO22 Table 23 Raw'!AJ8</f>
        <v>5.0000000000000001E-3</v>
      </c>
    </row>
    <row r="18" spans="1:35" ht="15" customHeight="1" x14ac:dyDescent="0.2"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6"/>
    </row>
    <row r="19" spans="1:35" ht="15" customHeight="1" x14ac:dyDescent="0.2">
      <c r="C19" s="51" t="s">
        <v>567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6"/>
    </row>
    <row r="20" spans="1:35" ht="15" customHeight="1" x14ac:dyDescent="0.2"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6"/>
    </row>
    <row r="21" spans="1:35" ht="15" customHeight="1" x14ac:dyDescent="0.2">
      <c r="C21" s="51" t="s">
        <v>568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6"/>
    </row>
    <row r="22" spans="1:35" ht="15" customHeight="1" x14ac:dyDescent="0.25">
      <c r="A22" s="46" t="s">
        <v>569</v>
      </c>
      <c r="B22" s="46" t="s">
        <v>3</v>
      </c>
      <c r="C22" s="53" t="s">
        <v>570</v>
      </c>
      <c r="D22" s="54">
        <v>498.04193099999998</v>
      </c>
      <c r="E22" s="84">
        <f>'AEO22 Table 23 Raw'!F11</f>
        <v>545.77948000000004</v>
      </c>
      <c r="F22" s="84">
        <f>'AEO22 Table 23 Raw'!G11</f>
        <v>551.13958700000001</v>
      </c>
      <c r="G22" s="84">
        <f>'AEO22 Table 23 Raw'!H11</f>
        <v>558.31286599999999</v>
      </c>
      <c r="H22" s="84">
        <f>'AEO22 Table 23 Raw'!I11</f>
        <v>562.69604500000003</v>
      </c>
      <c r="I22" s="84">
        <f>'AEO22 Table 23 Raw'!J11</f>
        <v>566.57074</v>
      </c>
      <c r="J22" s="84">
        <f>'AEO22 Table 23 Raw'!K11</f>
        <v>570.89679000000001</v>
      </c>
      <c r="K22" s="84">
        <f>'AEO22 Table 23 Raw'!L11</f>
        <v>574.01483199999996</v>
      </c>
      <c r="L22" s="84">
        <f>'AEO22 Table 23 Raw'!M11</f>
        <v>575.962402</v>
      </c>
      <c r="M22" s="84">
        <f>'AEO22 Table 23 Raw'!N11</f>
        <v>577.76355000000001</v>
      </c>
      <c r="N22" s="84">
        <f>'AEO22 Table 23 Raw'!O11</f>
        <v>580.19329800000003</v>
      </c>
      <c r="O22" s="84">
        <f>'AEO22 Table 23 Raw'!P11</f>
        <v>582.15270999999996</v>
      </c>
      <c r="P22" s="84">
        <f>'AEO22 Table 23 Raw'!Q11</f>
        <v>584.11523399999999</v>
      </c>
      <c r="Q22" s="84">
        <f>'AEO22 Table 23 Raw'!R11</f>
        <v>586.77783199999999</v>
      </c>
      <c r="R22" s="84">
        <f>'AEO22 Table 23 Raw'!S11</f>
        <v>588.97094700000002</v>
      </c>
      <c r="S22" s="84">
        <f>'AEO22 Table 23 Raw'!T11</f>
        <v>590.37792999999999</v>
      </c>
      <c r="T22" s="84">
        <f>'AEO22 Table 23 Raw'!U11</f>
        <v>592.02593999999999</v>
      </c>
      <c r="U22" s="84">
        <f>'AEO22 Table 23 Raw'!V11</f>
        <v>593.71820100000002</v>
      </c>
      <c r="V22" s="84">
        <f>'AEO22 Table 23 Raw'!W11</f>
        <v>595.43859899999995</v>
      </c>
      <c r="W22" s="84">
        <f>'AEO22 Table 23 Raw'!X11</f>
        <v>597.58563200000003</v>
      </c>
      <c r="X22" s="84">
        <f>'AEO22 Table 23 Raw'!Y11</f>
        <v>599.52459699999997</v>
      </c>
      <c r="Y22" s="84">
        <f>'AEO22 Table 23 Raw'!Z11</f>
        <v>601.00347899999997</v>
      </c>
      <c r="Z22" s="84">
        <f>'AEO22 Table 23 Raw'!AA11</f>
        <v>602.93469200000004</v>
      </c>
      <c r="AA22" s="84">
        <f>'AEO22 Table 23 Raw'!AB11</f>
        <v>605.20434599999999</v>
      </c>
      <c r="AB22" s="84">
        <f>'AEO22 Table 23 Raw'!AC11</f>
        <v>606.87676999999996</v>
      </c>
      <c r="AC22" s="84">
        <f>'AEO22 Table 23 Raw'!AD11</f>
        <v>608.22619599999996</v>
      </c>
      <c r="AD22" s="84">
        <f>'AEO22 Table 23 Raw'!AE11</f>
        <v>609.61218299999996</v>
      </c>
      <c r="AE22" s="84">
        <f>'AEO22 Table 23 Raw'!AF11</f>
        <v>610.96179199999995</v>
      </c>
      <c r="AF22" s="84">
        <f>'AEO22 Table 23 Raw'!AG11</f>
        <v>613.48284899999999</v>
      </c>
      <c r="AG22" s="84">
        <f>'AEO22 Table 23 Raw'!AH11</f>
        <v>616.400757</v>
      </c>
      <c r="AH22" s="84">
        <f>'AEO22 Table 23 Raw'!AI11</f>
        <v>619.95855700000004</v>
      </c>
      <c r="AI22" s="87">
        <f>'AEO22 Table 23 Raw'!AJ11</f>
        <v>4.0000000000000001E-3</v>
      </c>
    </row>
    <row r="23" spans="1:35" ht="15" customHeight="1" x14ac:dyDescent="0.25">
      <c r="A23" s="46" t="s">
        <v>571</v>
      </c>
      <c r="B23" s="46" t="s">
        <v>657</v>
      </c>
      <c r="C23" s="53" t="s">
        <v>572</v>
      </c>
      <c r="D23" s="54">
        <v>717.90631099999996</v>
      </c>
      <c r="E23" s="84">
        <f>'AEO22 Table 23 Raw'!F12</f>
        <v>688.52893100000006</v>
      </c>
      <c r="F23" s="84">
        <f>'AEO22 Table 23 Raw'!G12</f>
        <v>684.086365</v>
      </c>
      <c r="G23" s="84">
        <f>'AEO22 Table 23 Raw'!H12</f>
        <v>694.49340800000004</v>
      </c>
      <c r="H23" s="84">
        <f>'AEO22 Table 23 Raw'!I12</f>
        <v>699.25799600000005</v>
      </c>
      <c r="I23" s="84">
        <f>'AEO22 Table 23 Raw'!J12</f>
        <v>707.49761999999998</v>
      </c>
      <c r="J23" s="84">
        <f>'AEO22 Table 23 Raw'!K12</f>
        <v>709.316284</v>
      </c>
      <c r="K23" s="84">
        <f>'AEO22 Table 23 Raw'!L12</f>
        <v>706.40289299999995</v>
      </c>
      <c r="L23" s="84">
        <f>'AEO22 Table 23 Raw'!M12</f>
        <v>714.37170400000002</v>
      </c>
      <c r="M23" s="84">
        <f>'AEO22 Table 23 Raw'!N12</f>
        <v>716.31878700000004</v>
      </c>
      <c r="N23" s="84">
        <f>'AEO22 Table 23 Raw'!O12</f>
        <v>716.490723</v>
      </c>
      <c r="O23" s="84">
        <f>'AEO22 Table 23 Raw'!P12</f>
        <v>716.28942900000004</v>
      </c>
      <c r="P23" s="84">
        <f>'AEO22 Table 23 Raw'!Q12</f>
        <v>717.49902299999997</v>
      </c>
      <c r="Q23" s="84">
        <f>'AEO22 Table 23 Raw'!R12</f>
        <v>719.57141100000001</v>
      </c>
      <c r="R23" s="84">
        <f>'AEO22 Table 23 Raw'!S12</f>
        <v>714.41589399999998</v>
      </c>
      <c r="S23" s="84">
        <f>'AEO22 Table 23 Raw'!T12</f>
        <v>711.59710700000005</v>
      </c>
      <c r="T23" s="84">
        <f>'AEO22 Table 23 Raw'!U12</f>
        <v>710.25048800000002</v>
      </c>
      <c r="U23" s="84">
        <f>'AEO22 Table 23 Raw'!V12</f>
        <v>708.04540999999995</v>
      </c>
      <c r="V23" s="84">
        <f>'AEO22 Table 23 Raw'!W12</f>
        <v>708.728882</v>
      </c>
      <c r="W23" s="84">
        <f>'AEO22 Table 23 Raw'!X12</f>
        <v>711.70678699999996</v>
      </c>
      <c r="X23" s="84">
        <f>'AEO22 Table 23 Raw'!Y12</f>
        <v>715.08569299999999</v>
      </c>
      <c r="Y23" s="84">
        <f>'AEO22 Table 23 Raw'!Z12</f>
        <v>715.07507299999997</v>
      </c>
      <c r="Z23" s="84">
        <f>'AEO22 Table 23 Raw'!AA12</f>
        <v>714.95477300000005</v>
      </c>
      <c r="AA23" s="84">
        <f>'AEO22 Table 23 Raw'!AB12</f>
        <v>716.31176800000003</v>
      </c>
      <c r="AB23" s="84">
        <f>'AEO22 Table 23 Raw'!AC12</f>
        <v>718.23498500000005</v>
      </c>
      <c r="AC23" s="84">
        <f>'AEO22 Table 23 Raw'!AD12</f>
        <v>723.43109100000004</v>
      </c>
      <c r="AD23" s="84">
        <f>'AEO22 Table 23 Raw'!AE12</f>
        <v>730.20544400000006</v>
      </c>
      <c r="AE23" s="84">
        <f>'AEO22 Table 23 Raw'!AF12</f>
        <v>733.34979199999998</v>
      </c>
      <c r="AF23" s="84">
        <f>'AEO22 Table 23 Raw'!AG12</f>
        <v>732.57879600000001</v>
      </c>
      <c r="AG23" s="84">
        <f>'AEO22 Table 23 Raw'!AH12</f>
        <v>733.87646500000005</v>
      </c>
      <c r="AH23" s="84">
        <f>'AEO22 Table 23 Raw'!AI12</f>
        <v>740.81579599999998</v>
      </c>
      <c r="AI23" s="87">
        <f>'AEO22 Table 23 Raw'!AJ12</f>
        <v>3.0000000000000001E-3</v>
      </c>
    </row>
    <row r="24" spans="1:35" ht="15" customHeight="1" x14ac:dyDescent="0.25">
      <c r="A24" s="46" t="s">
        <v>573</v>
      </c>
      <c r="B24" s="46" t="s">
        <v>19</v>
      </c>
      <c r="C24" s="53" t="s">
        <v>574</v>
      </c>
      <c r="D24" s="54">
        <v>1319.2829589999999</v>
      </c>
      <c r="E24" s="84">
        <f>'AEO22 Table 23 Raw'!F13</f>
        <v>1448.7993160000001</v>
      </c>
      <c r="F24" s="84">
        <f>'AEO22 Table 23 Raw'!G13</f>
        <v>1344.4849850000001</v>
      </c>
      <c r="G24" s="84">
        <f>'AEO22 Table 23 Raw'!H13</f>
        <v>1310.3020019999999</v>
      </c>
      <c r="H24" s="84">
        <f>'AEO22 Table 23 Raw'!I13</f>
        <v>1321.809692</v>
      </c>
      <c r="I24" s="84">
        <f>'AEO22 Table 23 Raw'!J13</f>
        <v>1327.1669919999999</v>
      </c>
      <c r="J24" s="84">
        <f>'AEO22 Table 23 Raw'!K13</f>
        <v>1326.1383060000001</v>
      </c>
      <c r="K24" s="84">
        <f>'AEO22 Table 23 Raw'!L13</f>
        <v>1323.183716</v>
      </c>
      <c r="L24" s="84">
        <f>'AEO22 Table 23 Raw'!M13</f>
        <v>1333.3876949999999</v>
      </c>
      <c r="M24" s="84">
        <f>'AEO22 Table 23 Raw'!N13</f>
        <v>1346.3139650000001</v>
      </c>
      <c r="N24" s="84">
        <f>'AEO22 Table 23 Raw'!O13</f>
        <v>1355.6225589999999</v>
      </c>
      <c r="O24" s="84">
        <f>'AEO22 Table 23 Raw'!P13</f>
        <v>1366.4567870000001</v>
      </c>
      <c r="P24" s="84">
        <f>'AEO22 Table 23 Raw'!Q13</f>
        <v>1408.8607179999999</v>
      </c>
      <c r="Q24" s="84">
        <f>'AEO22 Table 23 Raw'!R13</f>
        <v>1446.3237300000001</v>
      </c>
      <c r="R24" s="84">
        <f>'AEO22 Table 23 Raw'!S13</f>
        <v>1453.3330080000001</v>
      </c>
      <c r="S24" s="84">
        <f>'AEO22 Table 23 Raw'!T13</f>
        <v>1458.318481</v>
      </c>
      <c r="T24" s="84">
        <f>'AEO22 Table 23 Raw'!U13</f>
        <v>1465.8522949999999</v>
      </c>
      <c r="U24" s="84">
        <f>'AEO22 Table 23 Raw'!V13</f>
        <v>1487.877808</v>
      </c>
      <c r="V24" s="84">
        <f>'AEO22 Table 23 Raw'!W13</f>
        <v>1517.082764</v>
      </c>
      <c r="W24" s="84">
        <f>'AEO22 Table 23 Raw'!X13</f>
        <v>1549.084717</v>
      </c>
      <c r="X24" s="84">
        <f>'AEO22 Table 23 Raw'!Y13</f>
        <v>1575.965942</v>
      </c>
      <c r="Y24" s="84">
        <f>'AEO22 Table 23 Raw'!Z13</f>
        <v>1597.8957519999999</v>
      </c>
      <c r="Z24" s="84">
        <f>'AEO22 Table 23 Raw'!AA13</f>
        <v>1619.0770259999999</v>
      </c>
      <c r="AA24" s="84">
        <f>'AEO22 Table 23 Raw'!AB13</f>
        <v>1638.0722659999999</v>
      </c>
      <c r="AB24" s="84">
        <f>'AEO22 Table 23 Raw'!AC13</f>
        <v>1654.0939940000001</v>
      </c>
      <c r="AC24" s="84">
        <f>'AEO22 Table 23 Raw'!AD13</f>
        <v>1668.0817870000001</v>
      </c>
      <c r="AD24" s="84">
        <f>'AEO22 Table 23 Raw'!AE13</f>
        <v>1686.932251</v>
      </c>
      <c r="AE24" s="84">
        <f>'AEO22 Table 23 Raw'!AF13</f>
        <v>1705.473999</v>
      </c>
      <c r="AF24" s="84">
        <f>'AEO22 Table 23 Raw'!AG13</f>
        <v>1723.6689449999999</v>
      </c>
      <c r="AG24" s="84">
        <f>'AEO22 Table 23 Raw'!AH13</f>
        <v>1747.067749</v>
      </c>
      <c r="AH24" s="84">
        <f>'AEO22 Table 23 Raw'!AI13</f>
        <v>1773.0322269999999</v>
      </c>
      <c r="AI24" s="87">
        <f>'AEO22 Table 23 Raw'!AJ13</f>
        <v>7.0000000000000001E-3</v>
      </c>
    </row>
    <row r="25" spans="1:35" ht="12" x14ac:dyDescent="0.2"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6"/>
    </row>
    <row r="26" spans="1:35" ht="12" x14ac:dyDescent="0.2">
      <c r="C26" s="51" t="s">
        <v>575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6"/>
    </row>
    <row r="27" spans="1:35" x14ac:dyDescent="0.25">
      <c r="A27" s="46" t="s">
        <v>576</v>
      </c>
      <c r="B27" s="46" t="s">
        <v>6</v>
      </c>
      <c r="C27" s="53" t="s">
        <v>577</v>
      </c>
      <c r="D27" s="54">
        <v>892.20709199999999</v>
      </c>
      <c r="E27" s="84">
        <f>'AEO22 Table 23 Raw'!F15</f>
        <v>951.64434800000004</v>
      </c>
      <c r="F27" s="84">
        <f>'AEO22 Table 23 Raw'!G15</f>
        <v>968.13769500000001</v>
      </c>
      <c r="G27" s="84">
        <f>'AEO22 Table 23 Raw'!H15</f>
        <v>969.99871800000005</v>
      </c>
      <c r="H27" s="84">
        <f>'AEO22 Table 23 Raw'!I15</f>
        <v>974.52917500000001</v>
      </c>
      <c r="I27" s="84">
        <f>'AEO22 Table 23 Raw'!J15</f>
        <v>980.49780299999998</v>
      </c>
      <c r="J27" s="84">
        <f>'AEO22 Table 23 Raw'!K15</f>
        <v>986.57391399999995</v>
      </c>
      <c r="K27" s="84">
        <f>'AEO22 Table 23 Raw'!L15</f>
        <v>993.19183299999997</v>
      </c>
      <c r="L27" s="84">
        <f>'AEO22 Table 23 Raw'!M15</f>
        <v>999.98217799999998</v>
      </c>
      <c r="M27" s="84">
        <f>'AEO22 Table 23 Raw'!N15</f>
        <v>1005.9415279999999</v>
      </c>
      <c r="N27" s="84">
        <f>'AEO22 Table 23 Raw'!O15</f>
        <v>1011.705017</v>
      </c>
      <c r="O27" s="84">
        <f>'AEO22 Table 23 Raw'!P15</f>
        <v>1017.668274</v>
      </c>
      <c r="P27" s="84">
        <f>'AEO22 Table 23 Raw'!Q15</f>
        <v>1023.182495</v>
      </c>
      <c r="Q27" s="84">
        <f>'AEO22 Table 23 Raw'!R15</f>
        <v>1027.451294</v>
      </c>
      <c r="R27" s="84">
        <f>'AEO22 Table 23 Raw'!S15</f>
        <v>1031.005737</v>
      </c>
      <c r="S27" s="84">
        <f>'AEO22 Table 23 Raw'!T15</f>
        <v>1034.5820309999999</v>
      </c>
      <c r="T27" s="84">
        <f>'AEO22 Table 23 Raw'!U15</f>
        <v>1038.2364500000001</v>
      </c>
      <c r="U27" s="84">
        <f>'AEO22 Table 23 Raw'!V15</f>
        <v>1041.2788089999999</v>
      </c>
      <c r="V27" s="84">
        <f>'AEO22 Table 23 Raw'!W15</f>
        <v>1044.4017329999999</v>
      </c>
      <c r="W27" s="84">
        <f>'AEO22 Table 23 Raw'!X15</f>
        <v>1048.053711</v>
      </c>
      <c r="X27" s="84">
        <f>'AEO22 Table 23 Raw'!Y15</f>
        <v>1051.4875489999999</v>
      </c>
      <c r="Y27" s="84">
        <f>'AEO22 Table 23 Raw'!Z15</f>
        <v>1054.318726</v>
      </c>
      <c r="Z27" s="84">
        <f>'AEO22 Table 23 Raw'!AA15</f>
        <v>1057.786987</v>
      </c>
      <c r="AA27" s="84">
        <f>'AEO22 Table 23 Raw'!AB15</f>
        <v>1061.2742920000001</v>
      </c>
      <c r="AB27" s="84">
        <f>'AEO22 Table 23 Raw'!AC15</f>
        <v>1064.614014</v>
      </c>
      <c r="AC27" s="84">
        <f>'AEO22 Table 23 Raw'!AD15</f>
        <v>1067.841797</v>
      </c>
      <c r="AD27" s="84">
        <f>'AEO22 Table 23 Raw'!AE15</f>
        <v>1070.3272710000001</v>
      </c>
      <c r="AE27" s="84">
        <f>'AEO22 Table 23 Raw'!AF15</f>
        <v>1072.7795410000001</v>
      </c>
      <c r="AF27" s="84">
        <f>'AEO22 Table 23 Raw'!AG15</f>
        <v>1076.1705320000001</v>
      </c>
      <c r="AG27" s="84">
        <f>'AEO22 Table 23 Raw'!AH15</f>
        <v>1080.1557620000001</v>
      </c>
      <c r="AH27" s="84">
        <f>'AEO22 Table 23 Raw'!AI15</f>
        <v>1085.2459719999999</v>
      </c>
      <c r="AI27" s="87">
        <f>'AEO22 Table 23 Raw'!AJ15</f>
        <v>5.0000000000000001E-3</v>
      </c>
    </row>
    <row r="28" spans="1:35" x14ac:dyDescent="0.25">
      <c r="A28" s="46" t="s">
        <v>578</v>
      </c>
      <c r="B28" s="46" t="s">
        <v>6</v>
      </c>
      <c r="C28" s="53" t="s">
        <v>579</v>
      </c>
      <c r="D28" s="54">
        <v>150.395096</v>
      </c>
      <c r="E28" s="84">
        <f>'AEO22 Table 23 Raw'!F16</f>
        <v>150.72590600000001</v>
      </c>
      <c r="F28" s="84">
        <f>'AEO22 Table 23 Raw'!G16</f>
        <v>146.54585299999999</v>
      </c>
      <c r="G28" s="84">
        <f>'AEO22 Table 23 Raw'!H16</f>
        <v>143.67477400000001</v>
      </c>
      <c r="H28" s="84">
        <f>'AEO22 Table 23 Raw'!I16</f>
        <v>141.76295500000001</v>
      </c>
      <c r="I28" s="84">
        <f>'AEO22 Table 23 Raw'!J16</f>
        <v>140.077698</v>
      </c>
      <c r="J28" s="84">
        <f>'AEO22 Table 23 Raw'!K16</f>
        <v>138.97024500000001</v>
      </c>
      <c r="K28" s="84">
        <f>'AEO22 Table 23 Raw'!L16</f>
        <v>138.38009600000001</v>
      </c>
      <c r="L28" s="84">
        <f>'AEO22 Table 23 Raw'!M16</f>
        <v>138.23794599999999</v>
      </c>
      <c r="M28" s="84">
        <f>'AEO22 Table 23 Raw'!N16</f>
        <v>138.098129</v>
      </c>
      <c r="N28" s="84">
        <f>'AEO22 Table 23 Raw'!O16</f>
        <v>138.01229900000001</v>
      </c>
      <c r="O28" s="84">
        <f>'AEO22 Table 23 Raw'!P16</f>
        <v>137.93879699999999</v>
      </c>
      <c r="P28" s="84">
        <f>'AEO22 Table 23 Raw'!Q16</f>
        <v>138.42849699999999</v>
      </c>
      <c r="Q28" s="84">
        <f>'AEO22 Table 23 Raw'!R16</f>
        <v>138.210205</v>
      </c>
      <c r="R28" s="84">
        <f>'AEO22 Table 23 Raw'!S16</f>
        <v>137.88587999999999</v>
      </c>
      <c r="S28" s="84">
        <f>'AEO22 Table 23 Raw'!T16</f>
        <v>137.821945</v>
      </c>
      <c r="T28" s="84">
        <f>'AEO22 Table 23 Raw'!U16</f>
        <v>137.792969</v>
      </c>
      <c r="U28" s="84">
        <f>'AEO22 Table 23 Raw'!V16</f>
        <v>137.77362099999999</v>
      </c>
      <c r="V28" s="84">
        <f>'AEO22 Table 23 Raw'!W16</f>
        <v>137.748581</v>
      </c>
      <c r="W28" s="84">
        <f>'AEO22 Table 23 Raw'!X16</f>
        <v>137.727844</v>
      </c>
      <c r="X28" s="84">
        <f>'AEO22 Table 23 Raw'!Y16</f>
        <v>137.70062300000001</v>
      </c>
      <c r="Y28" s="84">
        <f>'AEO22 Table 23 Raw'!Z16</f>
        <v>137.569748</v>
      </c>
      <c r="Z28" s="84">
        <f>'AEO22 Table 23 Raw'!AA16</f>
        <v>137.477676</v>
      </c>
      <c r="AA28" s="84">
        <f>'AEO22 Table 23 Raw'!AB16</f>
        <v>137.701279</v>
      </c>
      <c r="AB28" s="84">
        <f>'AEO22 Table 23 Raw'!AC16</f>
        <v>138.139343</v>
      </c>
      <c r="AC28" s="84">
        <f>'AEO22 Table 23 Raw'!AD16</f>
        <v>138.44804400000001</v>
      </c>
      <c r="AD28" s="84">
        <f>'AEO22 Table 23 Raw'!AE16</f>
        <v>138.82553100000001</v>
      </c>
      <c r="AE28" s="84">
        <f>'AEO22 Table 23 Raw'!AF16</f>
        <v>139.34397899999999</v>
      </c>
      <c r="AF28" s="84">
        <f>'AEO22 Table 23 Raw'!AG16</f>
        <v>140.150803</v>
      </c>
      <c r="AG28" s="84">
        <f>'AEO22 Table 23 Raw'!AH16</f>
        <v>141.08917199999999</v>
      </c>
      <c r="AH28" s="84">
        <f>'AEO22 Table 23 Raw'!AI16</f>
        <v>142.092331</v>
      </c>
      <c r="AI28" s="87">
        <f>'AEO22 Table 23 Raw'!AJ16</f>
        <v>-2E-3</v>
      </c>
    </row>
    <row r="29" spans="1:35" x14ac:dyDescent="0.25">
      <c r="A29" s="46" t="s">
        <v>580</v>
      </c>
      <c r="B29" s="46" t="s">
        <v>7</v>
      </c>
      <c r="C29" s="53" t="s">
        <v>581</v>
      </c>
      <c r="D29" s="54">
        <v>63.119968</v>
      </c>
      <c r="E29" s="84">
        <f>'AEO22 Table 23 Raw'!F17</f>
        <v>66.721694999999997</v>
      </c>
      <c r="F29" s="84">
        <f>'AEO22 Table 23 Raw'!G17</f>
        <v>67.566856000000001</v>
      </c>
      <c r="G29" s="84">
        <f>'AEO22 Table 23 Raw'!H17</f>
        <v>68.538239000000004</v>
      </c>
      <c r="H29" s="84">
        <f>'AEO22 Table 23 Raw'!I17</f>
        <v>68.599648000000002</v>
      </c>
      <c r="I29" s="84">
        <f>'AEO22 Table 23 Raw'!J17</f>
        <v>68.280685000000005</v>
      </c>
      <c r="J29" s="84">
        <f>'AEO22 Table 23 Raw'!K17</f>
        <v>67.760955999999993</v>
      </c>
      <c r="K29" s="84">
        <f>'AEO22 Table 23 Raw'!L17</f>
        <v>67.162627999999998</v>
      </c>
      <c r="L29" s="84">
        <f>'AEO22 Table 23 Raw'!M17</f>
        <v>66.835319999999996</v>
      </c>
      <c r="M29" s="84">
        <f>'AEO22 Table 23 Raw'!N17</f>
        <v>66.431586999999993</v>
      </c>
      <c r="N29" s="84">
        <f>'AEO22 Table 23 Raw'!O17</f>
        <v>66.230735999999993</v>
      </c>
      <c r="O29" s="84">
        <f>'AEO22 Table 23 Raw'!P17</f>
        <v>66.143990000000002</v>
      </c>
      <c r="P29" s="84">
        <f>'AEO22 Table 23 Raw'!Q17</f>
        <v>65.868149000000003</v>
      </c>
      <c r="Q29" s="84">
        <f>'AEO22 Table 23 Raw'!R17</f>
        <v>65.687247999999997</v>
      </c>
      <c r="R29" s="84">
        <f>'AEO22 Table 23 Raw'!S17</f>
        <v>65.428848000000002</v>
      </c>
      <c r="S29" s="84">
        <f>'AEO22 Table 23 Raw'!T17</f>
        <v>65.043457000000004</v>
      </c>
      <c r="T29" s="84">
        <f>'AEO22 Table 23 Raw'!U17</f>
        <v>64.738547999999994</v>
      </c>
      <c r="U29" s="84">
        <f>'AEO22 Table 23 Raw'!V17</f>
        <v>64.548325000000006</v>
      </c>
      <c r="V29" s="84">
        <f>'AEO22 Table 23 Raw'!W17</f>
        <v>64.244315999999998</v>
      </c>
      <c r="W29" s="84">
        <f>'AEO22 Table 23 Raw'!X17</f>
        <v>64.002433999999994</v>
      </c>
      <c r="X29" s="84">
        <f>'AEO22 Table 23 Raw'!Y17</f>
        <v>63.834743000000003</v>
      </c>
      <c r="Y29" s="84">
        <f>'AEO22 Table 23 Raw'!Z17</f>
        <v>63.528030000000001</v>
      </c>
      <c r="Z29" s="84">
        <f>'AEO22 Table 23 Raw'!AA17</f>
        <v>63.220855999999998</v>
      </c>
      <c r="AA29" s="84">
        <f>'AEO22 Table 23 Raw'!AB17</f>
        <v>63.055897000000002</v>
      </c>
      <c r="AB29" s="84">
        <f>'AEO22 Table 23 Raw'!AC17</f>
        <v>62.821331000000001</v>
      </c>
      <c r="AC29" s="84">
        <f>'AEO22 Table 23 Raw'!AD17</f>
        <v>62.599750999999998</v>
      </c>
      <c r="AD29" s="84">
        <f>'AEO22 Table 23 Raw'!AE17</f>
        <v>62.486159999999998</v>
      </c>
      <c r="AE29" s="84">
        <f>'AEO22 Table 23 Raw'!AF17</f>
        <v>62.270629999999997</v>
      </c>
      <c r="AF29" s="84">
        <f>'AEO22 Table 23 Raw'!AG17</f>
        <v>61.878734999999999</v>
      </c>
      <c r="AG29" s="84">
        <f>'AEO22 Table 23 Raw'!AH17</f>
        <v>61.477103999999997</v>
      </c>
      <c r="AH29" s="84">
        <f>'AEO22 Table 23 Raw'!AI17</f>
        <v>61.008437999999998</v>
      </c>
      <c r="AI29" s="87">
        <f>'AEO22 Table 23 Raw'!AJ17</f>
        <v>-3.0000000000000001E-3</v>
      </c>
    </row>
    <row r="30" spans="1:35" x14ac:dyDescent="0.25">
      <c r="A30" s="46" t="s">
        <v>582</v>
      </c>
      <c r="B30" s="46" t="s">
        <v>8</v>
      </c>
      <c r="C30" s="53" t="s">
        <v>583</v>
      </c>
      <c r="D30" s="54">
        <v>91.311569000000006</v>
      </c>
      <c r="E30" s="84">
        <f>'AEO22 Table 23 Raw'!F18</f>
        <v>109.865883</v>
      </c>
      <c r="F30" s="84">
        <f>'AEO22 Table 23 Raw'!G18</f>
        <v>103.384575</v>
      </c>
      <c r="G30" s="84">
        <f>'AEO22 Table 23 Raw'!H18</f>
        <v>97.434769000000003</v>
      </c>
      <c r="H30" s="84">
        <f>'AEO22 Table 23 Raw'!I18</f>
        <v>97.533112000000003</v>
      </c>
      <c r="I30" s="84">
        <f>'AEO22 Table 23 Raw'!J18</f>
        <v>98.415633999999997</v>
      </c>
      <c r="J30" s="84">
        <f>'AEO22 Table 23 Raw'!K18</f>
        <v>94.947829999999996</v>
      </c>
      <c r="K30" s="84">
        <f>'AEO22 Table 23 Raw'!L18</f>
        <v>90.944564999999997</v>
      </c>
      <c r="L30" s="84">
        <f>'AEO22 Table 23 Raw'!M18</f>
        <v>87.395415999999997</v>
      </c>
      <c r="M30" s="84">
        <f>'AEO22 Table 23 Raw'!N18</f>
        <v>85.541420000000002</v>
      </c>
      <c r="N30" s="84">
        <f>'AEO22 Table 23 Raw'!O18</f>
        <v>85.198097000000004</v>
      </c>
      <c r="O30" s="84">
        <f>'AEO22 Table 23 Raw'!P18</f>
        <v>83.265372999999997</v>
      </c>
      <c r="P30" s="84">
        <f>'AEO22 Table 23 Raw'!Q18</f>
        <v>82.290381999999994</v>
      </c>
      <c r="Q30" s="84">
        <f>'AEO22 Table 23 Raw'!R18</f>
        <v>81.322890999999998</v>
      </c>
      <c r="R30" s="84">
        <f>'AEO22 Table 23 Raw'!S18</f>
        <v>80.921729999999997</v>
      </c>
      <c r="S30" s="84">
        <f>'AEO22 Table 23 Raw'!T18</f>
        <v>80.755691999999996</v>
      </c>
      <c r="T30" s="84">
        <f>'AEO22 Table 23 Raw'!U18</f>
        <v>81.034049999999993</v>
      </c>
      <c r="U30" s="84">
        <f>'AEO22 Table 23 Raw'!V18</f>
        <v>80.751334999999997</v>
      </c>
      <c r="V30" s="84">
        <f>'AEO22 Table 23 Raw'!W18</f>
        <v>80.406363999999996</v>
      </c>
      <c r="W30" s="84">
        <f>'AEO22 Table 23 Raw'!X18</f>
        <v>80.710457000000005</v>
      </c>
      <c r="X30" s="84">
        <f>'AEO22 Table 23 Raw'!Y18</f>
        <v>81.227317999999997</v>
      </c>
      <c r="Y30" s="84">
        <f>'AEO22 Table 23 Raw'!Z18</f>
        <v>82.065094000000002</v>
      </c>
      <c r="Z30" s="84">
        <f>'AEO22 Table 23 Raw'!AA18</f>
        <v>83.27713</v>
      </c>
      <c r="AA30" s="84">
        <f>'AEO22 Table 23 Raw'!AB18</f>
        <v>84.180367000000004</v>
      </c>
      <c r="AB30" s="84">
        <f>'AEO22 Table 23 Raw'!AC18</f>
        <v>83.959121999999994</v>
      </c>
      <c r="AC30" s="84">
        <f>'AEO22 Table 23 Raw'!AD18</f>
        <v>83.839530999999994</v>
      </c>
      <c r="AD30" s="84">
        <f>'AEO22 Table 23 Raw'!AE18</f>
        <v>84.499367000000007</v>
      </c>
      <c r="AE30" s="84">
        <f>'AEO22 Table 23 Raw'!AF18</f>
        <v>85.330498000000006</v>
      </c>
      <c r="AF30" s="84">
        <f>'AEO22 Table 23 Raw'!AG18</f>
        <v>86.038773000000006</v>
      </c>
      <c r="AG30" s="84">
        <f>'AEO22 Table 23 Raw'!AH18</f>
        <v>87.018608</v>
      </c>
      <c r="AH30" s="84">
        <f>'AEO22 Table 23 Raw'!AI18</f>
        <v>89.788933</v>
      </c>
      <c r="AI30" s="87">
        <f>'AEO22 Table 23 Raw'!AJ18</f>
        <v>-7.0000000000000001E-3</v>
      </c>
    </row>
    <row r="31" spans="1:35" x14ac:dyDescent="0.25">
      <c r="A31" s="46" t="s">
        <v>584</v>
      </c>
      <c r="B31" s="46" t="s">
        <v>18</v>
      </c>
      <c r="C31" s="53" t="s">
        <v>585</v>
      </c>
      <c r="D31" s="54">
        <v>63.518310999999997</v>
      </c>
      <c r="E31" s="84">
        <f>'AEO22 Table 23 Raw'!F19</f>
        <v>73.106605999999999</v>
      </c>
      <c r="F31" s="84">
        <f>'AEO22 Table 23 Raw'!G19</f>
        <v>74.492615000000001</v>
      </c>
      <c r="G31" s="84">
        <f>'AEO22 Table 23 Raw'!H19</f>
        <v>74.920852999999994</v>
      </c>
      <c r="H31" s="84">
        <f>'AEO22 Table 23 Raw'!I19</f>
        <v>74.970245000000006</v>
      </c>
      <c r="I31" s="84">
        <f>'AEO22 Table 23 Raw'!J19</f>
        <v>75.073691999999994</v>
      </c>
      <c r="J31" s="84">
        <f>'AEO22 Table 23 Raw'!K19</f>
        <v>74.813400000000001</v>
      </c>
      <c r="K31" s="84">
        <f>'AEO22 Table 23 Raw'!L19</f>
        <v>73.955078</v>
      </c>
      <c r="L31" s="84">
        <f>'AEO22 Table 23 Raw'!M19</f>
        <v>73.365143000000003</v>
      </c>
      <c r="M31" s="84">
        <f>'AEO22 Table 23 Raw'!N19</f>
        <v>72.822044000000005</v>
      </c>
      <c r="N31" s="84">
        <f>'AEO22 Table 23 Raw'!O19</f>
        <v>73.29007</v>
      </c>
      <c r="O31" s="84">
        <f>'AEO22 Table 23 Raw'!P19</f>
        <v>73.362350000000006</v>
      </c>
      <c r="P31" s="84">
        <f>'AEO22 Table 23 Raw'!Q19</f>
        <v>73.803443999999999</v>
      </c>
      <c r="Q31" s="84">
        <f>'AEO22 Table 23 Raw'!R19</f>
        <v>74.245209000000003</v>
      </c>
      <c r="R31" s="84">
        <f>'AEO22 Table 23 Raw'!S19</f>
        <v>74.740074000000007</v>
      </c>
      <c r="S31" s="84">
        <f>'AEO22 Table 23 Raw'!T19</f>
        <v>75.565612999999999</v>
      </c>
      <c r="T31" s="84">
        <f>'AEO22 Table 23 Raw'!U19</f>
        <v>76.517937000000003</v>
      </c>
      <c r="U31" s="84">
        <f>'AEO22 Table 23 Raw'!V19</f>
        <v>77.588065999999998</v>
      </c>
      <c r="V31" s="84">
        <f>'AEO22 Table 23 Raw'!W19</f>
        <v>78.300179</v>
      </c>
      <c r="W31" s="84">
        <f>'AEO22 Table 23 Raw'!X19</f>
        <v>79.465652000000006</v>
      </c>
      <c r="X31" s="84">
        <f>'AEO22 Table 23 Raw'!Y19</f>
        <v>80.692490000000006</v>
      </c>
      <c r="Y31" s="84">
        <f>'AEO22 Table 23 Raw'!Z19</f>
        <v>81.847877999999994</v>
      </c>
      <c r="Z31" s="84">
        <f>'AEO22 Table 23 Raw'!AA19</f>
        <v>83.498360000000005</v>
      </c>
      <c r="AA31" s="84">
        <f>'AEO22 Table 23 Raw'!AB19</f>
        <v>85.137603999999996</v>
      </c>
      <c r="AB31" s="84">
        <f>'AEO22 Table 23 Raw'!AC19</f>
        <v>85.927277000000004</v>
      </c>
      <c r="AC31" s="84">
        <f>'AEO22 Table 23 Raw'!AD19</f>
        <v>86.475052000000005</v>
      </c>
      <c r="AD31" s="84">
        <f>'AEO22 Table 23 Raw'!AE19</f>
        <v>88.442543000000001</v>
      </c>
      <c r="AE31" s="84">
        <f>'AEO22 Table 23 Raw'!AF19</f>
        <v>90.415633999999997</v>
      </c>
      <c r="AF31" s="84">
        <f>'AEO22 Table 23 Raw'!AG19</f>
        <v>91.291968999999995</v>
      </c>
      <c r="AG31" s="84">
        <f>'AEO22 Table 23 Raw'!AH19</f>
        <v>92.919960000000003</v>
      </c>
      <c r="AH31" s="84">
        <f>'AEO22 Table 23 Raw'!AI19</f>
        <v>95.786666999999994</v>
      </c>
      <c r="AI31" s="87">
        <f>'AEO22 Table 23 Raw'!AJ19</f>
        <v>8.9999999999999993E-3</v>
      </c>
    </row>
    <row r="32" spans="1:35" x14ac:dyDescent="0.25">
      <c r="A32" s="46" t="s">
        <v>586</v>
      </c>
      <c r="B32" s="46" t="s">
        <v>9</v>
      </c>
      <c r="C32" s="53" t="s">
        <v>587</v>
      </c>
      <c r="D32" s="54">
        <v>168.22290000000001</v>
      </c>
      <c r="E32" s="84">
        <f>'AEO22 Table 23 Raw'!F20</f>
        <v>172.226822</v>
      </c>
      <c r="F32" s="84">
        <f>'AEO22 Table 23 Raw'!G20</f>
        <v>173.272018</v>
      </c>
      <c r="G32" s="84">
        <f>'AEO22 Table 23 Raw'!H20</f>
        <v>172.64489699999999</v>
      </c>
      <c r="H32" s="84">
        <f>'AEO22 Table 23 Raw'!I20</f>
        <v>171.370575</v>
      </c>
      <c r="I32" s="84">
        <f>'AEO22 Table 23 Raw'!J20</f>
        <v>169.472443</v>
      </c>
      <c r="J32" s="84">
        <f>'AEO22 Table 23 Raw'!K20</f>
        <v>167.815506</v>
      </c>
      <c r="K32" s="84">
        <f>'AEO22 Table 23 Raw'!L20</f>
        <v>166.219055</v>
      </c>
      <c r="L32" s="84">
        <f>'AEO22 Table 23 Raw'!M20</f>
        <v>164.844269</v>
      </c>
      <c r="M32" s="84">
        <f>'AEO22 Table 23 Raw'!N20</f>
        <v>163.43594400000001</v>
      </c>
      <c r="N32" s="84">
        <f>'AEO22 Table 23 Raw'!O20</f>
        <v>161.91227699999999</v>
      </c>
      <c r="O32" s="84">
        <f>'AEO22 Table 23 Raw'!P20</f>
        <v>160.287994</v>
      </c>
      <c r="P32" s="84">
        <f>'AEO22 Table 23 Raw'!Q20</f>
        <v>158.899551</v>
      </c>
      <c r="Q32" s="84">
        <f>'AEO22 Table 23 Raw'!R20</f>
        <v>157.27024800000001</v>
      </c>
      <c r="R32" s="84">
        <f>'AEO22 Table 23 Raw'!S20</f>
        <v>155.54357899999999</v>
      </c>
      <c r="S32" s="84">
        <f>'AEO22 Table 23 Raw'!T20</f>
        <v>154.13870199999999</v>
      </c>
      <c r="T32" s="84">
        <f>'AEO22 Table 23 Raw'!U20</f>
        <v>152.74082899999999</v>
      </c>
      <c r="U32" s="84">
        <f>'AEO22 Table 23 Raw'!V20</f>
        <v>151.28488200000001</v>
      </c>
      <c r="V32" s="84">
        <f>'AEO22 Table 23 Raw'!W20</f>
        <v>149.957718</v>
      </c>
      <c r="W32" s="84">
        <f>'AEO22 Table 23 Raw'!X20</f>
        <v>148.827606</v>
      </c>
      <c r="X32" s="84">
        <f>'AEO22 Table 23 Raw'!Y20</f>
        <v>147.47110000000001</v>
      </c>
      <c r="Y32" s="84">
        <f>'AEO22 Table 23 Raw'!Z20</f>
        <v>146.151703</v>
      </c>
      <c r="Z32" s="84">
        <f>'AEO22 Table 23 Raw'!AA20</f>
        <v>145.10871900000001</v>
      </c>
      <c r="AA32" s="84">
        <f>'AEO22 Table 23 Raw'!AB20</f>
        <v>144.08341999999999</v>
      </c>
      <c r="AB32" s="84">
        <f>'AEO22 Table 23 Raw'!AC20</f>
        <v>142.38600199999999</v>
      </c>
      <c r="AC32" s="84">
        <f>'AEO22 Table 23 Raw'!AD20</f>
        <v>141.10952800000001</v>
      </c>
      <c r="AD32" s="84">
        <f>'AEO22 Table 23 Raw'!AE20</f>
        <v>140.48240699999999</v>
      </c>
      <c r="AE32" s="84">
        <f>'AEO22 Table 23 Raw'!AF20</f>
        <v>139.86592099999999</v>
      </c>
      <c r="AF32" s="84">
        <f>'AEO22 Table 23 Raw'!AG20</f>
        <v>139.51620500000001</v>
      </c>
      <c r="AG32" s="84">
        <f>'AEO22 Table 23 Raw'!AH20</f>
        <v>137.74025</v>
      </c>
      <c r="AH32" s="84">
        <f>'AEO22 Table 23 Raw'!AI20</f>
        <v>137.07678200000001</v>
      </c>
      <c r="AI32" s="87">
        <f>'AEO22 Table 23 Raw'!AJ20</f>
        <v>-8.0000000000000002E-3</v>
      </c>
    </row>
    <row r="33" spans="1:35" x14ac:dyDescent="0.25">
      <c r="A33" s="46" t="s">
        <v>588</v>
      </c>
      <c r="B33" s="46" t="s">
        <v>9</v>
      </c>
      <c r="C33" s="53" t="s">
        <v>589</v>
      </c>
      <c r="D33" s="54">
        <v>62.247050999999999</v>
      </c>
      <c r="E33" s="84">
        <f>'AEO22 Table 23 Raw'!F21</f>
        <v>82.234702999999996</v>
      </c>
      <c r="F33" s="84">
        <f>'AEO22 Table 23 Raw'!G21</f>
        <v>81.187163999999996</v>
      </c>
      <c r="G33" s="84">
        <f>'AEO22 Table 23 Raw'!H21</f>
        <v>79.630684000000002</v>
      </c>
      <c r="H33" s="84">
        <f>'AEO22 Table 23 Raw'!I21</f>
        <v>77.586235000000002</v>
      </c>
      <c r="I33" s="84">
        <f>'AEO22 Table 23 Raw'!J21</f>
        <v>75.565124999999995</v>
      </c>
      <c r="J33" s="84">
        <f>'AEO22 Table 23 Raw'!K21</f>
        <v>73.572090000000003</v>
      </c>
      <c r="K33" s="84">
        <f>'AEO22 Table 23 Raw'!L21</f>
        <v>71.851616000000007</v>
      </c>
      <c r="L33" s="84">
        <f>'AEO22 Table 23 Raw'!M21</f>
        <v>70.612922999999995</v>
      </c>
      <c r="M33" s="84">
        <f>'AEO22 Table 23 Raw'!N21</f>
        <v>69.551024999999996</v>
      </c>
      <c r="N33" s="84">
        <f>'AEO22 Table 23 Raw'!O21</f>
        <v>68.676833999999999</v>
      </c>
      <c r="O33" s="84">
        <f>'AEO22 Table 23 Raw'!P21</f>
        <v>67.632064999999997</v>
      </c>
      <c r="P33" s="84">
        <f>'AEO22 Table 23 Raw'!Q21</f>
        <v>67.008430000000004</v>
      </c>
      <c r="Q33" s="84">
        <f>'AEO22 Table 23 Raw'!R21</f>
        <v>66.476471000000004</v>
      </c>
      <c r="R33" s="84">
        <f>'AEO22 Table 23 Raw'!S21</f>
        <v>65.723656000000005</v>
      </c>
      <c r="S33" s="84">
        <f>'AEO22 Table 23 Raw'!T21</f>
        <v>64.944396999999995</v>
      </c>
      <c r="T33" s="84">
        <f>'AEO22 Table 23 Raw'!U21</f>
        <v>63.884346000000001</v>
      </c>
      <c r="U33" s="84">
        <f>'AEO22 Table 23 Raw'!V21</f>
        <v>62.556235999999998</v>
      </c>
      <c r="V33" s="84">
        <f>'AEO22 Table 23 Raw'!W21</f>
        <v>61.694462000000001</v>
      </c>
      <c r="W33" s="84">
        <f>'AEO22 Table 23 Raw'!X21</f>
        <v>61.072051999999999</v>
      </c>
      <c r="X33" s="84">
        <f>'AEO22 Table 23 Raw'!Y21</f>
        <v>61.092018000000003</v>
      </c>
      <c r="Y33" s="84">
        <f>'AEO22 Table 23 Raw'!Z21</f>
        <v>61.034531000000001</v>
      </c>
      <c r="Z33" s="84">
        <f>'AEO22 Table 23 Raw'!AA21</f>
        <v>60.722279</v>
      </c>
      <c r="AA33" s="84">
        <f>'AEO22 Table 23 Raw'!AB21</f>
        <v>61.370449000000001</v>
      </c>
      <c r="AB33" s="84">
        <f>'AEO22 Table 23 Raw'!AC21</f>
        <v>60.406033000000001</v>
      </c>
      <c r="AC33" s="84">
        <f>'AEO22 Table 23 Raw'!AD21</f>
        <v>59.911456999999999</v>
      </c>
      <c r="AD33" s="84">
        <f>'AEO22 Table 23 Raw'!AE21</f>
        <v>58.687168</v>
      </c>
      <c r="AE33" s="84">
        <f>'AEO22 Table 23 Raw'!AF21</f>
        <v>57.077961000000002</v>
      </c>
      <c r="AF33" s="84">
        <f>'AEO22 Table 23 Raw'!AG21</f>
        <v>55.920696</v>
      </c>
      <c r="AG33" s="84">
        <f>'AEO22 Table 23 Raw'!AH21</f>
        <v>55.103805999999999</v>
      </c>
      <c r="AH33" s="84">
        <f>'AEO22 Table 23 Raw'!AI21</f>
        <v>53.869822999999997</v>
      </c>
      <c r="AI33" s="87">
        <f>'AEO22 Table 23 Raw'!AJ21</f>
        <v>-1.4E-2</v>
      </c>
    </row>
    <row r="34" spans="1:35" x14ac:dyDescent="0.25">
      <c r="A34" s="46" t="s">
        <v>590</v>
      </c>
      <c r="B34" s="46" t="s">
        <v>36</v>
      </c>
      <c r="C34" s="53" t="s">
        <v>591</v>
      </c>
      <c r="D34" s="54">
        <v>801.99792500000001</v>
      </c>
      <c r="E34" s="84">
        <f>'AEO22 Table 23 Raw'!F22</f>
        <v>980.72161900000003</v>
      </c>
      <c r="F34" s="84">
        <f>'AEO22 Table 23 Raw'!G22</f>
        <v>940.86901899999998</v>
      </c>
      <c r="G34" s="84">
        <f>'AEO22 Table 23 Raw'!H22</f>
        <v>930.38812299999995</v>
      </c>
      <c r="H34" s="84">
        <f>'AEO22 Table 23 Raw'!I22</f>
        <v>926.09252900000001</v>
      </c>
      <c r="I34" s="84">
        <f>'AEO22 Table 23 Raw'!J22</f>
        <v>934.00262499999997</v>
      </c>
      <c r="J34" s="84">
        <f>'AEO22 Table 23 Raw'!K22</f>
        <v>943.36395300000004</v>
      </c>
      <c r="K34" s="84">
        <f>'AEO22 Table 23 Raw'!L22</f>
        <v>951.80041500000004</v>
      </c>
      <c r="L34" s="84">
        <f>'AEO22 Table 23 Raw'!M22</f>
        <v>959.39624000000003</v>
      </c>
      <c r="M34" s="84">
        <f>'AEO22 Table 23 Raw'!N22</f>
        <v>964.21441700000003</v>
      </c>
      <c r="N34" s="84">
        <f>'AEO22 Table 23 Raw'!O22</f>
        <v>970.38867200000004</v>
      </c>
      <c r="O34" s="84">
        <f>'AEO22 Table 23 Raw'!P22</f>
        <v>979.801331</v>
      </c>
      <c r="P34" s="84">
        <f>'AEO22 Table 23 Raw'!Q22</f>
        <v>994.37609899999995</v>
      </c>
      <c r="Q34" s="84">
        <f>'AEO22 Table 23 Raw'!R22</f>
        <v>1006.759155</v>
      </c>
      <c r="R34" s="84">
        <f>'AEO22 Table 23 Raw'!S22</f>
        <v>1016.387207</v>
      </c>
      <c r="S34" s="84">
        <f>'AEO22 Table 23 Raw'!T22</f>
        <v>1027.3154300000001</v>
      </c>
      <c r="T34" s="84">
        <f>'AEO22 Table 23 Raw'!U22</f>
        <v>1039.3498540000001</v>
      </c>
      <c r="U34" s="84">
        <f>'AEO22 Table 23 Raw'!V22</f>
        <v>1052.8603519999999</v>
      </c>
      <c r="V34" s="84">
        <f>'AEO22 Table 23 Raw'!W22</f>
        <v>1066.6613769999999</v>
      </c>
      <c r="W34" s="84">
        <f>'AEO22 Table 23 Raw'!X22</f>
        <v>1080.939453</v>
      </c>
      <c r="X34" s="84">
        <f>'AEO22 Table 23 Raw'!Y22</f>
        <v>1093.885376</v>
      </c>
      <c r="Y34" s="84">
        <f>'AEO22 Table 23 Raw'!Z22</f>
        <v>1108.392578</v>
      </c>
      <c r="Z34" s="84">
        <f>'AEO22 Table 23 Raw'!AA22</f>
        <v>1126.6770019999999</v>
      </c>
      <c r="AA34" s="84">
        <f>'AEO22 Table 23 Raw'!AB22</f>
        <v>1146.821533</v>
      </c>
      <c r="AB34" s="84">
        <f>'AEO22 Table 23 Raw'!AC22</f>
        <v>1162.1750489999999</v>
      </c>
      <c r="AC34" s="84">
        <f>'AEO22 Table 23 Raw'!AD22</f>
        <v>1178.5720209999999</v>
      </c>
      <c r="AD34" s="84">
        <f>'AEO22 Table 23 Raw'!AE22</f>
        <v>1203.0020750000001</v>
      </c>
      <c r="AE34" s="84">
        <f>'AEO22 Table 23 Raw'!AF22</f>
        <v>1224.2114260000001</v>
      </c>
      <c r="AF34" s="84">
        <f>'AEO22 Table 23 Raw'!AG22</f>
        <v>1238.2368160000001</v>
      </c>
      <c r="AG34" s="84">
        <f>'AEO22 Table 23 Raw'!AH22</f>
        <v>1257.2177730000001</v>
      </c>
      <c r="AH34" s="84">
        <f>'AEO22 Table 23 Raw'!AI22</f>
        <v>1282.0888669999999</v>
      </c>
      <c r="AI34" s="87">
        <f>'AEO22 Table 23 Raw'!AJ22</f>
        <v>8.9999999999999993E-3</v>
      </c>
    </row>
    <row r="35" spans="1:35" x14ac:dyDescent="0.25">
      <c r="A35" s="46" t="s">
        <v>592</v>
      </c>
      <c r="B35" s="65"/>
      <c r="C35" s="53" t="s">
        <v>593</v>
      </c>
      <c r="D35" s="54">
        <v>425.08126800000002</v>
      </c>
      <c r="E35" s="84">
        <f>'AEO22 Table 23 Raw'!F23</f>
        <v>463.10674999999998</v>
      </c>
      <c r="F35" s="84">
        <f>'AEO22 Table 23 Raw'!G23</f>
        <v>455.298248</v>
      </c>
      <c r="G35" s="84">
        <f>'AEO22 Table 23 Raw'!H23</f>
        <v>451.302032</v>
      </c>
      <c r="H35" s="84">
        <f>'AEO22 Table 23 Raw'!I23</f>
        <v>448.81549100000001</v>
      </c>
      <c r="I35" s="84">
        <f>'AEO22 Table 23 Raw'!J23</f>
        <v>456.10266100000001</v>
      </c>
      <c r="J35" s="84">
        <f>'AEO22 Table 23 Raw'!K23</f>
        <v>463.94164999999998</v>
      </c>
      <c r="K35" s="84">
        <f>'AEO22 Table 23 Raw'!L23</f>
        <v>470.07739299999997</v>
      </c>
      <c r="L35" s="84">
        <f>'AEO22 Table 23 Raw'!M23</f>
        <v>475.59738199999998</v>
      </c>
      <c r="M35" s="84">
        <f>'AEO22 Table 23 Raw'!N23</f>
        <v>478.43301400000001</v>
      </c>
      <c r="N35" s="84">
        <f>'AEO22 Table 23 Raw'!O23</f>
        <v>482.51589999999999</v>
      </c>
      <c r="O35" s="84">
        <f>'AEO22 Table 23 Raw'!P23</f>
        <v>488.89401199999998</v>
      </c>
      <c r="P35" s="84">
        <f>'AEO22 Table 23 Raw'!Q23</f>
        <v>499.06353799999999</v>
      </c>
      <c r="Q35" s="84">
        <f>'AEO22 Table 23 Raw'!R23</f>
        <v>506.06686400000001</v>
      </c>
      <c r="R35" s="84">
        <f>'AEO22 Table 23 Raw'!S23</f>
        <v>510.52136200000001</v>
      </c>
      <c r="S35" s="84">
        <f>'AEO22 Table 23 Raw'!T23</f>
        <v>515.73773200000005</v>
      </c>
      <c r="T35" s="84">
        <f>'AEO22 Table 23 Raw'!U23</f>
        <v>521.22619599999996</v>
      </c>
      <c r="U35" s="84">
        <f>'AEO22 Table 23 Raw'!V23</f>
        <v>527.05810499999995</v>
      </c>
      <c r="V35" s="84">
        <f>'AEO22 Table 23 Raw'!W23</f>
        <v>532.28247099999999</v>
      </c>
      <c r="W35" s="84">
        <f>'AEO22 Table 23 Raw'!X23</f>
        <v>537.46704099999999</v>
      </c>
      <c r="X35" s="84">
        <f>'AEO22 Table 23 Raw'!Y23</f>
        <v>541.01818800000001</v>
      </c>
      <c r="Y35" s="84">
        <f>'AEO22 Table 23 Raw'!Z23</f>
        <v>545.26507600000002</v>
      </c>
      <c r="Z35" s="84">
        <f>'AEO22 Table 23 Raw'!AA23</f>
        <v>550.62841800000001</v>
      </c>
      <c r="AA35" s="84">
        <f>'AEO22 Table 23 Raw'!AB23</f>
        <v>556.98748799999998</v>
      </c>
      <c r="AB35" s="84">
        <f>'AEO22 Table 23 Raw'!AC23</f>
        <v>558.42749000000003</v>
      </c>
      <c r="AC35" s="84">
        <f>'AEO22 Table 23 Raw'!AD23</f>
        <v>560.82269299999996</v>
      </c>
      <c r="AD35" s="84">
        <f>'AEO22 Table 23 Raw'!AE23</f>
        <v>569.84582499999999</v>
      </c>
      <c r="AE35" s="84">
        <f>'AEO22 Table 23 Raw'!AF23</f>
        <v>574.25354000000004</v>
      </c>
      <c r="AF35" s="84">
        <f>'AEO22 Table 23 Raw'!AG23</f>
        <v>571.66546600000004</v>
      </c>
      <c r="AG35" s="84">
        <f>'AEO22 Table 23 Raw'!AH23</f>
        <v>573.69122300000004</v>
      </c>
      <c r="AH35" s="84">
        <f>'AEO22 Table 23 Raw'!AI23</f>
        <v>583.27954099999999</v>
      </c>
      <c r="AI35" s="87">
        <f>'AEO22 Table 23 Raw'!AJ23</f>
        <v>8.0000000000000002E-3</v>
      </c>
    </row>
    <row r="36" spans="1:35" x14ac:dyDescent="0.25">
      <c r="A36" s="46" t="s">
        <v>594</v>
      </c>
      <c r="B36" s="65"/>
      <c r="C36" s="53" t="s">
        <v>595</v>
      </c>
      <c r="D36" s="54">
        <v>41.688209999999998</v>
      </c>
      <c r="E36" s="84">
        <f>'AEO22 Table 23 Raw'!F24</f>
        <v>53.850636000000002</v>
      </c>
      <c r="F36" s="84">
        <f>'AEO22 Table 23 Raw'!G24</f>
        <v>51.550567999999998</v>
      </c>
      <c r="G36" s="84">
        <f>'AEO22 Table 23 Raw'!H24</f>
        <v>49.438751000000003</v>
      </c>
      <c r="H36" s="84">
        <f>'AEO22 Table 23 Raw'!I24</f>
        <v>48.350109000000003</v>
      </c>
      <c r="I36" s="84">
        <f>'AEO22 Table 23 Raw'!J24</f>
        <v>47.734375</v>
      </c>
      <c r="J36" s="84">
        <f>'AEO22 Table 23 Raw'!K24</f>
        <v>47.503692999999998</v>
      </c>
      <c r="K36" s="84">
        <f>'AEO22 Table 23 Raw'!L24</f>
        <v>47.458179000000001</v>
      </c>
      <c r="L36" s="84">
        <f>'AEO22 Table 23 Raw'!M24</f>
        <v>47.777470000000001</v>
      </c>
      <c r="M36" s="84">
        <f>'AEO22 Table 23 Raw'!N24</f>
        <v>47.768639</v>
      </c>
      <c r="N36" s="84">
        <f>'AEO22 Table 23 Raw'!O24</f>
        <v>47.684147000000003</v>
      </c>
      <c r="O36" s="84">
        <f>'AEO22 Table 23 Raw'!P24</f>
        <v>47.559882999999999</v>
      </c>
      <c r="P36" s="84">
        <f>'AEO22 Table 23 Raw'!Q24</f>
        <v>47.722785999999999</v>
      </c>
      <c r="Q36" s="84">
        <f>'AEO22 Table 23 Raw'!R24</f>
        <v>47.588608000000001</v>
      </c>
      <c r="R36" s="84">
        <f>'AEO22 Table 23 Raw'!S24</f>
        <v>47.195621000000003</v>
      </c>
      <c r="S36" s="84">
        <f>'AEO22 Table 23 Raw'!T24</f>
        <v>46.945366</v>
      </c>
      <c r="T36" s="84">
        <f>'AEO22 Table 23 Raw'!U24</f>
        <v>46.787833999999997</v>
      </c>
      <c r="U36" s="84">
        <f>'AEO22 Table 23 Raw'!V24</f>
        <v>46.789524</v>
      </c>
      <c r="V36" s="84">
        <f>'AEO22 Table 23 Raw'!W24</f>
        <v>46.814411</v>
      </c>
      <c r="W36" s="84">
        <f>'AEO22 Table 23 Raw'!X24</f>
        <v>46.820006999999997</v>
      </c>
      <c r="X36" s="84">
        <f>'AEO22 Table 23 Raw'!Y24</f>
        <v>46.556323999999996</v>
      </c>
      <c r="Y36" s="84">
        <f>'AEO22 Table 23 Raw'!Z24</f>
        <v>46.370941000000002</v>
      </c>
      <c r="Z36" s="84">
        <f>'AEO22 Table 23 Raw'!AA24</f>
        <v>46.241123000000002</v>
      </c>
      <c r="AA36" s="84">
        <f>'AEO22 Table 23 Raw'!AB24</f>
        <v>46.037731000000001</v>
      </c>
      <c r="AB36" s="84">
        <f>'AEO22 Table 23 Raw'!AC24</f>
        <v>45.256706000000001</v>
      </c>
      <c r="AC36" s="84">
        <f>'AEO22 Table 23 Raw'!AD24</f>
        <v>44.760390999999998</v>
      </c>
      <c r="AD36" s="84">
        <f>'AEO22 Table 23 Raw'!AE24</f>
        <v>44.776980999999999</v>
      </c>
      <c r="AE36" s="84">
        <f>'AEO22 Table 23 Raw'!AF24</f>
        <v>44.703194000000003</v>
      </c>
      <c r="AF36" s="84">
        <f>'AEO22 Table 23 Raw'!AG24</f>
        <v>43.526035</v>
      </c>
      <c r="AG36" s="84">
        <f>'AEO22 Table 23 Raw'!AH24</f>
        <v>42.594841000000002</v>
      </c>
      <c r="AH36" s="84">
        <f>'AEO22 Table 23 Raw'!AI24</f>
        <v>42.479103000000002</v>
      </c>
      <c r="AI36" s="87">
        <f>'AEO22 Table 23 Raw'!AJ24</f>
        <v>-8.0000000000000002E-3</v>
      </c>
    </row>
    <row r="37" spans="1:35" x14ac:dyDescent="0.25">
      <c r="A37" s="46" t="s">
        <v>596</v>
      </c>
      <c r="B37" s="65"/>
      <c r="C37" s="53" t="s">
        <v>597</v>
      </c>
      <c r="D37" s="54">
        <v>225.51530500000001</v>
      </c>
      <c r="E37" s="84">
        <f>'AEO22 Table 23 Raw'!F25</f>
        <v>234.04574600000001</v>
      </c>
      <c r="F37" s="84">
        <f>'AEO22 Table 23 Raw'!G25</f>
        <v>225.48904400000001</v>
      </c>
      <c r="G37" s="84">
        <f>'AEO22 Table 23 Raw'!H25</f>
        <v>227.23129299999999</v>
      </c>
      <c r="H37" s="84">
        <f>'AEO22 Table 23 Raw'!I25</f>
        <v>229.237595</v>
      </c>
      <c r="I37" s="84">
        <f>'AEO22 Table 23 Raw'!J25</f>
        <v>233.21202099999999</v>
      </c>
      <c r="J37" s="84">
        <f>'AEO22 Table 23 Raw'!K25</f>
        <v>235.84612999999999</v>
      </c>
      <c r="K37" s="84">
        <f>'AEO22 Table 23 Raw'!L25</f>
        <v>238.11674500000001</v>
      </c>
      <c r="L37" s="84">
        <f>'AEO22 Table 23 Raw'!M25</f>
        <v>240.73487900000001</v>
      </c>
      <c r="M37" s="84">
        <f>'AEO22 Table 23 Raw'!N25</f>
        <v>243.95472699999999</v>
      </c>
      <c r="N37" s="84">
        <f>'AEO22 Table 23 Raw'!O25</f>
        <v>247.65332000000001</v>
      </c>
      <c r="O37" s="84">
        <f>'AEO22 Table 23 Raw'!P25</f>
        <v>251.37535099999999</v>
      </c>
      <c r="P37" s="84">
        <f>'AEO22 Table 23 Raw'!Q25</f>
        <v>256.15502900000001</v>
      </c>
      <c r="Q37" s="84">
        <f>'AEO22 Table 23 Raw'!R25</f>
        <v>259.93643200000002</v>
      </c>
      <c r="R37" s="84">
        <f>'AEO22 Table 23 Raw'!S25</f>
        <v>264.31484999999998</v>
      </c>
      <c r="S37" s="84">
        <f>'AEO22 Table 23 Raw'!T25</f>
        <v>268.79714999999999</v>
      </c>
      <c r="T37" s="84">
        <f>'AEO22 Table 23 Raw'!U25</f>
        <v>273.12536599999999</v>
      </c>
      <c r="U37" s="84">
        <f>'AEO22 Table 23 Raw'!V25</f>
        <v>277.17214999999999</v>
      </c>
      <c r="V37" s="84">
        <f>'AEO22 Table 23 Raw'!W25</f>
        <v>280.96246300000001</v>
      </c>
      <c r="W37" s="84">
        <f>'AEO22 Table 23 Raw'!X25</f>
        <v>284.30343599999998</v>
      </c>
      <c r="X37" s="84">
        <f>'AEO22 Table 23 Raw'!Y25</f>
        <v>287.32800300000002</v>
      </c>
      <c r="Y37" s="84">
        <f>'AEO22 Table 23 Raw'!Z25</f>
        <v>291.57226600000001</v>
      </c>
      <c r="Z37" s="84">
        <f>'AEO22 Table 23 Raw'!AA25</f>
        <v>296.066711</v>
      </c>
      <c r="AA37" s="84">
        <f>'AEO22 Table 23 Raw'!AB25</f>
        <v>300.46002199999998</v>
      </c>
      <c r="AB37" s="84">
        <f>'AEO22 Table 23 Raw'!AC25</f>
        <v>301.39941399999998</v>
      </c>
      <c r="AC37" s="84">
        <f>'AEO22 Table 23 Raw'!AD25</f>
        <v>302.66381799999999</v>
      </c>
      <c r="AD37" s="84">
        <f>'AEO22 Table 23 Raw'!AE25</f>
        <v>308.00750699999998</v>
      </c>
      <c r="AE37" s="84">
        <f>'AEO22 Table 23 Raw'!AF25</f>
        <v>310.79541</v>
      </c>
      <c r="AF37" s="84">
        <f>'AEO22 Table 23 Raw'!AG25</f>
        <v>309.99148600000001</v>
      </c>
      <c r="AG37" s="84">
        <f>'AEO22 Table 23 Raw'!AH25</f>
        <v>311.87802099999999</v>
      </c>
      <c r="AH37" s="84">
        <f>'AEO22 Table 23 Raw'!AI25</f>
        <v>317.72769199999999</v>
      </c>
      <c r="AI37" s="87">
        <f>'AEO22 Table 23 Raw'!AJ25</f>
        <v>1.0999999999999999E-2</v>
      </c>
    </row>
    <row r="38" spans="1:35" x14ac:dyDescent="0.25">
      <c r="A38" s="46" t="s">
        <v>598</v>
      </c>
      <c r="B38" s="65"/>
      <c r="C38" s="53" t="s">
        <v>599</v>
      </c>
      <c r="D38" s="54">
        <v>105.996803</v>
      </c>
      <c r="E38" s="84">
        <f>'AEO22 Table 23 Raw'!F26</f>
        <v>130.706772</v>
      </c>
      <c r="F38" s="84">
        <f>'AEO22 Table 23 Raw'!G26</f>
        <v>135.51040599999999</v>
      </c>
      <c r="G38" s="84">
        <f>'AEO22 Table 23 Raw'!H26</f>
        <v>131.558243</v>
      </c>
      <c r="H38" s="84">
        <f>'AEO22 Table 23 Raw'!I26</f>
        <v>128.28755200000001</v>
      </c>
      <c r="I38" s="84">
        <f>'AEO22 Table 23 Raw'!J26</f>
        <v>132.05851699999999</v>
      </c>
      <c r="J38" s="84">
        <f>'AEO22 Table 23 Raw'!K26</f>
        <v>137.179428</v>
      </c>
      <c r="K38" s="84">
        <f>'AEO22 Table 23 Raw'!L26</f>
        <v>140.60777300000001</v>
      </c>
      <c r="L38" s="84">
        <f>'AEO22 Table 23 Raw'!M26</f>
        <v>142.44058200000001</v>
      </c>
      <c r="M38" s="84">
        <f>'AEO22 Table 23 Raw'!N26</f>
        <v>141.51821899999999</v>
      </c>
      <c r="N38" s="84">
        <f>'AEO22 Table 23 Raw'!O26</f>
        <v>141.52049299999999</v>
      </c>
      <c r="O38" s="84">
        <f>'AEO22 Table 23 Raw'!P26</f>
        <v>143.92950400000001</v>
      </c>
      <c r="P38" s="84">
        <f>'AEO22 Table 23 Raw'!Q26</f>
        <v>148.53035</v>
      </c>
      <c r="Q38" s="84">
        <f>'AEO22 Table 23 Raw'!R26</f>
        <v>151.426895</v>
      </c>
      <c r="R38" s="84">
        <f>'AEO22 Table 23 Raw'!S26</f>
        <v>151.70507799999999</v>
      </c>
      <c r="S38" s="84">
        <f>'AEO22 Table 23 Raw'!T26</f>
        <v>152.395996</v>
      </c>
      <c r="T38" s="84">
        <f>'AEO22 Table 23 Raw'!U26</f>
        <v>153.51660200000001</v>
      </c>
      <c r="U38" s="84">
        <f>'AEO22 Table 23 Raw'!V26</f>
        <v>155.09947199999999</v>
      </c>
      <c r="V38" s="84">
        <f>'AEO22 Table 23 Raw'!W26</f>
        <v>156.348129</v>
      </c>
      <c r="W38" s="84">
        <f>'AEO22 Table 23 Raw'!X26</f>
        <v>158.019745</v>
      </c>
      <c r="X38" s="84">
        <f>'AEO22 Table 23 Raw'!Y26</f>
        <v>158.761551</v>
      </c>
      <c r="Y38" s="84">
        <f>'AEO22 Table 23 Raw'!Z26</f>
        <v>158.86943099999999</v>
      </c>
      <c r="Z38" s="84">
        <f>'AEO22 Table 23 Raw'!AA26</f>
        <v>159.733047</v>
      </c>
      <c r="AA38" s="84">
        <f>'AEO22 Table 23 Raw'!AB26</f>
        <v>161.81849700000001</v>
      </c>
      <c r="AB38" s="84">
        <f>'AEO22 Table 23 Raw'!AC26</f>
        <v>163.12077300000001</v>
      </c>
      <c r="AC38" s="84">
        <f>'AEO22 Table 23 Raw'!AD26</f>
        <v>164.795624</v>
      </c>
      <c r="AD38" s="84">
        <f>'AEO22 Table 23 Raw'!AE26</f>
        <v>168.07678200000001</v>
      </c>
      <c r="AE38" s="84">
        <f>'AEO22 Table 23 Raw'!AF26</f>
        <v>169.583405</v>
      </c>
      <c r="AF38" s="84">
        <f>'AEO22 Table 23 Raw'!AG26</f>
        <v>169.122849</v>
      </c>
      <c r="AG38" s="84">
        <f>'AEO22 Table 23 Raw'!AH26</f>
        <v>170.116669</v>
      </c>
      <c r="AH38" s="84">
        <f>'AEO22 Table 23 Raw'!AI26</f>
        <v>173.62245200000001</v>
      </c>
      <c r="AI38" s="87">
        <f>'AEO22 Table 23 Raw'!AJ26</f>
        <v>0.01</v>
      </c>
    </row>
    <row r="39" spans="1:35" x14ac:dyDescent="0.25">
      <c r="A39" s="46" t="s">
        <v>600</v>
      </c>
      <c r="B39" s="65"/>
      <c r="C39" s="53" t="s">
        <v>601</v>
      </c>
      <c r="D39" s="54">
        <v>51.880938999999998</v>
      </c>
      <c r="E39" s="84">
        <f>'AEO22 Table 23 Raw'!F27</f>
        <v>44.503590000000003</v>
      </c>
      <c r="F39" s="84">
        <f>'AEO22 Table 23 Raw'!G27</f>
        <v>42.748218999999999</v>
      </c>
      <c r="G39" s="84">
        <f>'AEO22 Table 23 Raw'!H27</f>
        <v>43.073760999999998</v>
      </c>
      <c r="H39" s="84">
        <f>'AEO22 Table 23 Raw'!I27</f>
        <v>42.940258</v>
      </c>
      <c r="I39" s="84">
        <f>'AEO22 Table 23 Raw'!J27</f>
        <v>43.097712999999999</v>
      </c>
      <c r="J39" s="84">
        <f>'AEO22 Table 23 Raw'!K27</f>
        <v>43.412410999999999</v>
      </c>
      <c r="K39" s="84">
        <f>'AEO22 Table 23 Raw'!L27</f>
        <v>43.894714</v>
      </c>
      <c r="L39" s="84">
        <f>'AEO22 Table 23 Raw'!M27</f>
        <v>44.644444</v>
      </c>
      <c r="M39" s="84">
        <f>'AEO22 Table 23 Raw'!N27</f>
        <v>45.191433000000004</v>
      </c>
      <c r="N39" s="84">
        <f>'AEO22 Table 23 Raw'!O27</f>
        <v>45.657940000000004</v>
      </c>
      <c r="O39" s="84">
        <f>'AEO22 Table 23 Raw'!P27</f>
        <v>46.029277999999998</v>
      </c>
      <c r="P39" s="84">
        <f>'AEO22 Table 23 Raw'!Q27</f>
        <v>46.655380000000001</v>
      </c>
      <c r="Q39" s="84">
        <f>'AEO22 Table 23 Raw'!R27</f>
        <v>47.114947999999998</v>
      </c>
      <c r="R39" s="84">
        <f>'AEO22 Table 23 Raw'!S27</f>
        <v>47.305813000000001</v>
      </c>
      <c r="S39" s="84">
        <f>'AEO22 Table 23 Raw'!T27</f>
        <v>47.59919</v>
      </c>
      <c r="T39" s="84">
        <f>'AEO22 Table 23 Raw'!U27</f>
        <v>47.796402</v>
      </c>
      <c r="U39" s="84">
        <f>'AEO22 Table 23 Raw'!V27</f>
        <v>47.996955999999997</v>
      </c>
      <c r="V39" s="84">
        <f>'AEO22 Table 23 Raw'!W27</f>
        <v>48.157459000000003</v>
      </c>
      <c r="W39" s="84">
        <f>'AEO22 Table 23 Raw'!X27</f>
        <v>48.323878999999998</v>
      </c>
      <c r="X39" s="84">
        <f>'AEO22 Table 23 Raw'!Y27</f>
        <v>48.372287999999998</v>
      </c>
      <c r="Y39" s="84">
        <f>'AEO22 Table 23 Raw'!Z27</f>
        <v>48.452449999999999</v>
      </c>
      <c r="Z39" s="84">
        <f>'AEO22 Table 23 Raw'!AA27</f>
        <v>48.587542999999997</v>
      </c>
      <c r="AA39" s="84">
        <f>'AEO22 Table 23 Raw'!AB27</f>
        <v>48.671253</v>
      </c>
      <c r="AB39" s="84">
        <f>'AEO22 Table 23 Raw'!AC27</f>
        <v>48.650596999999998</v>
      </c>
      <c r="AC39" s="84">
        <f>'AEO22 Table 23 Raw'!AD27</f>
        <v>48.602817999999999</v>
      </c>
      <c r="AD39" s="84">
        <f>'AEO22 Table 23 Raw'!AE27</f>
        <v>48.984561999999997</v>
      </c>
      <c r="AE39" s="84">
        <f>'AEO22 Table 23 Raw'!AF27</f>
        <v>49.171539000000003</v>
      </c>
      <c r="AF39" s="84">
        <f>'AEO22 Table 23 Raw'!AG27</f>
        <v>49.025089000000001</v>
      </c>
      <c r="AG39" s="84">
        <f>'AEO22 Table 23 Raw'!AH27</f>
        <v>49.101685000000003</v>
      </c>
      <c r="AH39" s="84">
        <f>'AEO22 Table 23 Raw'!AI27</f>
        <v>49.450347999999998</v>
      </c>
      <c r="AI39" s="87">
        <f>'AEO22 Table 23 Raw'!AJ27</f>
        <v>4.0000000000000001E-3</v>
      </c>
    </row>
    <row r="40" spans="1:35" x14ac:dyDescent="0.25">
      <c r="A40" s="46" t="s">
        <v>602</v>
      </c>
      <c r="B40" s="65"/>
      <c r="C40" s="53" t="s">
        <v>603</v>
      </c>
      <c r="D40" s="54">
        <v>376.91668700000002</v>
      </c>
      <c r="E40" s="84">
        <f>'AEO22 Table 23 Raw'!F28</f>
        <v>517.614868</v>
      </c>
      <c r="F40" s="84">
        <f>'AEO22 Table 23 Raw'!G28</f>
        <v>485.57076999999998</v>
      </c>
      <c r="G40" s="84">
        <f>'AEO22 Table 23 Raw'!H28</f>
        <v>479.08609000000001</v>
      </c>
      <c r="H40" s="84">
        <f>'AEO22 Table 23 Raw'!I28</f>
        <v>477.27706899999998</v>
      </c>
      <c r="I40" s="84">
        <f>'AEO22 Table 23 Raw'!J28</f>
        <v>477.89996300000001</v>
      </c>
      <c r="J40" s="84">
        <f>'AEO22 Table 23 Raw'!K28</f>
        <v>479.422302</v>
      </c>
      <c r="K40" s="84">
        <f>'AEO22 Table 23 Raw'!L28</f>
        <v>481.72305299999999</v>
      </c>
      <c r="L40" s="84">
        <f>'AEO22 Table 23 Raw'!M28</f>
        <v>483.79888899999997</v>
      </c>
      <c r="M40" s="84">
        <f>'AEO22 Table 23 Raw'!N28</f>
        <v>485.78140300000001</v>
      </c>
      <c r="N40" s="84">
        <f>'AEO22 Table 23 Raw'!O28</f>
        <v>487.87274200000002</v>
      </c>
      <c r="O40" s="84">
        <f>'AEO22 Table 23 Raw'!P28</f>
        <v>490.90731799999998</v>
      </c>
      <c r="P40" s="84">
        <f>'AEO22 Table 23 Raw'!Q28</f>
        <v>495.312592</v>
      </c>
      <c r="Q40" s="84">
        <f>'AEO22 Table 23 Raw'!R28</f>
        <v>500.69232199999999</v>
      </c>
      <c r="R40" s="84">
        <f>'AEO22 Table 23 Raw'!S28</f>
        <v>505.865814</v>
      </c>
      <c r="S40" s="84">
        <f>'AEO22 Table 23 Raw'!T28</f>
        <v>511.57763699999998</v>
      </c>
      <c r="T40" s="84">
        <f>'AEO22 Table 23 Raw'!U28</f>
        <v>518.12371800000005</v>
      </c>
      <c r="U40" s="84">
        <f>'AEO22 Table 23 Raw'!V28</f>
        <v>525.80218500000001</v>
      </c>
      <c r="V40" s="84">
        <f>'AEO22 Table 23 Raw'!W28</f>
        <v>534.37884499999996</v>
      </c>
      <c r="W40" s="84">
        <f>'AEO22 Table 23 Raw'!X28</f>
        <v>543.47247300000004</v>
      </c>
      <c r="X40" s="84">
        <f>'AEO22 Table 23 Raw'!Y28</f>
        <v>552.86718800000006</v>
      </c>
      <c r="Y40" s="84">
        <f>'AEO22 Table 23 Raw'!Z28</f>
        <v>563.12744099999998</v>
      </c>
      <c r="Z40" s="84">
        <f>'AEO22 Table 23 Raw'!AA28</f>
        <v>576.04864499999996</v>
      </c>
      <c r="AA40" s="84">
        <f>'AEO22 Table 23 Raw'!AB28</f>
        <v>589.83410600000002</v>
      </c>
      <c r="AB40" s="84">
        <f>'AEO22 Table 23 Raw'!AC28</f>
        <v>603.74755900000002</v>
      </c>
      <c r="AC40" s="84">
        <f>'AEO22 Table 23 Raw'!AD28</f>
        <v>617.74926800000003</v>
      </c>
      <c r="AD40" s="84">
        <f>'AEO22 Table 23 Raw'!AE28</f>
        <v>633.15625</v>
      </c>
      <c r="AE40" s="84">
        <f>'AEO22 Table 23 Raw'!AF28</f>
        <v>649.95788600000003</v>
      </c>
      <c r="AF40" s="84">
        <f>'AEO22 Table 23 Raw'!AG28</f>
        <v>666.57135000000005</v>
      </c>
      <c r="AG40" s="84">
        <f>'AEO22 Table 23 Raw'!AH28</f>
        <v>683.52648899999997</v>
      </c>
      <c r="AH40" s="84">
        <f>'AEO22 Table 23 Raw'!AI28</f>
        <v>698.80932600000006</v>
      </c>
      <c r="AI40" s="87">
        <f>'AEO22 Table 23 Raw'!AJ28</f>
        <v>0.01</v>
      </c>
    </row>
    <row r="41" spans="1:35" ht="15" customHeight="1" x14ac:dyDescent="0.25">
      <c r="A41" s="46" t="s">
        <v>604</v>
      </c>
      <c r="B41" s="46" t="s">
        <v>10</v>
      </c>
      <c r="C41" s="53" t="s">
        <v>605</v>
      </c>
      <c r="D41" s="54">
        <v>777.24218800000006</v>
      </c>
      <c r="E41" s="84">
        <f>'AEO22 Table 23 Raw'!F29</f>
        <v>789.06366000000003</v>
      </c>
      <c r="F41" s="84">
        <f>'AEO22 Table 23 Raw'!G29</f>
        <v>885.51178000000004</v>
      </c>
      <c r="G41" s="84">
        <f>'AEO22 Table 23 Raw'!H29</f>
        <v>899.496399</v>
      </c>
      <c r="H41" s="84">
        <f>'AEO22 Table 23 Raw'!I29</f>
        <v>897.32391399999995</v>
      </c>
      <c r="I41" s="84">
        <f>'AEO22 Table 23 Raw'!J29</f>
        <v>897.97326699999996</v>
      </c>
      <c r="J41" s="84">
        <f>'AEO22 Table 23 Raw'!K29</f>
        <v>896.10211200000003</v>
      </c>
      <c r="K41" s="84">
        <f>'AEO22 Table 23 Raw'!L29</f>
        <v>892.39953600000001</v>
      </c>
      <c r="L41" s="84">
        <f>'AEO22 Table 23 Raw'!M29</f>
        <v>890.51330600000006</v>
      </c>
      <c r="M41" s="84">
        <f>'AEO22 Table 23 Raw'!N29</f>
        <v>887.01245100000006</v>
      </c>
      <c r="N41" s="84">
        <f>'AEO22 Table 23 Raw'!O29</f>
        <v>884.10363800000005</v>
      </c>
      <c r="O41" s="84">
        <f>'AEO22 Table 23 Raw'!P29</f>
        <v>883.01489300000003</v>
      </c>
      <c r="P41" s="84">
        <f>'AEO22 Table 23 Raw'!Q29</f>
        <v>884.73651099999995</v>
      </c>
      <c r="Q41" s="84">
        <f>'AEO22 Table 23 Raw'!R29</f>
        <v>884.38122599999997</v>
      </c>
      <c r="R41" s="84">
        <f>'AEO22 Table 23 Raw'!S29</f>
        <v>882.094604</v>
      </c>
      <c r="S41" s="84">
        <f>'AEO22 Table 23 Raw'!T29</f>
        <v>879.74871800000005</v>
      </c>
      <c r="T41" s="84">
        <f>'AEO22 Table 23 Raw'!U29</f>
        <v>878.12823500000002</v>
      </c>
      <c r="U41" s="84">
        <f>'AEO22 Table 23 Raw'!V29</f>
        <v>877.94244400000002</v>
      </c>
      <c r="V41" s="84">
        <f>'AEO22 Table 23 Raw'!W29</f>
        <v>877.26892099999998</v>
      </c>
      <c r="W41" s="84">
        <f>'AEO22 Table 23 Raw'!X29</f>
        <v>878.56304899999998</v>
      </c>
      <c r="X41" s="84">
        <f>'AEO22 Table 23 Raw'!Y29</f>
        <v>878.48266599999999</v>
      </c>
      <c r="Y41" s="84">
        <f>'AEO22 Table 23 Raw'!Z29</f>
        <v>879.24432400000001</v>
      </c>
      <c r="Z41" s="84">
        <f>'AEO22 Table 23 Raw'!AA29</f>
        <v>881.43170199999997</v>
      </c>
      <c r="AA41" s="84">
        <f>'AEO22 Table 23 Raw'!AB29</f>
        <v>883.830017</v>
      </c>
      <c r="AB41" s="84">
        <f>'AEO22 Table 23 Raw'!AC29</f>
        <v>884.55798300000004</v>
      </c>
      <c r="AC41" s="84">
        <f>'AEO22 Table 23 Raw'!AD29</f>
        <v>886.77825900000005</v>
      </c>
      <c r="AD41" s="84">
        <f>'AEO22 Table 23 Raw'!AE29</f>
        <v>890.43878199999995</v>
      </c>
      <c r="AE41" s="84">
        <f>'AEO22 Table 23 Raw'!AF29</f>
        <v>892.92889400000001</v>
      </c>
      <c r="AF41" s="84">
        <f>'AEO22 Table 23 Raw'!AG29</f>
        <v>893.51226799999995</v>
      </c>
      <c r="AG41" s="84">
        <f>'AEO22 Table 23 Raw'!AH29</f>
        <v>896.77117899999996</v>
      </c>
      <c r="AH41" s="84">
        <f>'AEO22 Table 23 Raw'!AI29</f>
        <v>904.23968500000001</v>
      </c>
      <c r="AI41" s="87">
        <f>'AEO22 Table 23 Raw'!AJ29</f>
        <v>5.0000000000000001E-3</v>
      </c>
    </row>
    <row r="42" spans="1:35" ht="15" customHeight="1" x14ac:dyDescent="0.25">
      <c r="A42" s="46" t="s">
        <v>606</v>
      </c>
      <c r="B42" s="65"/>
      <c r="C42" s="53" t="s">
        <v>607</v>
      </c>
      <c r="D42" s="54">
        <v>735.55859399999997</v>
      </c>
      <c r="E42" s="84">
        <f>'AEO22 Table 23 Raw'!F30</f>
        <v>746.87048300000004</v>
      </c>
      <c r="F42" s="84">
        <f>'AEO22 Table 23 Raw'!G30</f>
        <v>840.716003</v>
      </c>
      <c r="G42" s="84">
        <f>'AEO22 Table 23 Raw'!H30</f>
        <v>850.76226799999995</v>
      </c>
      <c r="H42" s="84">
        <f>'AEO22 Table 23 Raw'!I30</f>
        <v>846.17730700000004</v>
      </c>
      <c r="I42" s="84">
        <f>'AEO22 Table 23 Raw'!J30</f>
        <v>846.14965800000004</v>
      </c>
      <c r="J42" s="84">
        <f>'AEO22 Table 23 Raw'!K30</f>
        <v>844.26403800000003</v>
      </c>
      <c r="K42" s="84">
        <f>'AEO22 Table 23 Raw'!L30</f>
        <v>840.59942599999999</v>
      </c>
      <c r="L42" s="84">
        <f>'AEO22 Table 23 Raw'!M30</f>
        <v>838.87609899999995</v>
      </c>
      <c r="M42" s="84">
        <f>'AEO22 Table 23 Raw'!N30</f>
        <v>835.64575200000002</v>
      </c>
      <c r="N42" s="84">
        <f>'AEO22 Table 23 Raw'!O30</f>
        <v>832.79443400000002</v>
      </c>
      <c r="O42" s="84">
        <f>'AEO22 Table 23 Raw'!P30</f>
        <v>831.82012899999995</v>
      </c>
      <c r="P42" s="84">
        <f>'AEO22 Table 23 Raw'!Q30</f>
        <v>833.64276099999995</v>
      </c>
      <c r="Q42" s="84">
        <f>'AEO22 Table 23 Raw'!R30</f>
        <v>833.29260299999999</v>
      </c>
      <c r="R42" s="84">
        <f>'AEO22 Table 23 Raw'!S30</f>
        <v>831.01507600000002</v>
      </c>
      <c r="S42" s="84">
        <f>'AEO22 Table 23 Raw'!T30</f>
        <v>828.73272699999995</v>
      </c>
      <c r="T42" s="84">
        <f>'AEO22 Table 23 Raw'!U30</f>
        <v>827.11175500000002</v>
      </c>
      <c r="U42" s="84">
        <f>'AEO22 Table 23 Raw'!V30</f>
        <v>826.83715800000004</v>
      </c>
      <c r="V42" s="84">
        <f>'AEO22 Table 23 Raw'!W30</f>
        <v>826.180115</v>
      </c>
      <c r="W42" s="84">
        <f>'AEO22 Table 23 Raw'!X30</f>
        <v>827.33056599999998</v>
      </c>
      <c r="X42" s="84">
        <f>'AEO22 Table 23 Raw'!Y30</f>
        <v>827.06683299999997</v>
      </c>
      <c r="Y42" s="84">
        <f>'AEO22 Table 23 Raw'!Z30</f>
        <v>827.625854</v>
      </c>
      <c r="Z42" s="84">
        <f>'AEO22 Table 23 Raw'!AA30</f>
        <v>829.53912400000002</v>
      </c>
      <c r="AA42" s="84">
        <f>'AEO22 Table 23 Raw'!AB30</f>
        <v>831.72735599999999</v>
      </c>
      <c r="AB42" s="84">
        <f>'AEO22 Table 23 Raw'!AC30</f>
        <v>832.18102999999996</v>
      </c>
      <c r="AC42" s="84">
        <f>'AEO22 Table 23 Raw'!AD30</f>
        <v>834.06146200000001</v>
      </c>
      <c r="AD42" s="84">
        <f>'AEO22 Table 23 Raw'!AE30</f>
        <v>837.30822799999999</v>
      </c>
      <c r="AE42" s="84">
        <f>'AEO22 Table 23 Raw'!AF30</f>
        <v>839.428223</v>
      </c>
      <c r="AF42" s="84">
        <f>'AEO22 Table 23 Raw'!AG30</f>
        <v>839.74255400000004</v>
      </c>
      <c r="AG42" s="84">
        <f>'AEO22 Table 23 Raw'!AH30</f>
        <v>842.51312299999995</v>
      </c>
      <c r="AH42" s="84">
        <f>'AEO22 Table 23 Raw'!AI30</f>
        <v>849.40979000000004</v>
      </c>
      <c r="AI42" s="87">
        <f>'AEO22 Table 23 Raw'!AJ30</f>
        <v>4.0000000000000001E-3</v>
      </c>
    </row>
    <row r="43" spans="1:35" ht="15" customHeight="1" x14ac:dyDescent="0.25">
      <c r="A43" s="46" t="s">
        <v>608</v>
      </c>
      <c r="B43" s="65"/>
      <c r="C43" s="53" t="s">
        <v>609</v>
      </c>
      <c r="D43" s="54">
        <v>41.683619999999998</v>
      </c>
      <c r="E43" s="84">
        <f>'AEO22 Table 23 Raw'!F31</f>
        <v>42.193161000000003</v>
      </c>
      <c r="F43" s="84">
        <f>'AEO22 Table 23 Raw'!G31</f>
        <v>44.795791999999999</v>
      </c>
      <c r="G43" s="84">
        <f>'AEO22 Table 23 Raw'!H31</f>
        <v>48.734158000000001</v>
      </c>
      <c r="H43" s="84">
        <f>'AEO22 Table 23 Raw'!I31</f>
        <v>51.146605999999998</v>
      </c>
      <c r="I43" s="84">
        <f>'AEO22 Table 23 Raw'!J31</f>
        <v>51.823608</v>
      </c>
      <c r="J43" s="84">
        <f>'AEO22 Table 23 Raw'!K31</f>
        <v>51.838081000000003</v>
      </c>
      <c r="K43" s="84">
        <f>'AEO22 Table 23 Raw'!L31</f>
        <v>51.800133000000002</v>
      </c>
      <c r="L43" s="84">
        <f>'AEO22 Table 23 Raw'!M31</f>
        <v>51.637183999999998</v>
      </c>
      <c r="M43" s="84">
        <f>'AEO22 Table 23 Raw'!N31</f>
        <v>51.366695</v>
      </c>
      <c r="N43" s="84">
        <f>'AEO22 Table 23 Raw'!O31</f>
        <v>51.309204000000001</v>
      </c>
      <c r="O43" s="84">
        <f>'AEO22 Table 23 Raw'!P31</f>
        <v>51.194752000000001</v>
      </c>
      <c r="P43" s="84">
        <f>'AEO22 Table 23 Raw'!Q31</f>
        <v>51.093730999999998</v>
      </c>
      <c r="Q43" s="84">
        <f>'AEO22 Table 23 Raw'!R31</f>
        <v>51.088633999999999</v>
      </c>
      <c r="R43" s="84">
        <f>'AEO22 Table 23 Raw'!S31</f>
        <v>51.079501999999998</v>
      </c>
      <c r="S43" s="84">
        <f>'AEO22 Table 23 Raw'!T31</f>
        <v>51.015999000000001</v>
      </c>
      <c r="T43" s="84">
        <f>'AEO22 Table 23 Raw'!U31</f>
        <v>51.016506</v>
      </c>
      <c r="U43" s="84">
        <f>'AEO22 Table 23 Raw'!V31</f>
        <v>51.105297</v>
      </c>
      <c r="V43" s="84">
        <f>'AEO22 Table 23 Raw'!W31</f>
        <v>51.088779000000002</v>
      </c>
      <c r="W43" s="84">
        <f>'AEO22 Table 23 Raw'!X31</f>
        <v>51.232498</v>
      </c>
      <c r="X43" s="84">
        <f>'AEO22 Table 23 Raw'!Y31</f>
        <v>51.415824999999998</v>
      </c>
      <c r="Y43" s="84">
        <f>'AEO22 Table 23 Raw'!Z31</f>
        <v>51.618454</v>
      </c>
      <c r="Z43" s="84">
        <f>'AEO22 Table 23 Raw'!AA31</f>
        <v>51.892569999999999</v>
      </c>
      <c r="AA43" s="84">
        <f>'AEO22 Table 23 Raw'!AB31</f>
        <v>52.102637999999999</v>
      </c>
      <c r="AB43" s="84">
        <f>'AEO22 Table 23 Raw'!AC31</f>
        <v>52.376975999999999</v>
      </c>
      <c r="AC43" s="84">
        <f>'AEO22 Table 23 Raw'!AD31</f>
        <v>52.716824000000003</v>
      </c>
      <c r="AD43" s="84">
        <f>'AEO22 Table 23 Raw'!AE31</f>
        <v>53.130543000000003</v>
      </c>
      <c r="AE43" s="84">
        <f>'AEO22 Table 23 Raw'!AF31</f>
        <v>53.500678999999998</v>
      </c>
      <c r="AF43" s="84">
        <f>'AEO22 Table 23 Raw'!AG31</f>
        <v>53.769714</v>
      </c>
      <c r="AG43" s="84">
        <f>'AEO22 Table 23 Raw'!AH31</f>
        <v>54.258045000000003</v>
      </c>
      <c r="AH43" s="84">
        <f>'AEO22 Table 23 Raw'!AI31</f>
        <v>54.829875999999999</v>
      </c>
      <c r="AI43" s="87">
        <f>'AEO22 Table 23 Raw'!AJ31</f>
        <v>8.9999999999999993E-3</v>
      </c>
    </row>
    <row r="44" spans="1:35" ht="15" customHeight="1" x14ac:dyDescent="0.25">
      <c r="A44" s="46" t="s">
        <v>610</v>
      </c>
      <c r="B44" s="46" t="s">
        <v>11</v>
      </c>
      <c r="C44" s="53" t="s">
        <v>611</v>
      </c>
      <c r="D44" s="54">
        <v>204.06379699999999</v>
      </c>
      <c r="E44" s="84">
        <f>'AEO22 Table 23 Raw'!F32</f>
        <v>245.455399</v>
      </c>
      <c r="F44" s="84">
        <f>'AEO22 Table 23 Raw'!G32</f>
        <v>241.79295300000001</v>
      </c>
      <c r="G44" s="84">
        <f>'AEO22 Table 23 Raw'!H32</f>
        <v>238.33036799999999</v>
      </c>
      <c r="H44" s="84">
        <f>'AEO22 Table 23 Raw'!I32</f>
        <v>239.35244800000001</v>
      </c>
      <c r="I44" s="84">
        <f>'AEO22 Table 23 Raw'!J32</f>
        <v>241.29742400000001</v>
      </c>
      <c r="J44" s="84">
        <f>'AEO22 Table 23 Raw'!K32</f>
        <v>243.388443</v>
      </c>
      <c r="K44" s="84">
        <f>'AEO22 Table 23 Raw'!L32</f>
        <v>246.60760500000001</v>
      </c>
      <c r="L44" s="84">
        <f>'AEO22 Table 23 Raw'!M32</f>
        <v>251.61869799999999</v>
      </c>
      <c r="M44" s="84">
        <f>'AEO22 Table 23 Raw'!N32</f>
        <v>255.540268</v>
      </c>
      <c r="N44" s="84">
        <f>'AEO22 Table 23 Raw'!O32</f>
        <v>259.35934400000002</v>
      </c>
      <c r="O44" s="84">
        <f>'AEO22 Table 23 Raw'!P32</f>
        <v>262.99316399999998</v>
      </c>
      <c r="P44" s="84">
        <f>'AEO22 Table 23 Raw'!Q32</f>
        <v>267.15747099999999</v>
      </c>
      <c r="Q44" s="84">
        <f>'AEO22 Table 23 Raw'!R32</f>
        <v>270.874664</v>
      </c>
      <c r="R44" s="84">
        <f>'AEO22 Table 23 Raw'!S32</f>
        <v>273.07781999999997</v>
      </c>
      <c r="S44" s="84">
        <f>'AEO22 Table 23 Raw'!T32</f>
        <v>276.69216899999998</v>
      </c>
      <c r="T44" s="84">
        <f>'AEO22 Table 23 Raw'!U32</f>
        <v>280.75842299999999</v>
      </c>
      <c r="U44" s="84">
        <f>'AEO22 Table 23 Raw'!V32</f>
        <v>285.36068699999998</v>
      </c>
      <c r="V44" s="84">
        <f>'AEO22 Table 23 Raw'!W32</f>
        <v>289.78723100000002</v>
      </c>
      <c r="W44" s="84">
        <f>'AEO22 Table 23 Raw'!X32</f>
        <v>294.53463699999998</v>
      </c>
      <c r="X44" s="84">
        <f>'AEO22 Table 23 Raw'!Y32</f>
        <v>299.19793700000002</v>
      </c>
      <c r="Y44" s="84">
        <f>'AEO22 Table 23 Raw'!Z32</f>
        <v>303.74288899999999</v>
      </c>
      <c r="Z44" s="84">
        <f>'AEO22 Table 23 Raw'!AA32</f>
        <v>308.89785799999999</v>
      </c>
      <c r="AA44" s="84">
        <f>'AEO22 Table 23 Raw'!AB32</f>
        <v>315.15469400000001</v>
      </c>
      <c r="AB44" s="84">
        <f>'AEO22 Table 23 Raw'!AC32</f>
        <v>320.66641199999998</v>
      </c>
      <c r="AC44" s="84">
        <f>'AEO22 Table 23 Raw'!AD32</f>
        <v>326.10000600000001</v>
      </c>
      <c r="AD44" s="84">
        <f>'AEO22 Table 23 Raw'!AE32</f>
        <v>333.033905</v>
      </c>
      <c r="AE44" s="84">
        <f>'AEO22 Table 23 Raw'!AF32</f>
        <v>339.61480699999998</v>
      </c>
      <c r="AF44" s="84">
        <f>'AEO22 Table 23 Raw'!AG32</f>
        <v>345.44082600000002</v>
      </c>
      <c r="AG44" s="84">
        <f>'AEO22 Table 23 Raw'!AH32</f>
        <v>351.48700000000002</v>
      </c>
      <c r="AH44" s="84">
        <f>'AEO22 Table 23 Raw'!AI32</f>
        <v>359.67404199999999</v>
      </c>
      <c r="AI44" s="87">
        <f>'AEO22 Table 23 Raw'!AJ32</f>
        <v>1.2999999999999999E-2</v>
      </c>
    </row>
    <row r="45" spans="1:35" ht="15" customHeight="1" x14ac:dyDescent="0.25">
      <c r="A45" s="46" t="s">
        <v>612</v>
      </c>
      <c r="B45" s="65"/>
      <c r="C45" s="53" t="s">
        <v>613</v>
      </c>
      <c r="D45" s="54">
        <v>109.909462</v>
      </c>
      <c r="E45" s="84">
        <f>'AEO22 Table 23 Raw'!F33</f>
        <v>113.227737</v>
      </c>
      <c r="F45" s="84">
        <f>'AEO22 Table 23 Raw'!G33</f>
        <v>109.109207</v>
      </c>
      <c r="G45" s="84">
        <f>'AEO22 Table 23 Raw'!H33</f>
        <v>106.69244399999999</v>
      </c>
      <c r="H45" s="84">
        <f>'AEO22 Table 23 Raw'!I33</f>
        <v>107.43405199999999</v>
      </c>
      <c r="I45" s="84">
        <f>'AEO22 Table 23 Raw'!J33</f>
        <v>108.528435</v>
      </c>
      <c r="J45" s="84">
        <f>'AEO22 Table 23 Raw'!K33</f>
        <v>109.185585</v>
      </c>
      <c r="K45" s="84">
        <f>'AEO22 Table 23 Raw'!L33</f>
        <v>109.47917200000001</v>
      </c>
      <c r="L45" s="84">
        <f>'AEO22 Table 23 Raw'!M33</f>
        <v>109.89218099999999</v>
      </c>
      <c r="M45" s="84">
        <f>'AEO22 Table 23 Raw'!N33</f>
        <v>110.357849</v>
      </c>
      <c r="N45" s="84">
        <f>'AEO22 Table 23 Raw'!O33</f>
        <v>111.353172</v>
      </c>
      <c r="O45" s="84">
        <f>'AEO22 Table 23 Raw'!P33</f>
        <v>112.262619</v>
      </c>
      <c r="P45" s="84">
        <f>'AEO22 Table 23 Raw'!Q33</f>
        <v>113.35408</v>
      </c>
      <c r="Q45" s="84">
        <f>'AEO22 Table 23 Raw'!R33</f>
        <v>114.380325</v>
      </c>
      <c r="R45" s="84">
        <f>'AEO22 Table 23 Raw'!S33</f>
        <v>114.70244599999999</v>
      </c>
      <c r="S45" s="84">
        <f>'AEO22 Table 23 Raw'!T33</f>
        <v>115.583923</v>
      </c>
      <c r="T45" s="84">
        <f>'AEO22 Table 23 Raw'!U33</f>
        <v>116.32440200000001</v>
      </c>
      <c r="U45" s="84">
        <f>'AEO22 Table 23 Raw'!V33</f>
        <v>117.12651099999999</v>
      </c>
      <c r="V45" s="84">
        <f>'AEO22 Table 23 Raw'!W33</f>
        <v>117.76142900000001</v>
      </c>
      <c r="W45" s="84">
        <f>'AEO22 Table 23 Raw'!X33</f>
        <v>118.41100299999999</v>
      </c>
      <c r="X45" s="84">
        <f>'AEO22 Table 23 Raw'!Y33</f>
        <v>119.154732</v>
      </c>
      <c r="Y45" s="84">
        <f>'AEO22 Table 23 Raw'!Z33</f>
        <v>120.05632799999999</v>
      </c>
      <c r="Z45" s="84">
        <f>'AEO22 Table 23 Raw'!AA33</f>
        <v>120.667603</v>
      </c>
      <c r="AA45" s="84">
        <f>'AEO22 Table 23 Raw'!AB33</f>
        <v>120.67707799999999</v>
      </c>
      <c r="AB45" s="84">
        <f>'AEO22 Table 23 Raw'!AC33</f>
        <v>121.01808200000001</v>
      </c>
      <c r="AC45" s="84">
        <f>'AEO22 Table 23 Raw'!AD33</f>
        <v>121.55239899999999</v>
      </c>
      <c r="AD45" s="84">
        <f>'AEO22 Table 23 Raw'!AE33</f>
        <v>122.32905599999999</v>
      </c>
      <c r="AE45" s="84">
        <f>'AEO22 Table 23 Raw'!AF33</f>
        <v>123.009445</v>
      </c>
      <c r="AF45" s="84">
        <f>'AEO22 Table 23 Raw'!AG33</f>
        <v>122.92292</v>
      </c>
      <c r="AG45" s="84">
        <f>'AEO22 Table 23 Raw'!AH33</f>
        <v>122.631821</v>
      </c>
      <c r="AH45" s="84">
        <f>'AEO22 Table 23 Raw'!AI33</f>
        <v>122.747513</v>
      </c>
      <c r="AI45" s="87">
        <f>'AEO22 Table 23 Raw'!AJ33</f>
        <v>3.0000000000000001E-3</v>
      </c>
    </row>
    <row r="46" spans="1:35" ht="15" customHeight="1" x14ac:dyDescent="0.25">
      <c r="A46" s="46" t="s">
        <v>614</v>
      </c>
      <c r="B46" s="46" t="s">
        <v>42</v>
      </c>
      <c r="C46" s="53" t="s">
        <v>615</v>
      </c>
      <c r="D46" s="54">
        <v>21.003039999999999</v>
      </c>
      <c r="E46" s="84">
        <f>'AEO22 Table 23 Raw'!F34</f>
        <v>23.465088000000002</v>
      </c>
      <c r="F46" s="84">
        <f>'AEO22 Table 23 Raw'!G34</f>
        <v>21.783059999999999</v>
      </c>
      <c r="G46" s="84">
        <f>'AEO22 Table 23 Raw'!H34</f>
        <v>21.384214</v>
      </c>
      <c r="H46" s="84">
        <f>'AEO22 Table 23 Raw'!I34</f>
        <v>20.878117</v>
      </c>
      <c r="I46" s="84">
        <f>'AEO22 Table 23 Raw'!J34</f>
        <v>20.782543</v>
      </c>
      <c r="J46" s="84">
        <f>'AEO22 Table 23 Raw'!K34</f>
        <v>20.692644000000001</v>
      </c>
      <c r="K46" s="84">
        <f>'AEO22 Table 23 Raw'!L34</f>
        <v>20.512906999999998</v>
      </c>
      <c r="L46" s="84">
        <f>'AEO22 Table 23 Raw'!M34</f>
        <v>20.323284000000001</v>
      </c>
      <c r="M46" s="84">
        <f>'AEO22 Table 23 Raw'!N34</f>
        <v>20.166574000000001</v>
      </c>
      <c r="N46" s="84">
        <f>'AEO22 Table 23 Raw'!O34</f>
        <v>20.228386</v>
      </c>
      <c r="O46" s="84">
        <f>'AEO22 Table 23 Raw'!P34</f>
        <v>20.307383000000002</v>
      </c>
      <c r="P46" s="84">
        <f>'AEO22 Table 23 Raw'!Q34</f>
        <v>20.425203</v>
      </c>
      <c r="Q46" s="84">
        <f>'AEO22 Table 23 Raw'!R34</f>
        <v>20.499140000000001</v>
      </c>
      <c r="R46" s="84">
        <f>'AEO22 Table 23 Raw'!S34</f>
        <v>20.438977999999999</v>
      </c>
      <c r="S46" s="84">
        <f>'AEO22 Table 23 Raw'!T34</f>
        <v>20.404790999999999</v>
      </c>
      <c r="T46" s="84">
        <f>'AEO22 Table 23 Raw'!U34</f>
        <v>20.316797000000001</v>
      </c>
      <c r="U46" s="84">
        <f>'AEO22 Table 23 Raw'!V34</f>
        <v>20.171747</v>
      </c>
      <c r="V46" s="84">
        <f>'AEO22 Table 23 Raw'!W34</f>
        <v>20.004017000000001</v>
      </c>
      <c r="W46" s="84">
        <f>'AEO22 Table 23 Raw'!X34</f>
        <v>19.919577</v>
      </c>
      <c r="X46" s="84">
        <f>'AEO22 Table 23 Raw'!Y34</f>
        <v>19.699514000000001</v>
      </c>
      <c r="Y46" s="84">
        <f>'AEO22 Table 23 Raw'!Z34</f>
        <v>19.535419000000001</v>
      </c>
      <c r="Z46" s="84">
        <f>'AEO22 Table 23 Raw'!AA34</f>
        <v>19.386906</v>
      </c>
      <c r="AA46" s="84">
        <f>'AEO22 Table 23 Raw'!AB34</f>
        <v>19.263349999999999</v>
      </c>
      <c r="AB46" s="84">
        <f>'AEO22 Table 23 Raw'!AC34</f>
        <v>19.142690999999999</v>
      </c>
      <c r="AC46" s="84">
        <f>'AEO22 Table 23 Raw'!AD34</f>
        <v>18.977442</v>
      </c>
      <c r="AD46" s="84">
        <f>'AEO22 Table 23 Raw'!AE34</f>
        <v>18.848768</v>
      </c>
      <c r="AE46" s="84">
        <f>'AEO22 Table 23 Raw'!AF34</f>
        <v>18.691172000000002</v>
      </c>
      <c r="AF46" s="84">
        <f>'AEO22 Table 23 Raw'!AG34</f>
        <v>18.550405999999999</v>
      </c>
      <c r="AG46" s="84">
        <f>'AEO22 Table 23 Raw'!AH34</f>
        <v>18.279713000000001</v>
      </c>
      <c r="AH46" s="84">
        <f>'AEO22 Table 23 Raw'!AI34</f>
        <v>18.123037</v>
      </c>
      <c r="AI46" s="87">
        <f>'AEO22 Table 23 Raw'!AJ34</f>
        <v>-8.9999999999999993E-3</v>
      </c>
    </row>
    <row r="47" spans="1:35" ht="15" customHeight="1" x14ac:dyDescent="0.25">
      <c r="A47" s="46" t="s">
        <v>616</v>
      </c>
      <c r="B47" s="46" t="s">
        <v>43</v>
      </c>
      <c r="C47" s="53" t="s">
        <v>617</v>
      </c>
      <c r="D47" s="54">
        <v>14.143185000000001</v>
      </c>
      <c r="E47" s="84">
        <f>'AEO22 Table 23 Raw'!F35</f>
        <v>13.972248</v>
      </c>
      <c r="F47" s="84">
        <f>'AEO22 Table 23 Raw'!G35</f>
        <v>14.708410000000001</v>
      </c>
      <c r="G47" s="84">
        <f>'AEO22 Table 23 Raw'!H35</f>
        <v>14.789883</v>
      </c>
      <c r="H47" s="84">
        <f>'AEO22 Table 23 Raw'!I35</f>
        <v>15.090622</v>
      </c>
      <c r="I47" s="84">
        <f>'AEO22 Table 23 Raw'!J35</f>
        <v>15.311078999999999</v>
      </c>
      <c r="J47" s="84">
        <f>'AEO22 Table 23 Raw'!K35</f>
        <v>15.412535</v>
      </c>
      <c r="K47" s="84">
        <f>'AEO22 Table 23 Raw'!L35</f>
        <v>15.460963</v>
      </c>
      <c r="L47" s="84">
        <f>'AEO22 Table 23 Raw'!M35</f>
        <v>15.52693</v>
      </c>
      <c r="M47" s="84">
        <f>'AEO22 Table 23 Raw'!N35</f>
        <v>15.640758999999999</v>
      </c>
      <c r="N47" s="84">
        <f>'AEO22 Table 23 Raw'!O35</f>
        <v>15.860227999999999</v>
      </c>
      <c r="O47" s="84">
        <f>'AEO22 Table 23 Raw'!P35</f>
        <v>16.10014</v>
      </c>
      <c r="P47" s="84">
        <f>'AEO22 Table 23 Raw'!Q35</f>
        <v>16.290489000000001</v>
      </c>
      <c r="Q47" s="84">
        <f>'AEO22 Table 23 Raw'!R35</f>
        <v>16.472929000000001</v>
      </c>
      <c r="R47" s="84">
        <f>'AEO22 Table 23 Raw'!S35</f>
        <v>16.664034000000001</v>
      </c>
      <c r="S47" s="84">
        <f>'AEO22 Table 23 Raw'!T35</f>
        <v>16.890529999999998</v>
      </c>
      <c r="T47" s="84">
        <f>'AEO22 Table 23 Raw'!U35</f>
        <v>17.055897000000002</v>
      </c>
      <c r="U47" s="84">
        <f>'AEO22 Table 23 Raw'!V35</f>
        <v>17.196073999999999</v>
      </c>
      <c r="V47" s="84">
        <f>'AEO22 Table 23 Raw'!W35</f>
        <v>17.328506000000001</v>
      </c>
      <c r="W47" s="84">
        <f>'AEO22 Table 23 Raw'!X35</f>
        <v>17.456821000000001</v>
      </c>
      <c r="X47" s="84">
        <f>'AEO22 Table 23 Raw'!Y35</f>
        <v>17.659683000000001</v>
      </c>
      <c r="Y47" s="84">
        <f>'AEO22 Table 23 Raw'!Z35</f>
        <v>17.887958999999999</v>
      </c>
      <c r="Z47" s="84">
        <f>'AEO22 Table 23 Raw'!AA35</f>
        <v>18.065276999999998</v>
      </c>
      <c r="AA47" s="84">
        <f>'AEO22 Table 23 Raw'!AB35</f>
        <v>18.146941999999999</v>
      </c>
      <c r="AB47" s="84">
        <f>'AEO22 Table 23 Raw'!AC35</f>
        <v>18.263258</v>
      </c>
      <c r="AC47" s="84">
        <f>'AEO22 Table 23 Raw'!AD35</f>
        <v>18.386185000000001</v>
      </c>
      <c r="AD47" s="84">
        <f>'AEO22 Table 23 Raw'!AE35</f>
        <v>18.506488999999998</v>
      </c>
      <c r="AE47" s="84">
        <f>'AEO22 Table 23 Raw'!AF35</f>
        <v>18.638000000000002</v>
      </c>
      <c r="AF47" s="84">
        <f>'AEO22 Table 23 Raw'!AG35</f>
        <v>18.651053999999998</v>
      </c>
      <c r="AG47" s="84">
        <f>'AEO22 Table 23 Raw'!AH35</f>
        <v>18.658252999999998</v>
      </c>
      <c r="AH47" s="84">
        <f>'AEO22 Table 23 Raw'!AI35</f>
        <v>18.717762</v>
      </c>
      <c r="AI47" s="87">
        <f>'AEO22 Table 23 Raw'!AJ35</f>
        <v>0.01</v>
      </c>
    </row>
    <row r="48" spans="1:35" ht="15" customHeight="1" x14ac:dyDescent="0.25">
      <c r="A48" s="46" t="s">
        <v>618</v>
      </c>
      <c r="B48" s="46" t="s">
        <v>43</v>
      </c>
      <c r="C48" s="53" t="s">
        <v>619</v>
      </c>
      <c r="D48" s="54">
        <v>74.763237000000004</v>
      </c>
      <c r="E48" s="84">
        <f>'AEO22 Table 23 Raw'!F36</f>
        <v>75.790397999999996</v>
      </c>
      <c r="F48" s="84">
        <f>'AEO22 Table 23 Raw'!G36</f>
        <v>72.617737000000005</v>
      </c>
      <c r="G48" s="84">
        <f>'AEO22 Table 23 Raw'!H36</f>
        <v>70.518349000000001</v>
      </c>
      <c r="H48" s="84">
        <f>'AEO22 Table 23 Raw'!I36</f>
        <v>71.465309000000005</v>
      </c>
      <c r="I48" s="84">
        <f>'AEO22 Table 23 Raw'!J36</f>
        <v>72.434814000000003</v>
      </c>
      <c r="J48" s="84">
        <f>'AEO22 Table 23 Raw'!K36</f>
        <v>73.080405999999996</v>
      </c>
      <c r="K48" s="84">
        <f>'AEO22 Table 23 Raw'!L36</f>
        <v>73.505302</v>
      </c>
      <c r="L48" s="84">
        <f>'AEO22 Table 23 Raw'!M36</f>
        <v>74.041968999999995</v>
      </c>
      <c r="M48" s="84">
        <f>'AEO22 Table 23 Raw'!N36</f>
        <v>74.550514000000007</v>
      </c>
      <c r="N48" s="84">
        <f>'AEO22 Table 23 Raw'!O36</f>
        <v>75.264556999999996</v>
      </c>
      <c r="O48" s="84">
        <f>'AEO22 Table 23 Raw'!P36</f>
        <v>75.855095000000006</v>
      </c>
      <c r="P48" s="84">
        <f>'AEO22 Table 23 Raw'!Q36</f>
        <v>76.638390000000001</v>
      </c>
      <c r="Q48" s="84">
        <f>'AEO22 Table 23 Raw'!R36</f>
        <v>77.408257000000006</v>
      </c>
      <c r="R48" s="84">
        <f>'AEO22 Table 23 Raw'!S36</f>
        <v>77.599434000000002</v>
      </c>
      <c r="S48" s="84">
        <f>'AEO22 Table 23 Raw'!T36</f>
        <v>78.288596999999996</v>
      </c>
      <c r="T48" s="84">
        <f>'AEO22 Table 23 Raw'!U36</f>
        <v>78.951706000000001</v>
      </c>
      <c r="U48" s="84">
        <f>'AEO22 Table 23 Raw'!V36</f>
        <v>79.758690000000001</v>
      </c>
      <c r="V48" s="84">
        <f>'AEO22 Table 23 Raw'!W36</f>
        <v>80.428901999999994</v>
      </c>
      <c r="W48" s="84">
        <f>'AEO22 Table 23 Raw'!X36</f>
        <v>81.034606999999994</v>
      </c>
      <c r="X48" s="84">
        <f>'AEO22 Table 23 Raw'!Y36</f>
        <v>81.795531999999994</v>
      </c>
      <c r="Y48" s="84">
        <f>'AEO22 Table 23 Raw'!Z36</f>
        <v>82.632949999999994</v>
      </c>
      <c r="Z48" s="84">
        <f>'AEO22 Table 23 Raw'!AA36</f>
        <v>83.215416000000005</v>
      </c>
      <c r="AA48" s="84">
        <f>'AEO22 Table 23 Raw'!AB36</f>
        <v>83.266784999999999</v>
      </c>
      <c r="AB48" s="84">
        <f>'AEO22 Table 23 Raw'!AC36</f>
        <v>83.612137000000004</v>
      </c>
      <c r="AC48" s="84">
        <f>'AEO22 Table 23 Raw'!AD36</f>
        <v>84.188766000000001</v>
      </c>
      <c r="AD48" s="84">
        <f>'AEO22 Table 23 Raw'!AE36</f>
        <v>84.973800999999995</v>
      </c>
      <c r="AE48" s="84">
        <f>'AEO22 Table 23 Raw'!AF36</f>
        <v>85.680267000000001</v>
      </c>
      <c r="AF48" s="84">
        <f>'AEO22 Table 23 Raw'!AG36</f>
        <v>85.721457999999998</v>
      </c>
      <c r="AG48" s="84">
        <f>'AEO22 Table 23 Raw'!AH36</f>
        <v>85.693854999999999</v>
      </c>
      <c r="AH48" s="84">
        <f>'AEO22 Table 23 Raw'!AI36</f>
        <v>85.906715000000005</v>
      </c>
      <c r="AI48" s="87">
        <f>'AEO22 Table 23 Raw'!AJ36</f>
        <v>4.0000000000000001E-3</v>
      </c>
    </row>
    <row r="49" spans="1:35" ht="15" customHeight="1" x14ac:dyDescent="0.25">
      <c r="A49" s="46" t="s">
        <v>620</v>
      </c>
      <c r="B49" s="65"/>
      <c r="C49" s="53" t="s">
        <v>621</v>
      </c>
      <c r="D49" s="54">
        <v>221.20732100000001</v>
      </c>
      <c r="E49" s="84">
        <f>'AEO22 Table 23 Raw'!F37</f>
        <v>240.150848</v>
      </c>
      <c r="F49" s="84">
        <f>'AEO22 Table 23 Raw'!G37</f>
        <v>248.902557</v>
      </c>
      <c r="G49" s="84">
        <f>'AEO22 Table 23 Raw'!H37</f>
        <v>250.07702599999999</v>
      </c>
      <c r="H49" s="84">
        <f>'AEO22 Table 23 Raw'!I37</f>
        <v>249.029785</v>
      </c>
      <c r="I49" s="84">
        <f>'AEO22 Table 23 Raw'!J37</f>
        <v>250.30413799999999</v>
      </c>
      <c r="J49" s="84">
        <f>'AEO22 Table 23 Raw'!K37</f>
        <v>250.60803200000001</v>
      </c>
      <c r="K49" s="84">
        <f>'AEO22 Table 23 Raw'!L37</f>
        <v>250.12616</v>
      </c>
      <c r="L49" s="84">
        <f>'AEO22 Table 23 Raw'!M37</f>
        <v>250.007172</v>
      </c>
      <c r="M49" s="84">
        <f>'AEO22 Table 23 Raw'!N37</f>
        <v>249.85891699999999</v>
      </c>
      <c r="N49" s="84">
        <f>'AEO22 Table 23 Raw'!O37</f>
        <v>249.90986599999999</v>
      </c>
      <c r="O49" s="84">
        <f>'AEO22 Table 23 Raw'!P37</f>
        <v>249.19882200000001</v>
      </c>
      <c r="P49" s="84">
        <f>'AEO22 Table 23 Raw'!Q37</f>
        <v>249.037476</v>
      </c>
      <c r="Q49" s="84">
        <f>'AEO22 Table 23 Raw'!R37</f>
        <v>248.40512100000001</v>
      </c>
      <c r="R49" s="84">
        <f>'AEO22 Table 23 Raw'!S37</f>
        <v>247.97602800000001</v>
      </c>
      <c r="S49" s="84">
        <f>'AEO22 Table 23 Raw'!T37</f>
        <v>248.227203</v>
      </c>
      <c r="T49" s="84">
        <f>'AEO22 Table 23 Raw'!U37</f>
        <v>248.2901</v>
      </c>
      <c r="U49" s="84">
        <f>'AEO22 Table 23 Raw'!V37</f>
        <v>248.27737400000001</v>
      </c>
      <c r="V49" s="84">
        <f>'AEO22 Table 23 Raw'!W37</f>
        <v>248.48130800000001</v>
      </c>
      <c r="W49" s="84">
        <f>'AEO22 Table 23 Raw'!X37</f>
        <v>248.10502600000001</v>
      </c>
      <c r="X49" s="84">
        <f>'AEO22 Table 23 Raw'!Y37</f>
        <v>247.71679700000001</v>
      </c>
      <c r="Y49" s="84">
        <f>'AEO22 Table 23 Raw'!Z37</f>
        <v>248.85090600000001</v>
      </c>
      <c r="Z49" s="84">
        <f>'AEO22 Table 23 Raw'!AA37</f>
        <v>250.90130600000001</v>
      </c>
      <c r="AA49" s="84">
        <f>'AEO22 Table 23 Raw'!AB37</f>
        <v>253.09219400000001</v>
      </c>
      <c r="AB49" s="84">
        <f>'AEO22 Table 23 Raw'!AC37</f>
        <v>253.60751300000001</v>
      </c>
      <c r="AC49" s="84">
        <f>'AEO22 Table 23 Raw'!AD37</f>
        <v>254.59634399999999</v>
      </c>
      <c r="AD49" s="84">
        <f>'AEO22 Table 23 Raw'!AE37</f>
        <v>257.39395100000002</v>
      </c>
      <c r="AE49" s="84">
        <f>'AEO22 Table 23 Raw'!AF37</f>
        <v>259.41772500000002</v>
      </c>
      <c r="AF49" s="84">
        <f>'AEO22 Table 23 Raw'!AG37</f>
        <v>258.65225199999998</v>
      </c>
      <c r="AG49" s="84">
        <f>'AEO22 Table 23 Raw'!AH37</f>
        <v>258.38314800000001</v>
      </c>
      <c r="AH49" s="84">
        <f>'AEO22 Table 23 Raw'!AI37</f>
        <v>260.98474099999999</v>
      </c>
      <c r="AI49" s="87">
        <f>'AEO22 Table 23 Raw'!AJ37</f>
        <v>3.0000000000000001E-3</v>
      </c>
    </row>
    <row r="50" spans="1:35" ht="15" customHeight="1" x14ac:dyDescent="0.25">
      <c r="A50" s="46" t="s">
        <v>622</v>
      </c>
      <c r="B50" s="46" t="s">
        <v>44</v>
      </c>
      <c r="C50" s="53" t="s">
        <v>623</v>
      </c>
      <c r="D50" s="54">
        <v>108.43890399999999</v>
      </c>
      <c r="E50" s="84">
        <f>'AEO22 Table 23 Raw'!F38</f>
        <v>125.35865</v>
      </c>
      <c r="F50" s="84">
        <f>'AEO22 Table 23 Raw'!G38</f>
        <v>127.91269699999999</v>
      </c>
      <c r="G50" s="84">
        <f>'AEO22 Table 23 Raw'!H38</f>
        <v>128.28152499999999</v>
      </c>
      <c r="H50" s="84">
        <f>'AEO22 Table 23 Raw'!I38</f>
        <v>127.148476</v>
      </c>
      <c r="I50" s="84">
        <f>'AEO22 Table 23 Raw'!J38</f>
        <v>128.209946</v>
      </c>
      <c r="J50" s="84">
        <f>'AEO22 Table 23 Raw'!K38</f>
        <v>127.609177</v>
      </c>
      <c r="K50" s="84">
        <f>'AEO22 Table 23 Raw'!L38</f>
        <v>126.071602</v>
      </c>
      <c r="L50" s="84">
        <f>'AEO22 Table 23 Raw'!M38</f>
        <v>124.352448</v>
      </c>
      <c r="M50" s="84">
        <f>'AEO22 Table 23 Raw'!N38</f>
        <v>123.029678</v>
      </c>
      <c r="N50" s="84">
        <f>'AEO22 Table 23 Raw'!O38</f>
        <v>122.10034899999999</v>
      </c>
      <c r="O50" s="84">
        <f>'AEO22 Table 23 Raw'!P38</f>
        <v>120.695824</v>
      </c>
      <c r="P50" s="84">
        <f>'AEO22 Table 23 Raw'!Q38</f>
        <v>119.79025300000001</v>
      </c>
      <c r="Q50" s="84">
        <f>'AEO22 Table 23 Raw'!R38</f>
        <v>118.342522</v>
      </c>
      <c r="R50" s="84">
        <f>'AEO22 Table 23 Raw'!S38</f>
        <v>117.34465</v>
      </c>
      <c r="S50" s="84">
        <f>'AEO22 Table 23 Raw'!T38</f>
        <v>116.889847</v>
      </c>
      <c r="T50" s="84">
        <f>'AEO22 Table 23 Raw'!U38</f>
        <v>116.50052599999999</v>
      </c>
      <c r="U50" s="84">
        <f>'AEO22 Table 23 Raw'!V38</f>
        <v>115.871872</v>
      </c>
      <c r="V50" s="84">
        <f>'AEO22 Table 23 Raw'!W38</f>
        <v>115.075523</v>
      </c>
      <c r="W50" s="84">
        <f>'AEO22 Table 23 Raw'!X38</f>
        <v>113.55774700000001</v>
      </c>
      <c r="X50" s="84">
        <f>'AEO22 Table 23 Raw'!Y38</f>
        <v>112.112976</v>
      </c>
      <c r="Y50" s="84">
        <f>'AEO22 Table 23 Raw'!Z38</f>
        <v>112.048103</v>
      </c>
      <c r="Z50" s="84">
        <f>'AEO22 Table 23 Raw'!AA38</f>
        <v>112.703903</v>
      </c>
      <c r="AA50" s="84">
        <f>'AEO22 Table 23 Raw'!AB38</f>
        <v>113.546875</v>
      </c>
      <c r="AB50" s="84">
        <f>'AEO22 Table 23 Raw'!AC38</f>
        <v>112.848602</v>
      </c>
      <c r="AC50" s="84">
        <f>'AEO22 Table 23 Raw'!AD38</f>
        <v>112.083946</v>
      </c>
      <c r="AD50" s="84">
        <f>'AEO22 Table 23 Raw'!AE38</f>
        <v>112.853897</v>
      </c>
      <c r="AE50" s="84">
        <f>'AEO22 Table 23 Raw'!AF38</f>
        <v>112.86077899999999</v>
      </c>
      <c r="AF50" s="84">
        <f>'AEO22 Table 23 Raw'!AG38</f>
        <v>110.487877</v>
      </c>
      <c r="AG50" s="84">
        <f>'AEO22 Table 23 Raw'!AH38</f>
        <v>108.78362300000001</v>
      </c>
      <c r="AH50" s="84">
        <f>'AEO22 Table 23 Raw'!AI38</f>
        <v>109.414001</v>
      </c>
      <c r="AI50" s="87">
        <f>'AEO22 Table 23 Raw'!AJ38</f>
        <v>-5.0000000000000001E-3</v>
      </c>
    </row>
    <row r="51" spans="1:35" ht="15" customHeight="1" x14ac:dyDescent="0.25">
      <c r="A51" s="46" t="s">
        <v>624</v>
      </c>
      <c r="B51" s="46" t="s">
        <v>45</v>
      </c>
      <c r="C51" s="53" t="s">
        <v>625</v>
      </c>
      <c r="D51" s="54">
        <v>34.496738000000001</v>
      </c>
      <c r="E51" s="84">
        <f>'AEO22 Table 23 Raw'!F39</f>
        <v>37.984836999999999</v>
      </c>
      <c r="F51" s="84">
        <f>'AEO22 Table 23 Raw'!G39</f>
        <v>40.766379999999998</v>
      </c>
      <c r="G51" s="84">
        <f>'AEO22 Table 23 Raw'!H39</f>
        <v>41.336982999999996</v>
      </c>
      <c r="H51" s="84">
        <f>'AEO22 Table 23 Raw'!I39</f>
        <v>41.340252</v>
      </c>
      <c r="I51" s="84">
        <f>'AEO22 Table 23 Raw'!J39</f>
        <v>41.685943999999999</v>
      </c>
      <c r="J51" s="84">
        <f>'AEO22 Table 23 Raw'!K39</f>
        <v>42.266392000000003</v>
      </c>
      <c r="K51" s="84">
        <f>'AEO22 Table 23 Raw'!L39</f>
        <v>42.752811000000001</v>
      </c>
      <c r="L51" s="84">
        <f>'AEO22 Table 23 Raw'!M39</f>
        <v>43.178772000000002</v>
      </c>
      <c r="M51" s="84">
        <f>'AEO22 Table 23 Raw'!N39</f>
        <v>43.573250000000002</v>
      </c>
      <c r="N51" s="84">
        <f>'AEO22 Table 23 Raw'!O39</f>
        <v>43.938220999999999</v>
      </c>
      <c r="O51" s="84">
        <f>'AEO22 Table 23 Raw'!P39</f>
        <v>44.238689000000001</v>
      </c>
      <c r="P51" s="84">
        <f>'AEO22 Table 23 Raw'!Q39</f>
        <v>44.402591999999999</v>
      </c>
      <c r="Q51" s="84">
        <f>'AEO22 Table 23 Raw'!R39</f>
        <v>44.571877000000001</v>
      </c>
      <c r="R51" s="84">
        <f>'AEO22 Table 23 Raw'!S39</f>
        <v>44.748257000000002</v>
      </c>
      <c r="S51" s="84">
        <f>'AEO22 Table 23 Raw'!T39</f>
        <v>44.868228999999999</v>
      </c>
      <c r="T51" s="84">
        <f>'AEO22 Table 23 Raw'!U39</f>
        <v>44.736099000000003</v>
      </c>
      <c r="U51" s="84">
        <f>'AEO22 Table 23 Raw'!V39</f>
        <v>44.609898000000001</v>
      </c>
      <c r="V51" s="84">
        <f>'AEO22 Table 23 Raw'!W39</f>
        <v>44.769489</v>
      </c>
      <c r="W51" s="84">
        <f>'AEO22 Table 23 Raw'!X39</f>
        <v>44.712195999999999</v>
      </c>
      <c r="X51" s="84">
        <f>'AEO22 Table 23 Raw'!Y39</f>
        <v>44.451583999999997</v>
      </c>
      <c r="Y51" s="84">
        <f>'AEO22 Table 23 Raw'!Z39</f>
        <v>44.670883000000003</v>
      </c>
      <c r="Z51" s="84">
        <f>'AEO22 Table 23 Raw'!AA39</f>
        <v>45.104655999999999</v>
      </c>
      <c r="AA51" s="84">
        <f>'AEO22 Table 23 Raw'!AB39</f>
        <v>45.442836999999997</v>
      </c>
      <c r="AB51" s="84">
        <f>'AEO22 Table 23 Raw'!AC39</f>
        <v>45.543002999999999</v>
      </c>
      <c r="AC51" s="84">
        <f>'AEO22 Table 23 Raw'!AD39</f>
        <v>45.942951000000001</v>
      </c>
      <c r="AD51" s="84">
        <f>'AEO22 Table 23 Raw'!AE39</f>
        <v>46.439526000000001</v>
      </c>
      <c r="AE51" s="84">
        <f>'AEO22 Table 23 Raw'!AF39</f>
        <v>46.926341999999998</v>
      </c>
      <c r="AF51" s="84">
        <f>'AEO22 Table 23 Raw'!AG39</f>
        <v>47.142417999999999</v>
      </c>
      <c r="AG51" s="84">
        <f>'AEO22 Table 23 Raw'!AH39</f>
        <v>47.268768000000001</v>
      </c>
      <c r="AH51" s="84">
        <f>'AEO22 Table 23 Raw'!AI39</f>
        <v>47.882832000000001</v>
      </c>
      <c r="AI51" s="87">
        <f>'AEO22 Table 23 Raw'!AJ39</f>
        <v>8.0000000000000002E-3</v>
      </c>
    </row>
    <row r="52" spans="1:35" ht="15" customHeight="1" x14ac:dyDescent="0.25">
      <c r="A52" s="46" t="s">
        <v>626</v>
      </c>
      <c r="B52" s="46" t="s">
        <v>45</v>
      </c>
      <c r="C52" s="53" t="s">
        <v>627</v>
      </c>
      <c r="D52" s="54">
        <v>78.271682999999996</v>
      </c>
      <c r="E52" s="84">
        <f>'AEO22 Table 23 Raw'!F40</f>
        <v>76.807365000000004</v>
      </c>
      <c r="F52" s="84">
        <f>'AEO22 Table 23 Raw'!G40</f>
        <v>80.223488000000003</v>
      </c>
      <c r="G52" s="84">
        <f>'AEO22 Table 23 Raw'!H40</f>
        <v>80.458534</v>
      </c>
      <c r="H52" s="84">
        <f>'AEO22 Table 23 Raw'!I40</f>
        <v>80.541054000000003</v>
      </c>
      <c r="I52" s="84">
        <f>'AEO22 Table 23 Raw'!J40</f>
        <v>80.408257000000006</v>
      </c>
      <c r="J52" s="84">
        <f>'AEO22 Table 23 Raw'!K40</f>
        <v>80.732467999999997</v>
      </c>
      <c r="K52" s="84">
        <f>'AEO22 Table 23 Raw'!L40</f>
        <v>81.301743000000002</v>
      </c>
      <c r="L52" s="84">
        <f>'AEO22 Table 23 Raw'!M40</f>
        <v>82.475944999999996</v>
      </c>
      <c r="M52" s="84">
        <f>'AEO22 Table 23 Raw'!N40</f>
        <v>83.255989</v>
      </c>
      <c r="N52" s="84">
        <f>'AEO22 Table 23 Raw'!O40</f>
        <v>83.871291999999997</v>
      </c>
      <c r="O52" s="84">
        <f>'AEO22 Table 23 Raw'!P40</f>
        <v>84.264319999999998</v>
      </c>
      <c r="P52" s="84">
        <f>'AEO22 Table 23 Raw'!Q40</f>
        <v>84.844643000000005</v>
      </c>
      <c r="Q52" s="84">
        <f>'AEO22 Table 23 Raw'!R40</f>
        <v>85.490729999999999</v>
      </c>
      <c r="R52" s="84">
        <f>'AEO22 Table 23 Raw'!S40</f>
        <v>85.883117999999996</v>
      </c>
      <c r="S52" s="84">
        <f>'AEO22 Table 23 Raw'!T40</f>
        <v>86.469138999999998</v>
      </c>
      <c r="T52" s="84">
        <f>'AEO22 Table 23 Raw'!U40</f>
        <v>87.053466999999998</v>
      </c>
      <c r="U52" s="84">
        <f>'AEO22 Table 23 Raw'!V40</f>
        <v>87.795615999999995</v>
      </c>
      <c r="V52" s="84">
        <f>'AEO22 Table 23 Raw'!W40</f>
        <v>88.636291999999997</v>
      </c>
      <c r="W52" s="84">
        <f>'AEO22 Table 23 Raw'!X40</f>
        <v>89.835082999999997</v>
      </c>
      <c r="X52" s="84">
        <f>'AEO22 Table 23 Raw'!Y40</f>
        <v>91.152229000000005</v>
      </c>
      <c r="Y52" s="84">
        <f>'AEO22 Table 23 Raw'!Z40</f>
        <v>92.131912</v>
      </c>
      <c r="Z52" s="84">
        <f>'AEO22 Table 23 Raw'!AA40</f>
        <v>93.092735000000005</v>
      </c>
      <c r="AA52" s="84">
        <f>'AEO22 Table 23 Raw'!AB40</f>
        <v>94.102485999999999</v>
      </c>
      <c r="AB52" s="84">
        <f>'AEO22 Table 23 Raw'!AC40</f>
        <v>95.215919</v>
      </c>
      <c r="AC52" s="84">
        <f>'AEO22 Table 23 Raw'!AD40</f>
        <v>96.569434999999999</v>
      </c>
      <c r="AD52" s="84">
        <f>'AEO22 Table 23 Raw'!AE40</f>
        <v>98.100525000000005</v>
      </c>
      <c r="AE52" s="84">
        <f>'AEO22 Table 23 Raw'!AF40</f>
        <v>99.630607999999995</v>
      </c>
      <c r="AF52" s="84">
        <f>'AEO22 Table 23 Raw'!AG40</f>
        <v>101.02195</v>
      </c>
      <c r="AG52" s="84">
        <f>'AEO22 Table 23 Raw'!AH40</f>
        <v>102.33074999999999</v>
      </c>
      <c r="AH52" s="84">
        <f>'AEO22 Table 23 Raw'!AI40</f>
        <v>103.687927</v>
      </c>
      <c r="AI52" s="87">
        <f>'AEO22 Table 23 Raw'!AJ40</f>
        <v>0.01</v>
      </c>
    </row>
    <row r="53" spans="1:35" ht="15" customHeight="1" x14ac:dyDescent="0.25">
      <c r="A53" s="46" t="s">
        <v>628</v>
      </c>
      <c r="B53" s="46" t="s">
        <v>12</v>
      </c>
      <c r="C53" s="53" t="s">
        <v>629</v>
      </c>
      <c r="D53" s="54">
        <v>371.87851000000001</v>
      </c>
      <c r="E53" s="84">
        <f>'AEO22 Table 23 Raw'!F41</f>
        <v>356.37753300000003</v>
      </c>
      <c r="F53" s="84">
        <f>'AEO22 Table 23 Raw'!G41</f>
        <v>359.29522700000001</v>
      </c>
      <c r="G53" s="84">
        <f>'AEO22 Table 23 Raw'!H41</f>
        <v>363.27825899999999</v>
      </c>
      <c r="H53" s="84">
        <f>'AEO22 Table 23 Raw'!I41</f>
        <v>368.16574100000003</v>
      </c>
      <c r="I53" s="84">
        <f>'AEO22 Table 23 Raw'!J41</f>
        <v>371.49911500000002</v>
      </c>
      <c r="J53" s="84">
        <f>'AEO22 Table 23 Raw'!K41</f>
        <v>372.59030200000001</v>
      </c>
      <c r="K53" s="84">
        <f>'AEO22 Table 23 Raw'!L41</f>
        <v>372.03076199999998</v>
      </c>
      <c r="L53" s="84">
        <f>'AEO22 Table 23 Raw'!M41</f>
        <v>371.24575800000002</v>
      </c>
      <c r="M53" s="84">
        <f>'AEO22 Table 23 Raw'!N41</f>
        <v>370.73941000000002</v>
      </c>
      <c r="N53" s="84">
        <f>'AEO22 Table 23 Raw'!O41</f>
        <v>372.00726300000002</v>
      </c>
      <c r="O53" s="84">
        <f>'AEO22 Table 23 Raw'!P41</f>
        <v>373.46173099999999</v>
      </c>
      <c r="P53" s="84">
        <f>'AEO22 Table 23 Raw'!Q41</f>
        <v>376.92715500000003</v>
      </c>
      <c r="Q53" s="84">
        <f>'AEO22 Table 23 Raw'!R41</f>
        <v>379.464111</v>
      </c>
      <c r="R53" s="84">
        <f>'AEO22 Table 23 Raw'!S41</f>
        <v>381.31366000000003</v>
      </c>
      <c r="S53" s="84">
        <f>'AEO22 Table 23 Raw'!T41</f>
        <v>384.96923800000002</v>
      </c>
      <c r="T53" s="84">
        <f>'AEO22 Table 23 Raw'!U41</f>
        <v>389.304779</v>
      </c>
      <c r="U53" s="84">
        <f>'AEO22 Table 23 Raw'!V41</f>
        <v>394.42782599999998</v>
      </c>
      <c r="V53" s="84">
        <f>'AEO22 Table 23 Raw'!W41</f>
        <v>398.19241299999999</v>
      </c>
      <c r="W53" s="84">
        <f>'AEO22 Table 23 Raw'!X41</f>
        <v>402.32666</v>
      </c>
      <c r="X53" s="84">
        <f>'AEO22 Table 23 Raw'!Y41</f>
        <v>404.352081</v>
      </c>
      <c r="Y53" s="84">
        <f>'AEO22 Table 23 Raw'!Z41</f>
        <v>404.87933299999997</v>
      </c>
      <c r="Z53" s="84">
        <f>'AEO22 Table 23 Raw'!AA41</f>
        <v>408.22418199999998</v>
      </c>
      <c r="AA53" s="84">
        <f>'AEO22 Table 23 Raw'!AB41</f>
        <v>412.78311200000002</v>
      </c>
      <c r="AB53" s="84">
        <f>'AEO22 Table 23 Raw'!AC41</f>
        <v>414.81549100000001</v>
      </c>
      <c r="AC53" s="84">
        <f>'AEO22 Table 23 Raw'!AD41</f>
        <v>416.70446800000002</v>
      </c>
      <c r="AD53" s="84">
        <f>'AEO22 Table 23 Raw'!AE41</f>
        <v>421.12728900000002</v>
      </c>
      <c r="AE53" s="84">
        <f>'AEO22 Table 23 Raw'!AF41</f>
        <v>424.59088100000002</v>
      </c>
      <c r="AF53" s="84">
        <f>'AEO22 Table 23 Raw'!AG41</f>
        <v>422.18838499999998</v>
      </c>
      <c r="AG53" s="84">
        <f>'AEO22 Table 23 Raw'!AH41</f>
        <v>420.16357399999998</v>
      </c>
      <c r="AH53" s="84">
        <f>'AEO22 Table 23 Raw'!AI41</f>
        <v>423.55367999999999</v>
      </c>
      <c r="AI53" s="87">
        <f>'AEO22 Table 23 Raw'!AJ41</f>
        <v>6.0000000000000001E-3</v>
      </c>
    </row>
    <row r="54" spans="1:35" ht="15" customHeight="1" x14ac:dyDescent="0.25">
      <c r="A54" s="46" t="s">
        <v>630</v>
      </c>
      <c r="B54" s="46" t="s">
        <v>15</v>
      </c>
      <c r="C54" s="53" t="s">
        <v>631</v>
      </c>
      <c r="D54" s="54">
        <v>327.14691199999999</v>
      </c>
      <c r="E54" s="84">
        <f>'AEO22 Table 23 Raw'!F42</f>
        <v>388.79586799999998</v>
      </c>
      <c r="F54" s="84">
        <f>'AEO22 Table 23 Raw'!G42</f>
        <v>398.37432899999999</v>
      </c>
      <c r="G54" s="84">
        <f>'AEO22 Table 23 Raw'!H42</f>
        <v>399.22537199999999</v>
      </c>
      <c r="H54" s="84">
        <f>'AEO22 Table 23 Raw'!I42</f>
        <v>401.57873499999999</v>
      </c>
      <c r="I54" s="84">
        <f>'AEO22 Table 23 Raw'!J42</f>
        <v>405.31845099999998</v>
      </c>
      <c r="J54" s="84">
        <f>'AEO22 Table 23 Raw'!K42</f>
        <v>408.47576900000001</v>
      </c>
      <c r="K54" s="84">
        <f>'AEO22 Table 23 Raw'!L42</f>
        <v>413.05300899999997</v>
      </c>
      <c r="L54" s="84">
        <f>'AEO22 Table 23 Raw'!M42</f>
        <v>419.558044</v>
      </c>
      <c r="M54" s="84">
        <f>'AEO22 Table 23 Raw'!N42</f>
        <v>425.84225500000002</v>
      </c>
      <c r="N54" s="84">
        <f>'AEO22 Table 23 Raw'!O42</f>
        <v>432.07843000000003</v>
      </c>
      <c r="O54" s="84">
        <f>'AEO22 Table 23 Raw'!P42</f>
        <v>438.235657</v>
      </c>
      <c r="P54" s="84">
        <f>'AEO22 Table 23 Raw'!Q42</f>
        <v>445.50433299999997</v>
      </c>
      <c r="Q54" s="84">
        <f>'AEO22 Table 23 Raw'!R42</f>
        <v>452.63754299999999</v>
      </c>
      <c r="R54" s="84">
        <f>'AEO22 Table 23 Raw'!S42</f>
        <v>458.25268599999998</v>
      </c>
      <c r="S54" s="84">
        <f>'AEO22 Table 23 Raw'!T42</f>
        <v>465.470642</v>
      </c>
      <c r="T54" s="84">
        <f>'AEO22 Table 23 Raw'!U42</f>
        <v>473.26666299999999</v>
      </c>
      <c r="U54" s="84">
        <f>'AEO22 Table 23 Raw'!V42</f>
        <v>480.79089399999998</v>
      </c>
      <c r="V54" s="84">
        <f>'AEO22 Table 23 Raw'!W42</f>
        <v>486.65777600000001</v>
      </c>
      <c r="W54" s="84">
        <f>'AEO22 Table 23 Raw'!X42</f>
        <v>492.95571899999999</v>
      </c>
      <c r="X54" s="84">
        <f>'AEO22 Table 23 Raw'!Y42</f>
        <v>499.28601099999997</v>
      </c>
      <c r="Y54" s="84">
        <f>'AEO22 Table 23 Raw'!Z42</f>
        <v>504.48223899999999</v>
      </c>
      <c r="Z54" s="84">
        <f>'AEO22 Table 23 Raw'!AA42</f>
        <v>510.45431500000001</v>
      </c>
      <c r="AA54" s="84">
        <f>'AEO22 Table 23 Raw'!AB42</f>
        <v>517.14227300000005</v>
      </c>
      <c r="AB54" s="84">
        <f>'AEO22 Table 23 Raw'!AC42</f>
        <v>522.069031</v>
      </c>
      <c r="AC54" s="84">
        <f>'AEO22 Table 23 Raw'!AD42</f>
        <v>526.67352300000005</v>
      </c>
      <c r="AD54" s="84">
        <f>'AEO22 Table 23 Raw'!AE42</f>
        <v>535.09979199999998</v>
      </c>
      <c r="AE54" s="84">
        <f>'AEO22 Table 23 Raw'!AF42</f>
        <v>542.12152100000003</v>
      </c>
      <c r="AF54" s="84">
        <f>'AEO22 Table 23 Raw'!AG42</f>
        <v>547.38360599999999</v>
      </c>
      <c r="AG54" s="84">
        <f>'AEO22 Table 23 Raw'!AH42</f>
        <v>553.39324999999997</v>
      </c>
      <c r="AH54" s="84">
        <f>'AEO22 Table 23 Raw'!AI42</f>
        <v>562.37976100000003</v>
      </c>
      <c r="AI54" s="87">
        <f>'AEO22 Table 23 Raw'!AJ42</f>
        <v>1.2999999999999999E-2</v>
      </c>
    </row>
    <row r="55" spans="1:35" ht="15" customHeight="1" x14ac:dyDescent="0.25">
      <c r="A55" s="46" t="s">
        <v>632</v>
      </c>
      <c r="B55" s="46" t="s">
        <v>13</v>
      </c>
      <c r="C55" s="53" t="s">
        <v>633</v>
      </c>
      <c r="D55" s="54">
        <v>352.30999800000001</v>
      </c>
      <c r="E55" s="84">
        <f>'AEO22 Table 23 Raw'!F43</f>
        <v>481.070221</v>
      </c>
      <c r="F55" s="84">
        <f>'AEO22 Table 23 Raw'!G43</f>
        <v>505.31369000000001</v>
      </c>
      <c r="G55" s="84">
        <f>'AEO22 Table 23 Raw'!H43</f>
        <v>525.62902799999995</v>
      </c>
      <c r="H55" s="84">
        <f>'AEO22 Table 23 Raw'!I43</f>
        <v>533.49408000000005</v>
      </c>
      <c r="I55" s="84">
        <f>'AEO22 Table 23 Raw'!J43</f>
        <v>539.71502699999996</v>
      </c>
      <c r="J55" s="84">
        <f>'AEO22 Table 23 Raw'!K43</f>
        <v>545.90917999999999</v>
      </c>
      <c r="K55" s="84">
        <f>'AEO22 Table 23 Raw'!L43</f>
        <v>553.06506300000001</v>
      </c>
      <c r="L55" s="84">
        <f>'AEO22 Table 23 Raw'!M43</f>
        <v>565.90130599999998</v>
      </c>
      <c r="M55" s="84">
        <f>'AEO22 Table 23 Raw'!N43</f>
        <v>575.21942100000001</v>
      </c>
      <c r="N55" s="84">
        <f>'AEO22 Table 23 Raw'!O43</f>
        <v>582.54345699999999</v>
      </c>
      <c r="O55" s="84">
        <f>'AEO22 Table 23 Raw'!P43</f>
        <v>590.879456</v>
      </c>
      <c r="P55" s="84">
        <f>'AEO22 Table 23 Raw'!Q43</f>
        <v>600.48510699999997</v>
      </c>
      <c r="Q55" s="84">
        <f>'AEO22 Table 23 Raw'!R43</f>
        <v>610.73120100000006</v>
      </c>
      <c r="R55" s="84">
        <f>'AEO22 Table 23 Raw'!S43</f>
        <v>619.27539100000001</v>
      </c>
      <c r="S55" s="84">
        <f>'AEO22 Table 23 Raw'!T43</f>
        <v>629.14562999999998</v>
      </c>
      <c r="T55" s="84">
        <f>'AEO22 Table 23 Raw'!U43</f>
        <v>639.70922900000005</v>
      </c>
      <c r="U55" s="84">
        <f>'AEO22 Table 23 Raw'!V43</f>
        <v>652.650757</v>
      </c>
      <c r="V55" s="84">
        <f>'AEO22 Table 23 Raw'!W43</f>
        <v>667.27392599999996</v>
      </c>
      <c r="W55" s="84">
        <f>'AEO22 Table 23 Raw'!X43</f>
        <v>682.90515100000005</v>
      </c>
      <c r="X55" s="84">
        <f>'AEO22 Table 23 Raw'!Y43</f>
        <v>699.01855499999999</v>
      </c>
      <c r="Y55" s="84">
        <f>'AEO22 Table 23 Raw'!Z43</f>
        <v>714.75573699999995</v>
      </c>
      <c r="Z55" s="84">
        <f>'AEO22 Table 23 Raw'!AA43</f>
        <v>731.39123500000005</v>
      </c>
      <c r="AA55" s="84">
        <f>'AEO22 Table 23 Raw'!AB43</f>
        <v>748.01068099999998</v>
      </c>
      <c r="AB55" s="84">
        <f>'AEO22 Table 23 Raw'!AC43</f>
        <v>765.94457999999997</v>
      </c>
      <c r="AC55" s="84">
        <f>'AEO22 Table 23 Raw'!AD43</f>
        <v>784.43158000000005</v>
      </c>
      <c r="AD55" s="84">
        <f>'AEO22 Table 23 Raw'!AE43</f>
        <v>803.51324499999998</v>
      </c>
      <c r="AE55" s="84">
        <f>'AEO22 Table 23 Raw'!AF43</f>
        <v>823.01654099999996</v>
      </c>
      <c r="AF55" s="84">
        <f>'AEO22 Table 23 Raw'!AG43</f>
        <v>845.07055700000001</v>
      </c>
      <c r="AG55" s="84">
        <f>'AEO22 Table 23 Raw'!AH43</f>
        <v>869.23821999999996</v>
      </c>
      <c r="AH55" s="84">
        <f>'AEO22 Table 23 Raw'!AI43</f>
        <v>891.82745399999999</v>
      </c>
      <c r="AI55" s="87">
        <f>'AEO22 Table 23 Raw'!AJ43</f>
        <v>2.1999999999999999E-2</v>
      </c>
    </row>
    <row r="56" spans="1:35" ht="15" customHeight="1" x14ac:dyDescent="0.25">
      <c r="A56" s="46" t="s">
        <v>634</v>
      </c>
      <c r="B56" s="46" t="s">
        <v>658</v>
      </c>
      <c r="C56" s="53" t="s">
        <v>635</v>
      </c>
      <c r="D56" s="54">
        <v>703.66980000000001</v>
      </c>
      <c r="E56" s="84">
        <f>'AEO22 Table 23 Raw'!F44</f>
        <v>1097.1733400000001</v>
      </c>
      <c r="F56" s="84">
        <f>'AEO22 Table 23 Raw'!G44</f>
        <v>1186.075439</v>
      </c>
      <c r="G56" s="84">
        <f>'AEO22 Table 23 Raw'!H44</f>
        <v>1256.555298</v>
      </c>
      <c r="H56" s="84">
        <f>'AEO22 Table 23 Raw'!I44</f>
        <v>1230.367798</v>
      </c>
      <c r="I56" s="84">
        <f>'AEO22 Table 23 Raw'!J44</f>
        <v>1211.182251</v>
      </c>
      <c r="J56" s="84">
        <f>'AEO22 Table 23 Raw'!K44</f>
        <v>1197.5460210000001</v>
      </c>
      <c r="K56" s="84">
        <f>'AEO22 Table 23 Raw'!L44</f>
        <v>1182.4027100000001</v>
      </c>
      <c r="L56" s="84">
        <f>'AEO22 Table 23 Raw'!M44</f>
        <v>1180.8767089999999</v>
      </c>
      <c r="M56" s="84">
        <f>'AEO22 Table 23 Raw'!N44</f>
        <v>1171.3919679999999</v>
      </c>
      <c r="N56" s="84">
        <f>'AEO22 Table 23 Raw'!O44</f>
        <v>1167.7052000000001</v>
      </c>
      <c r="O56" s="84">
        <f>'AEO22 Table 23 Raw'!P44</f>
        <v>1169.6130370000001</v>
      </c>
      <c r="P56" s="84">
        <f>'AEO22 Table 23 Raw'!Q44</f>
        <v>1178.7113039999999</v>
      </c>
      <c r="Q56" s="84">
        <f>'AEO22 Table 23 Raw'!R44</f>
        <v>1188.4804690000001</v>
      </c>
      <c r="R56" s="84">
        <f>'AEO22 Table 23 Raw'!S44</f>
        <v>1195.6717530000001</v>
      </c>
      <c r="S56" s="84">
        <f>'AEO22 Table 23 Raw'!T44</f>
        <v>1206.940308</v>
      </c>
      <c r="T56" s="84">
        <f>'AEO22 Table 23 Raw'!U44</f>
        <v>1219.6142580000001</v>
      </c>
      <c r="U56" s="84">
        <f>'AEO22 Table 23 Raw'!V44</f>
        <v>1230.876953</v>
      </c>
      <c r="V56" s="84">
        <f>'AEO22 Table 23 Raw'!W44</f>
        <v>1242.948975</v>
      </c>
      <c r="W56" s="84">
        <f>'AEO22 Table 23 Raw'!X44</f>
        <v>1256.479736</v>
      </c>
      <c r="X56" s="84">
        <f>'AEO22 Table 23 Raw'!Y44</f>
        <v>1272.7285159999999</v>
      </c>
      <c r="Y56" s="84">
        <f>'AEO22 Table 23 Raw'!Z44</f>
        <v>1292.114746</v>
      </c>
      <c r="Z56" s="84">
        <f>'AEO22 Table 23 Raw'!AA44</f>
        <v>1311.7542719999999</v>
      </c>
      <c r="AA56" s="84">
        <f>'AEO22 Table 23 Raw'!AB44</f>
        <v>1334.029297</v>
      </c>
      <c r="AB56" s="84">
        <f>'AEO22 Table 23 Raw'!AC44</f>
        <v>1351.8857419999999</v>
      </c>
      <c r="AC56" s="84">
        <f>'AEO22 Table 23 Raw'!AD44</f>
        <v>1374.792725</v>
      </c>
      <c r="AD56" s="84">
        <f>'AEO22 Table 23 Raw'!AE44</f>
        <v>1404.3470460000001</v>
      </c>
      <c r="AE56" s="84">
        <f>'AEO22 Table 23 Raw'!AF44</f>
        <v>1429.5639650000001</v>
      </c>
      <c r="AF56" s="84">
        <f>'AEO22 Table 23 Raw'!AG44</f>
        <v>1443.489014</v>
      </c>
      <c r="AG56" s="84">
        <f>'AEO22 Table 23 Raw'!AH44</f>
        <v>1457.2767329999999</v>
      </c>
      <c r="AH56" s="84">
        <f>'AEO22 Table 23 Raw'!AI44</f>
        <v>1477.3979489999999</v>
      </c>
      <c r="AI56" s="87">
        <f>'AEO22 Table 23 Raw'!AJ44</f>
        <v>0.01</v>
      </c>
    </row>
    <row r="57" spans="1:35" ht="15" customHeight="1" x14ac:dyDescent="0.25">
      <c r="A57" s="46" t="s">
        <v>636</v>
      </c>
      <c r="B57" s="46" t="s">
        <v>14</v>
      </c>
      <c r="C57" s="53" t="s">
        <v>637</v>
      </c>
      <c r="D57" s="54">
        <v>121.132698</v>
      </c>
      <c r="E57" s="84">
        <f>'AEO22 Table 23 Raw'!F45</f>
        <v>133.00749200000001</v>
      </c>
      <c r="F57" s="84">
        <f>'AEO22 Table 23 Raw'!G45</f>
        <v>137.616547</v>
      </c>
      <c r="G57" s="84">
        <f>'AEO22 Table 23 Raw'!H45</f>
        <v>140.914749</v>
      </c>
      <c r="H57" s="84">
        <f>'AEO22 Table 23 Raw'!I45</f>
        <v>142.85202000000001</v>
      </c>
      <c r="I57" s="84">
        <f>'AEO22 Table 23 Raw'!J45</f>
        <v>143.61579900000001</v>
      </c>
      <c r="J57" s="84">
        <f>'AEO22 Table 23 Raw'!K45</f>
        <v>144.118729</v>
      </c>
      <c r="K57" s="84">
        <f>'AEO22 Table 23 Raw'!L45</f>
        <v>144.58192399999999</v>
      </c>
      <c r="L57" s="84">
        <f>'AEO22 Table 23 Raw'!M45</f>
        <v>145.72431900000001</v>
      </c>
      <c r="M57" s="84">
        <f>'AEO22 Table 23 Raw'!N45</f>
        <v>146.694199</v>
      </c>
      <c r="N57" s="84">
        <f>'AEO22 Table 23 Raw'!O45</f>
        <v>147.99382</v>
      </c>
      <c r="O57" s="84">
        <f>'AEO22 Table 23 Raw'!P45</f>
        <v>147.95579499999999</v>
      </c>
      <c r="P57" s="84">
        <f>'AEO22 Table 23 Raw'!Q45</f>
        <v>149.27063000000001</v>
      </c>
      <c r="Q57" s="84">
        <f>'AEO22 Table 23 Raw'!R45</f>
        <v>151.788025</v>
      </c>
      <c r="R57" s="84">
        <f>'AEO22 Table 23 Raw'!S45</f>
        <v>154.34442100000001</v>
      </c>
      <c r="S57" s="84">
        <f>'AEO22 Table 23 Raw'!T45</f>
        <v>157.258499</v>
      </c>
      <c r="T57" s="84">
        <f>'AEO22 Table 23 Raw'!U45</f>
        <v>160.440979</v>
      </c>
      <c r="U57" s="84">
        <f>'AEO22 Table 23 Raw'!V45</f>
        <v>164.25590500000001</v>
      </c>
      <c r="V57" s="84">
        <f>'AEO22 Table 23 Raw'!W45</f>
        <v>168.61090100000001</v>
      </c>
      <c r="W57" s="84">
        <f>'AEO22 Table 23 Raw'!X45</f>
        <v>173.61320499999999</v>
      </c>
      <c r="X57" s="84">
        <f>'AEO22 Table 23 Raw'!Y45</f>
        <v>178.562332</v>
      </c>
      <c r="Y57" s="84">
        <f>'AEO22 Table 23 Raw'!Z45</f>
        <v>183.50466900000001</v>
      </c>
      <c r="Z57" s="84">
        <f>'AEO22 Table 23 Raw'!AA45</f>
        <v>188.881821</v>
      </c>
      <c r="AA57" s="84">
        <f>'AEO22 Table 23 Raw'!AB45</f>
        <v>194.57617200000001</v>
      </c>
      <c r="AB57" s="84">
        <f>'AEO22 Table 23 Raw'!AC45</f>
        <v>200.26440400000001</v>
      </c>
      <c r="AC57" s="84">
        <f>'AEO22 Table 23 Raw'!AD45</f>
        <v>206.51586900000001</v>
      </c>
      <c r="AD57" s="84">
        <f>'AEO22 Table 23 Raw'!AE45</f>
        <v>213.24478099999999</v>
      </c>
      <c r="AE57" s="84">
        <f>'AEO22 Table 23 Raw'!AF45</f>
        <v>219.983643</v>
      </c>
      <c r="AF57" s="84">
        <f>'AEO22 Table 23 Raw'!AG45</f>
        <v>227.372131</v>
      </c>
      <c r="AG57" s="84">
        <f>'AEO22 Table 23 Raw'!AH45</f>
        <v>235.171707</v>
      </c>
      <c r="AH57" s="84">
        <f>'AEO22 Table 23 Raw'!AI45</f>
        <v>242.98387099999999</v>
      </c>
      <c r="AI57" s="87">
        <f>'AEO22 Table 23 Raw'!AJ45</f>
        <v>2.1000000000000001E-2</v>
      </c>
    </row>
    <row r="58" spans="1:35" x14ac:dyDescent="0.25">
      <c r="A58" s="46" t="s">
        <v>638</v>
      </c>
      <c r="B58" s="46" t="s">
        <v>18</v>
      </c>
      <c r="C58" s="53" t="s">
        <v>639</v>
      </c>
      <c r="D58" s="54">
        <v>150.84330700000001</v>
      </c>
      <c r="E58" s="84">
        <f>'AEO22 Table 23 Raw'!F46</f>
        <v>160.348679</v>
      </c>
      <c r="F58" s="84">
        <f>'AEO22 Table 23 Raw'!G46</f>
        <v>159.03637699999999</v>
      </c>
      <c r="G58" s="84">
        <f>'AEO22 Table 23 Raw'!H46</f>
        <v>159.82165499999999</v>
      </c>
      <c r="H58" s="84">
        <f>'AEO22 Table 23 Raw'!I46</f>
        <v>161.89936800000001</v>
      </c>
      <c r="I58" s="84">
        <f>'AEO22 Table 23 Raw'!J46</f>
        <v>163.54092399999999</v>
      </c>
      <c r="J58" s="84">
        <f>'AEO22 Table 23 Raw'!K46</f>
        <v>166.911102</v>
      </c>
      <c r="K58" s="84">
        <f>'AEO22 Table 23 Raw'!L46</f>
        <v>170.52979999999999</v>
      </c>
      <c r="L58" s="84">
        <f>'AEO22 Table 23 Raw'!M46</f>
        <v>174.195831</v>
      </c>
      <c r="M58" s="84">
        <f>'AEO22 Table 23 Raw'!N46</f>
        <v>177.68064899999999</v>
      </c>
      <c r="N58" s="84">
        <f>'AEO22 Table 23 Raw'!O46</f>
        <v>181.44438199999999</v>
      </c>
      <c r="O58" s="84">
        <f>'AEO22 Table 23 Raw'!P46</f>
        <v>184.97383099999999</v>
      </c>
      <c r="P58" s="84">
        <f>'AEO22 Table 23 Raw'!Q46</f>
        <v>188.605423</v>
      </c>
      <c r="Q58" s="84">
        <f>'AEO22 Table 23 Raw'!R46</f>
        <v>192.53074599999999</v>
      </c>
      <c r="R58" s="84">
        <f>'AEO22 Table 23 Raw'!S46</f>
        <v>196.05207799999999</v>
      </c>
      <c r="S58" s="84">
        <f>'AEO22 Table 23 Raw'!T46</f>
        <v>199.26417499999999</v>
      </c>
      <c r="T58" s="84">
        <f>'AEO22 Table 23 Raw'!U46</f>
        <v>201.98182700000001</v>
      </c>
      <c r="U58" s="84">
        <f>'AEO22 Table 23 Raw'!V46</f>
        <v>204.48912000000001</v>
      </c>
      <c r="V58" s="84">
        <f>'AEO22 Table 23 Raw'!W46</f>
        <v>206.86556999999999</v>
      </c>
      <c r="W58" s="84">
        <f>'AEO22 Table 23 Raw'!X46</f>
        <v>209.393372</v>
      </c>
      <c r="X58" s="84">
        <f>'AEO22 Table 23 Raw'!Y46</f>
        <v>211.50140400000001</v>
      </c>
      <c r="Y58" s="84">
        <f>'AEO22 Table 23 Raw'!Z46</f>
        <v>213.029068</v>
      </c>
      <c r="Z58" s="84">
        <f>'AEO22 Table 23 Raw'!AA46</f>
        <v>215.54780600000001</v>
      </c>
      <c r="AA58" s="84">
        <f>'AEO22 Table 23 Raw'!AB46</f>
        <v>217.86184700000001</v>
      </c>
      <c r="AB58" s="84">
        <f>'AEO22 Table 23 Raw'!AC46</f>
        <v>218.91592399999999</v>
      </c>
      <c r="AC58" s="84">
        <f>'AEO22 Table 23 Raw'!AD46</f>
        <v>219.07725500000001</v>
      </c>
      <c r="AD58" s="84">
        <f>'AEO22 Table 23 Raw'!AE46</f>
        <v>220.11357100000001</v>
      </c>
      <c r="AE58" s="84">
        <f>'AEO22 Table 23 Raw'!AF46</f>
        <v>220.98539700000001</v>
      </c>
      <c r="AF58" s="84">
        <f>'AEO22 Table 23 Raw'!AG46</f>
        <v>221.284851</v>
      </c>
      <c r="AG58" s="84">
        <f>'AEO22 Table 23 Raw'!AH46</f>
        <v>220.807343</v>
      </c>
      <c r="AH58" s="84">
        <f>'AEO22 Table 23 Raw'!AI46</f>
        <v>220.45422400000001</v>
      </c>
      <c r="AI58" s="87">
        <f>'AEO22 Table 23 Raw'!AJ46</f>
        <v>1.0999999999999999E-2</v>
      </c>
    </row>
    <row r="59" spans="1:35" ht="15" customHeight="1" x14ac:dyDescent="0.2"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6"/>
    </row>
    <row r="60" spans="1:35" ht="15" customHeight="1" x14ac:dyDescent="0.2">
      <c r="A60" s="46" t="s">
        <v>640</v>
      </c>
      <c r="B60" s="46"/>
      <c r="C60" s="51" t="s">
        <v>641</v>
      </c>
      <c r="D60" s="52">
        <v>8167.6557620000003</v>
      </c>
      <c r="E60" s="82">
        <f>'AEO22 Table 23 Raw'!F47</f>
        <v>9275.0263670000004</v>
      </c>
      <c r="F60" s="82">
        <f>'AEO22 Table 23 Raw'!G47</f>
        <v>9366.1943360000005</v>
      </c>
      <c r="G60" s="82">
        <f>'AEO22 Table 23 Raw'!H47</f>
        <v>9440.3613280000009</v>
      </c>
      <c r="H60" s="82">
        <f>'AEO22 Table 23 Raw'!I47</f>
        <v>9447.7050780000009</v>
      </c>
      <c r="I60" s="82">
        <f>'AEO22 Table 23 Raw'!J47</f>
        <v>9475.5957030000009</v>
      </c>
      <c r="J60" s="82">
        <f>'AEO22 Table 23 Raw'!K47</f>
        <v>9489.0048829999996</v>
      </c>
      <c r="K60" s="82">
        <f>'AEO22 Table 23 Raw'!L47</f>
        <v>9491.3828119999998</v>
      </c>
      <c r="L60" s="82">
        <f>'AEO22 Table 23 Raw'!M47</f>
        <v>9543.9257809999999</v>
      </c>
      <c r="M60" s="82">
        <f>'AEO22 Table 23 Raw'!N47</f>
        <v>9576.7685550000006</v>
      </c>
      <c r="N60" s="82">
        <f>'AEO22 Table 23 Raw'!O47</f>
        <v>9616.21875</v>
      </c>
      <c r="O60" s="82">
        <f>'AEO22 Table 23 Raw'!P47</f>
        <v>9663.5878909999992</v>
      </c>
      <c r="P60" s="82">
        <f>'AEO22 Table 23 Raw'!Q47</f>
        <v>9768.1210940000001</v>
      </c>
      <c r="Q60" s="82">
        <f>'AEO22 Table 23 Raw'!R47</f>
        <v>9863.7695309999999</v>
      </c>
      <c r="R60" s="82">
        <f>'AEO22 Table 23 Raw'!S47</f>
        <v>9907.1171880000002</v>
      </c>
      <c r="S60" s="82">
        <f>'AEO22 Table 23 Raw'!T47</f>
        <v>9963.7617190000001</v>
      </c>
      <c r="T60" s="82">
        <f>'AEO22 Table 23 Raw'!U47</f>
        <v>10030.242188</v>
      </c>
      <c r="U60" s="82">
        <f>'AEO22 Table 23 Raw'!V47</f>
        <v>10114.481444999999</v>
      </c>
      <c r="V60" s="82">
        <f>'AEO22 Table 23 Raw'!W47</f>
        <v>10208.513671999999</v>
      </c>
      <c r="W60" s="82">
        <f>'AEO22 Table 23 Raw'!X47</f>
        <v>10316.463867</v>
      </c>
      <c r="X60" s="82">
        <f>'AEO22 Table 23 Raw'!Y47</f>
        <v>10417.967773</v>
      </c>
      <c r="Y60" s="82">
        <f>'AEO22 Table 23 Raw'!Z47</f>
        <v>10513.541992</v>
      </c>
      <c r="Z60" s="82">
        <f>'AEO22 Table 23 Raw'!AA47</f>
        <v>10622.886719</v>
      </c>
      <c r="AA60" s="82">
        <f>'AEO22 Table 23 Raw'!AB47</f>
        <v>10740.371094</v>
      </c>
      <c r="AB60" s="82">
        <f>'AEO22 Table 23 Raw'!AC47</f>
        <v>10833.378906</v>
      </c>
      <c r="AC60" s="82">
        <f>'AEO22 Table 23 Raw'!AD47</f>
        <v>10935.758789</v>
      </c>
      <c r="AD60" s="82">
        <f>'AEO22 Table 23 Raw'!AE47</f>
        <v>11074.144531</v>
      </c>
      <c r="AE60" s="82">
        <f>'AEO22 Table 23 Raw'!AF47</f>
        <v>11196.3125</v>
      </c>
      <c r="AF60" s="82">
        <f>'AEO22 Table 23 Raw'!AG47</f>
        <v>11286.251953000001</v>
      </c>
      <c r="AG60" s="82">
        <f>'AEO22 Table 23 Raw'!AH47</f>
        <v>11395.391602</v>
      </c>
      <c r="AH60" s="82">
        <f>'AEO22 Table 23 Raw'!AI47</f>
        <v>11547.005859000001</v>
      </c>
      <c r="AI60" s="85">
        <f>'AEO22 Table 23 Raw'!AJ47</f>
        <v>8.0000000000000002E-3</v>
      </c>
    </row>
    <row r="61" spans="1:35" ht="15" customHeight="1" thickBot="1" x14ac:dyDescent="0.25"/>
    <row r="62" spans="1:35" ht="15" customHeight="1" x14ac:dyDescent="0.2">
      <c r="C62" s="102" t="s">
        <v>642</v>
      </c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</row>
    <row r="63" spans="1:35" ht="15" customHeight="1" x14ac:dyDescent="0.2">
      <c r="C63" s="55" t="s">
        <v>643</v>
      </c>
    </row>
    <row r="64" spans="1:35" ht="15" customHeight="1" x14ac:dyDescent="0.2">
      <c r="C64" s="55" t="s">
        <v>644</v>
      </c>
    </row>
    <row r="66" ht="12" x14ac:dyDescent="0.2"/>
    <row r="74" ht="12" x14ac:dyDescent="0.2"/>
    <row r="80" ht="12" x14ac:dyDescent="0.2"/>
    <row r="85" ht="12" x14ac:dyDescent="0.2"/>
    <row r="89" ht="12" x14ac:dyDescent="0.2"/>
    <row r="97" ht="12" x14ac:dyDescent="0.2"/>
    <row r="104" ht="12" x14ac:dyDescent="0.2"/>
    <row r="110" ht="12" x14ac:dyDescent="0.2"/>
    <row r="114" ht="12" x14ac:dyDescent="0.2"/>
    <row r="120" ht="12" x14ac:dyDescent="0.2"/>
    <row r="125" ht="12" x14ac:dyDescent="0.2"/>
    <row r="147" spans="3:35" s="49" customFormat="1" ht="15" customHeight="1" x14ac:dyDescent="0.2"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</row>
    <row r="148" spans="3:35" s="49" customFormat="1" ht="15" customHeight="1" x14ac:dyDescent="0.2"/>
    <row r="149" spans="3:35" s="49" customFormat="1" ht="15" customHeight="1" x14ac:dyDescent="0.2"/>
    <row r="150" spans="3:35" s="56" customFormat="1" ht="15" customHeight="1" x14ac:dyDescent="0.2"/>
    <row r="151" spans="3:35" s="56" customFormat="1" ht="15" customHeight="1" x14ac:dyDescent="0.2"/>
    <row r="152" spans="3:35" s="56" customFormat="1" ht="15" customHeight="1" x14ac:dyDescent="0.2"/>
    <row r="153" spans="3:35" s="56" customFormat="1" ht="15" customHeight="1" x14ac:dyDescent="0.2"/>
    <row r="154" spans="3:35" s="56" customFormat="1" ht="15" customHeight="1" x14ac:dyDescent="0.2"/>
    <row r="155" spans="3:35" s="49" customFormat="1" ht="15" customHeight="1" x14ac:dyDescent="0.2"/>
    <row r="156" spans="3:35" s="56" customFormat="1" ht="15" customHeight="1" x14ac:dyDescent="0.2"/>
    <row r="157" spans="3:35" s="49" customFormat="1" ht="15" customHeight="1" x14ac:dyDescent="0.2"/>
    <row r="158" spans="3:35" s="56" customFormat="1" ht="15" customHeight="1" x14ac:dyDescent="0.2"/>
    <row r="160" spans="3:35" s="56" customFormat="1" ht="15" customHeight="1" x14ac:dyDescent="0.2"/>
    <row r="162" s="56" customFormat="1" ht="15" customHeight="1" x14ac:dyDescent="0.2"/>
    <row r="164" s="56" customFormat="1" ht="15" customHeight="1" x14ac:dyDescent="0.2"/>
    <row r="165" s="56" customFormat="1" ht="15" customHeight="1" x14ac:dyDescent="0.2"/>
    <row r="167" s="56" customFormat="1" ht="15" customHeight="1" x14ac:dyDescent="0.2"/>
    <row r="169" s="56" customFormat="1" ht="15" customHeight="1" x14ac:dyDescent="0.2"/>
    <row r="174" s="56" customFormat="1" ht="15" customHeight="1" x14ac:dyDescent="0.2"/>
    <row r="283" spans="3:35" ht="15" customHeight="1" x14ac:dyDescent="0.2"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</row>
    <row r="368" spans="3:35" ht="15" customHeight="1" x14ac:dyDescent="0.2"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</row>
    <row r="500" spans="3:34" ht="15" customHeight="1" x14ac:dyDescent="0.2">
      <c r="C500" s="104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</row>
    <row r="551" spans="3:35" ht="15" customHeight="1" x14ac:dyDescent="0.2"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</row>
    <row r="643" spans="3:35" ht="15" customHeight="1" x14ac:dyDescent="0.2"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</row>
    <row r="719" spans="3:35" ht="15" customHeight="1" x14ac:dyDescent="0.2"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</row>
    <row r="810" spans="3:35" ht="15" customHeight="1" x14ac:dyDescent="0.2"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</row>
    <row r="888" spans="3:35" ht="15" customHeight="1" x14ac:dyDescent="0.2"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</row>
    <row r="973" spans="3:35" ht="15" customHeight="1" x14ac:dyDescent="0.2"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</row>
    <row r="1048" spans="3:35" ht="15" customHeight="1" x14ac:dyDescent="0.2">
      <c r="C1048" s="101"/>
      <c r="D1048" s="101"/>
      <c r="E1048" s="101"/>
      <c r="F1048" s="101"/>
      <c r="G1048" s="101"/>
      <c r="H1048" s="101"/>
      <c r="I1048" s="101"/>
      <c r="J1048" s="101"/>
      <c r="K1048" s="101"/>
      <c r="L1048" s="101"/>
      <c r="M1048" s="101"/>
      <c r="N1048" s="101"/>
      <c r="O1048" s="101"/>
      <c r="P1048" s="101"/>
      <c r="Q1048" s="101"/>
      <c r="R1048" s="101"/>
      <c r="S1048" s="101"/>
      <c r="T1048" s="101"/>
      <c r="U1048" s="101"/>
      <c r="V1048" s="101"/>
      <c r="W1048" s="101"/>
      <c r="X1048" s="101"/>
      <c r="Y1048" s="101"/>
      <c r="Z1048" s="101"/>
      <c r="AA1048" s="101"/>
      <c r="AB1048" s="101"/>
      <c r="AC1048" s="101"/>
      <c r="AD1048" s="101"/>
      <c r="AE1048" s="101"/>
      <c r="AF1048" s="101"/>
      <c r="AG1048" s="101"/>
      <c r="AH1048" s="101"/>
      <c r="AI1048" s="101"/>
    </row>
    <row r="1120" spans="3:35" ht="15" customHeight="1" x14ac:dyDescent="0.2">
      <c r="C1120" s="101"/>
      <c r="D1120" s="101"/>
      <c r="E1120" s="101"/>
      <c r="F1120" s="101"/>
      <c r="G1120" s="101"/>
      <c r="H1120" s="101"/>
      <c r="I1120" s="101"/>
      <c r="J1120" s="101"/>
      <c r="K1120" s="101"/>
      <c r="L1120" s="101"/>
      <c r="M1120" s="101"/>
      <c r="N1120" s="101"/>
      <c r="O1120" s="101"/>
      <c r="P1120" s="101"/>
      <c r="Q1120" s="101"/>
      <c r="R1120" s="101"/>
      <c r="S1120" s="101"/>
      <c r="T1120" s="101"/>
      <c r="U1120" s="101"/>
      <c r="V1120" s="101"/>
      <c r="W1120" s="101"/>
      <c r="X1120" s="101"/>
      <c r="Y1120" s="101"/>
      <c r="Z1120" s="101"/>
      <c r="AA1120" s="101"/>
      <c r="AB1120" s="101"/>
      <c r="AC1120" s="101"/>
      <c r="AD1120" s="101"/>
      <c r="AE1120" s="101"/>
      <c r="AF1120" s="101"/>
      <c r="AG1120" s="101"/>
      <c r="AH1120" s="101"/>
      <c r="AI1120" s="101"/>
    </row>
    <row r="1254" spans="3:35" ht="15" customHeight="1" x14ac:dyDescent="0.2">
      <c r="C1254" s="101"/>
      <c r="D1254" s="101"/>
      <c r="E1254" s="101"/>
      <c r="F1254" s="101"/>
      <c r="G1254" s="101"/>
      <c r="H1254" s="101"/>
      <c r="I1254" s="101"/>
      <c r="J1254" s="101"/>
      <c r="K1254" s="101"/>
      <c r="L1254" s="101"/>
      <c r="M1254" s="101"/>
      <c r="N1254" s="101"/>
      <c r="O1254" s="101"/>
      <c r="P1254" s="101"/>
      <c r="Q1254" s="101"/>
      <c r="R1254" s="101"/>
      <c r="S1254" s="101"/>
      <c r="T1254" s="101"/>
      <c r="U1254" s="101"/>
      <c r="V1254" s="101"/>
      <c r="W1254" s="101"/>
      <c r="X1254" s="101"/>
      <c r="Y1254" s="101"/>
      <c r="Z1254" s="101"/>
      <c r="AA1254" s="101"/>
      <c r="AB1254" s="101"/>
      <c r="AC1254" s="101"/>
      <c r="AD1254" s="101"/>
      <c r="AE1254" s="101"/>
      <c r="AF1254" s="101"/>
      <c r="AG1254" s="101"/>
      <c r="AH1254" s="101"/>
      <c r="AI1254" s="101"/>
    </row>
    <row r="1372" spans="3:35" ht="15" customHeight="1" x14ac:dyDescent="0.2">
      <c r="C1372" s="101"/>
      <c r="D1372" s="101"/>
      <c r="E1372" s="101"/>
      <c r="F1372" s="101"/>
      <c r="G1372" s="101"/>
      <c r="H1372" s="101"/>
      <c r="I1372" s="101"/>
      <c r="J1372" s="101"/>
      <c r="K1372" s="101"/>
      <c r="L1372" s="101"/>
      <c r="M1372" s="101"/>
      <c r="N1372" s="101"/>
      <c r="O1372" s="101"/>
      <c r="P1372" s="101"/>
      <c r="Q1372" s="101"/>
      <c r="R1372" s="101"/>
      <c r="S1372" s="101"/>
      <c r="T1372" s="101"/>
      <c r="U1372" s="101"/>
      <c r="V1372" s="101"/>
      <c r="W1372" s="101"/>
      <c r="X1372" s="101"/>
      <c r="Y1372" s="101"/>
      <c r="Z1372" s="101"/>
      <c r="AA1372" s="101"/>
      <c r="AB1372" s="101"/>
      <c r="AC1372" s="101"/>
      <c r="AD1372" s="101"/>
      <c r="AE1372" s="101"/>
      <c r="AF1372" s="101"/>
      <c r="AG1372" s="101"/>
      <c r="AH1372" s="101"/>
      <c r="AI1372" s="101"/>
    </row>
    <row r="1476" spans="3:35" ht="15" customHeight="1" x14ac:dyDescent="0.2">
      <c r="C1476" s="101"/>
      <c r="D1476" s="101"/>
      <c r="E1476" s="101"/>
      <c r="F1476" s="101"/>
      <c r="G1476" s="101"/>
      <c r="H1476" s="101"/>
      <c r="I1476" s="101"/>
      <c r="J1476" s="101"/>
      <c r="K1476" s="101"/>
      <c r="L1476" s="101"/>
      <c r="M1476" s="101"/>
      <c r="N1476" s="101"/>
      <c r="O1476" s="101"/>
      <c r="P1476" s="101"/>
      <c r="Q1476" s="101"/>
      <c r="R1476" s="101"/>
      <c r="S1476" s="101"/>
      <c r="T1476" s="101"/>
      <c r="U1476" s="101"/>
      <c r="V1476" s="101"/>
      <c r="W1476" s="101"/>
      <c r="X1476" s="101"/>
      <c r="Y1476" s="101"/>
      <c r="Z1476" s="101"/>
      <c r="AA1476" s="101"/>
      <c r="AB1476" s="101"/>
      <c r="AC1476" s="101"/>
      <c r="AD1476" s="101"/>
      <c r="AE1476" s="101"/>
      <c r="AF1476" s="101"/>
      <c r="AG1476" s="101"/>
      <c r="AH1476" s="101"/>
      <c r="AI1476" s="101"/>
    </row>
  </sheetData>
  <mergeCells count="16">
    <mergeCell ref="C1120:AI1120"/>
    <mergeCell ref="C1254:AI1254"/>
    <mergeCell ref="C1372:AI1372"/>
    <mergeCell ref="C1476:AI1476"/>
    <mergeCell ref="C643:AI643"/>
    <mergeCell ref="C719:AI719"/>
    <mergeCell ref="C810:AI810"/>
    <mergeCell ref="C888:AI888"/>
    <mergeCell ref="C973:AI973"/>
    <mergeCell ref="C1048:AI1048"/>
    <mergeCell ref="C551:AI551"/>
    <mergeCell ref="C62:AI62"/>
    <mergeCell ref="C147:AI147"/>
    <mergeCell ref="C283:AI283"/>
    <mergeCell ref="C368:AI368"/>
    <mergeCell ref="C500:AH500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A45E-E6AB-4E85-BAE2-97B4AFD42811}">
  <sheetPr>
    <tabColor rgb="FF92D050"/>
  </sheetPr>
  <dimension ref="A1:AK142"/>
  <sheetViews>
    <sheetView workbookViewId="0"/>
  </sheetViews>
  <sheetFormatPr defaultRowHeight="15" x14ac:dyDescent="0.25"/>
  <cols>
    <col min="1" max="1" width="15.5703125" customWidth="1"/>
    <col min="2" max="3" width="10.140625" customWidth="1"/>
    <col min="6" max="6" width="12.28515625" customWidth="1"/>
  </cols>
  <sheetData>
    <row r="1" spans="1:7" x14ac:dyDescent="0.25">
      <c r="A1" s="62" t="s">
        <v>655</v>
      </c>
      <c r="B1" s="63"/>
      <c r="C1" s="63"/>
      <c r="F1" s="67" t="s">
        <v>656</v>
      </c>
      <c r="G1" s="11"/>
    </row>
    <row r="2" spans="1:7" x14ac:dyDescent="0.25">
      <c r="B2" s="1" t="s">
        <v>654</v>
      </c>
    </row>
    <row r="3" spans="1:7" x14ac:dyDescent="0.25">
      <c r="B3" s="60" t="s">
        <v>652</v>
      </c>
      <c r="C3" s="60" t="s">
        <v>653</v>
      </c>
      <c r="G3" s="60" t="s">
        <v>659</v>
      </c>
    </row>
    <row r="4" spans="1:7" x14ac:dyDescent="0.25">
      <c r="A4" s="1" t="s">
        <v>3</v>
      </c>
      <c r="B4" s="61" cm="1">
        <f t="array" ref="B4">SUMPRODUCT(--('BLS Table 2.7'!$O:$O=$A4),'BLS Table 2.7'!K:K,'BLS Table 2.7'!M:M)/SUMIFS('BLS Table 2.7'!K:K,'BLS Table 2.7'!$O:$O,$A4)/100</f>
        <v>2.2000000000000002E-2</v>
      </c>
      <c r="C4" s="61" cm="1">
        <f t="array" ref="C4">SUMPRODUCT(--('BLS Table 2.7'!$O:$O=$A4),'BLS Table 2.7'!L:L,'BLS Table 2.7'!N:N)/SUMIFS('BLS Table 2.7'!L:L,'BLS Table 2.7'!$O:$O,$A4)/100</f>
        <v>1.8000000000000002E-2</v>
      </c>
      <c r="F4" s="1" t="s">
        <v>3</v>
      </c>
      <c r="G4" s="66">
        <f>IFERROR(INDEX('AEO22 Table 23'!$AI$22:$AI$58,MATCH($F4,'AEO22 Table 23'!$B$22:$B$58,0)),"")</f>
        <v>4.0000000000000001E-3</v>
      </c>
    </row>
    <row r="5" spans="1:7" x14ac:dyDescent="0.25">
      <c r="A5" s="1" t="s">
        <v>40</v>
      </c>
      <c r="B5" s="61" cm="1">
        <f t="array" ref="B5">SUMPRODUCT(--('BLS Table 2.7'!$O:$O=$A5),'BLS Table 2.7'!K:K,'BLS Table 2.7'!M:M)/SUMIFS('BLS Table 2.7'!K:K,'BLS Table 2.7'!$O:$O,$A5)/100</f>
        <v>-1.3000000000000001E-2</v>
      </c>
      <c r="C5" s="61" cm="1">
        <f t="array" ref="C5">SUMPRODUCT(--('BLS Table 2.7'!$O:$O=$A5),'BLS Table 2.7'!L:L,'BLS Table 2.7'!N:N)/SUMIFS('BLS Table 2.7'!L:L,'BLS Table 2.7'!$O:$O,$A5)/100</f>
        <v>-2E-3</v>
      </c>
      <c r="F5" s="1" t="s">
        <v>40</v>
      </c>
      <c r="G5" s="66" t="str">
        <f>IFERROR(INDEX('AEO22 Table 23'!$AI$22:$AI$58,MATCH($F5,'AEO22 Table 23'!$B$22:$B$58,0)),"")</f>
        <v/>
      </c>
    </row>
    <row r="6" spans="1:7" x14ac:dyDescent="0.25">
      <c r="A6" s="1" t="s">
        <v>41</v>
      </c>
      <c r="B6" s="61" cm="1">
        <f t="array" ref="B6">SUMPRODUCT(--('BLS Table 2.7'!$O:$O=$A6),'BLS Table 2.7'!K:K,'BLS Table 2.7'!M:M)/SUMIFS('BLS Table 2.7'!K:K,'BLS Table 2.7'!$O:$O,$A6)/100</f>
        <v>5.5E-2</v>
      </c>
      <c r="C6" s="61" cm="1">
        <f t="array" ref="C6">SUMPRODUCT(--('BLS Table 2.7'!$O:$O=$A6),'BLS Table 2.7'!L:L,'BLS Table 2.7'!N:N)/SUMIFS('BLS Table 2.7'!L:L,'BLS Table 2.7'!$O:$O,$A6)/100</f>
        <v>3.4000000000000002E-2</v>
      </c>
      <c r="F6" s="1" t="s">
        <v>41</v>
      </c>
      <c r="G6" s="66" t="str">
        <f>IFERROR(INDEX('AEO22 Table 23'!$AI$22:$AI$58,MATCH($F6,'AEO22 Table 23'!$B$22:$B$58,0)),"")</f>
        <v/>
      </c>
    </row>
    <row r="7" spans="1:7" x14ac:dyDescent="0.25">
      <c r="A7" s="1" t="s">
        <v>4</v>
      </c>
      <c r="B7" s="61" cm="1">
        <f t="array" ref="B7">SUMPRODUCT(--('BLS Table 2.7'!$O:$O=$A7),'BLS Table 2.7'!K:K,'BLS Table 2.7'!M:M)/SUMIFS('BLS Table 2.7'!K:K,'BLS Table 2.7'!$O:$O,$A7)/100</f>
        <v>-1.5439370078740158E-2</v>
      </c>
      <c r="C7" s="61" cm="1">
        <f t="array" ref="C7">SUMPRODUCT(--('BLS Table 2.7'!$O:$O=$A7),'BLS Table 2.7'!L:L,'BLS Table 2.7'!N:N)/SUMIFS('BLS Table 2.7'!L:L,'BLS Table 2.7'!$O:$O,$A7)/100</f>
        <v>1.0045584045584047E-2</v>
      </c>
      <c r="F7" s="1" t="s">
        <v>4</v>
      </c>
      <c r="G7" s="66" t="str">
        <f>IFERROR(INDEX('AEO22 Table 23'!$AI$22:$AI$58,MATCH($F7,'AEO22 Table 23'!$B$22:$B$58,0)),"")</f>
        <v/>
      </c>
    </row>
    <row r="8" spans="1:7" x14ac:dyDescent="0.25">
      <c r="A8" s="1" t="s">
        <v>5</v>
      </c>
      <c r="B8" s="61" cm="1">
        <f t="array" ref="B8">SUMPRODUCT(--('BLS Table 2.7'!$O:$O=$A8),'BLS Table 2.7'!K:K,'BLS Table 2.7'!M:M)/SUMIFS('BLS Table 2.7'!K:K,'BLS Table 2.7'!$O:$O,$A8)/100</f>
        <v>-1E-3</v>
      </c>
      <c r="C8" s="61" cm="1">
        <f t="array" ref="C8">SUMPRODUCT(--('BLS Table 2.7'!$O:$O=$A8),'BLS Table 2.7'!L:L,'BLS Table 2.7'!N:N)/SUMIFS('BLS Table 2.7'!L:L,'BLS Table 2.7'!$O:$O,$A8)/100</f>
        <v>2.8999999999999995E-2</v>
      </c>
      <c r="F8" s="1" t="s">
        <v>5</v>
      </c>
      <c r="G8" s="66" t="str">
        <f>IFERROR(INDEX('AEO22 Table 23'!$AI$22:$AI$58,MATCH($F8,'AEO22 Table 23'!$B$22:$B$58,0)),"")</f>
        <v/>
      </c>
    </row>
    <row r="9" spans="1:7" x14ac:dyDescent="0.25">
      <c r="A9" s="1" t="s">
        <v>6</v>
      </c>
      <c r="B9" s="61" cm="1">
        <f t="array" ref="B9">SUMPRODUCT(--('BLS Table 2.7'!$O:$O=$A9),'BLS Table 2.7'!K:K,'BLS Table 2.7'!M:M)/SUMIFS('BLS Table 2.7'!K:K,'BLS Table 2.7'!$O:$O,$A9)/100</f>
        <v>9.3064840918244077E-3</v>
      </c>
      <c r="C9" s="61" cm="1">
        <f t="array" ref="C9">SUMPRODUCT(--('BLS Table 2.7'!$O:$O=$A9),'BLS Table 2.7'!L:L,'BLS Table 2.7'!N:N)/SUMIFS('BLS Table 2.7'!L:L,'BLS Table 2.7'!$O:$O,$A9)/100</f>
        <v>1.558531298768857E-2</v>
      </c>
      <c r="F9" s="1" t="s">
        <v>6</v>
      </c>
      <c r="G9" s="66">
        <f>IFERROR(INDEX('AEO22 Table 23'!$AI$22:$AI$58,MATCH($F9,'AEO22 Table 23'!$B$22:$B$58,0)),"")</f>
        <v>5.0000000000000001E-3</v>
      </c>
    </row>
    <row r="10" spans="1:7" x14ac:dyDescent="0.25">
      <c r="A10" s="1" t="s">
        <v>7</v>
      </c>
      <c r="B10" s="61" cm="1">
        <f t="array" ref="B10">SUMPRODUCT(--('BLS Table 2.7'!$O:$O=$A10),'BLS Table 2.7'!K:K,'BLS Table 2.7'!M:M)/SUMIFS('BLS Table 2.7'!K:K,'BLS Table 2.7'!$O:$O,$A10)/100</f>
        <v>-5.2350486787204453E-3</v>
      </c>
      <c r="C10" s="61" cm="1">
        <f t="array" ref="C10">SUMPRODUCT(--('BLS Table 2.7'!$O:$O=$A10),'BLS Table 2.7'!L:L,'BLS Table 2.7'!N:N)/SUMIFS('BLS Table 2.7'!L:L,'BLS Table 2.7'!$O:$O,$A10)/100</f>
        <v>-2.1448863636363631E-3</v>
      </c>
      <c r="F10" s="1" t="s">
        <v>7</v>
      </c>
      <c r="G10" s="66">
        <f>IFERROR(INDEX('AEO22 Table 23'!$AI$22:$AI$58,MATCH($F10,'AEO22 Table 23'!$B$22:$B$58,0)),"")</f>
        <v>-3.0000000000000001E-3</v>
      </c>
    </row>
    <row r="11" spans="1:7" x14ac:dyDescent="0.25">
      <c r="A11" s="1" t="s">
        <v>8</v>
      </c>
      <c r="B11" s="61" cm="1">
        <f t="array" ref="B11">SUMPRODUCT(--('BLS Table 2.7'!$O:$O=$A11),'BLS Table 2.7'!K:K,'BLS Table 2.7'!M:M)/SUMIFS('BLS Table 2.7'!K:K,'BLS Table 2.7'!$O:$O,$A11)/100</f>
        <v>2.4E-2</v>
      </c>
      <c r="C11" s="61" cm="1">
        <f t="array" ref="C11">SUMPRODUCT(--('BLS Table 2.7'!$O:$O=$A11),'BLS Table 2.7'!L:L,'BLS Table 2.7'!N:N)/SUMIFS('BLS Table 2.7'!L:L,'BLS Table 2.7'!$O:$O,$A11)/100</f>
        <v>1.3999999999999999E-2</v>
      </c>
      <c r="F11" s="1" t="s">
        <v>8</v>
      </c>
      <c r="G11" s="66">
        <f>IFERROR(INDEX('AEO22 Table 23'!$AI$22:$AI$58,MATCH($F11,'AEO22 Table 23'!$B$22:$B$58,0)),"")</f>
        <v>-7.0000000000000001E-3</v>
      </c>
    </row>
    <row r="12" spans="1:7" x14ac:dyDescent="0.25">
      <c r="A12" s="1" t="s">
        <v>9</v>
      </c>
      <c r="B12" s="61" cm="1">
        <f t="array" ref="B12">SUMPRODUCT(--('BLS Table 2.7'!$O:$O=$A12),'BLS Table 2.7'!K:K,'BLS Table 2.7'!M:M)/SUMIFS('BLS Table 2.7'!K:K,'BLS Table 2.7'!$O:$O,$A12)/100</f>
        <v>3.9223972339608144E-4</v>
      </c>
      <c r="C12" s="61" cm="1">
        <f t="array" ref="C12">SUMPRODUCT(--('BLS Table 2.7'!$O:$O=$A12),'BLS Table 2.7'!L:L,'BLS Table 2.7'!N:N)/SUMIFS('BLS Table 2.7'!L:L,'BLS Table 2.7'!$O:$O,$A12)/100</f>
        <v>4.9882740930743859E-3</v>
      </c>
      <c r="F12" s="1" t="s">
        <v>9</v>
      </c>
      <c r="G12" s="66">
        <f>IFERROR(INDEX('AEO22 Table 23'!$AI$22:$AI$58,MATCH($F12,'AEO22 Table 23'!$B$22:$B$58,0)),"")</f>
        <v>-8.0000000000000002E-3</v>
      </c>
    </row>
    <row r="13" spans="1:7" x14ac:dyDescent="0.25">
      <c r="A13" s="1" t="s">
        <v>10</v>
      </c>
      <c r="B13" s="61" cm="1">
        <f t="array" ref="B13">SUMPRODUCT(--('BLS Table 2.7'!$O:$O=$A13),'BLS Table 2.7'!K:K,'BLS Table 2.7'!M:M)/SUMIFS('BLS Table 2.7'!K:K,'BLS Table 2.7'!$O:$O,$A13)/100</f>
        <v>6.9999999999999993E-3</v>
      </c>
      <c r="C13" s="61" cm="1">
        <f t="array" ref="C13">SUMPRODUCT(--('BLS Table 2.7'!$O:$O=$A13),'BLS Table 2.7'!L:L,'BLS Table 2.7'!N:N)/SUMIFS('BLS Table 2.7'!L:L,'BLS Table 2.7'!$O:$O,$A13)/100</f>
        <v>2.3E-2</v>
      </c>
      <c r="F13" s="1" t="s">
        <v>10</v>
      </c>
      <c r="G13" s="66">
        <f>IFERROR(INDEX('AEO22 Table 23'!$AI$22:$AI$58,MATCH($F13,'AEO22 Table 23'!$B$22:$B$58,0)),"")</f>
        <v>5.0000000000000001E-3</v>
      </c>
    </row>
    <row r="14" spans="1:7" x14ac:dyDescent="0.25">
      <c r="A14" s="1" t="s">
        <v>36</v>
      </c>
      <c r="B14" s="61" cm="1">
        <f t="array" ref="B14">SUMPRODUCT(--('BLS Table 2.7'!$O:$O=$A14),'BLS Table 2.7'!K:K,'BLS Table 2.7'!M:M)/SUMIFS('BLS Table 2.7'!K:K,'BLS Table 2.7'!$O:$O,$A14)/100</f>
        <v>2.2260186694325078E-2</v>
      </c>
      <c r="C14" s="61" cm="1">
        <f t="array" ref="C14">SUMPRODUCT(--('BLS Table 2.7'!$O:$O=$A14),'BLS Table 2.7'!L:L,'BLS Table 2.7'!N:N)/SUMIFS('BLS Table 2.7'!L:L,'BLS Table 2.7'!$O:$O,$A14)/100</f>
        <v>1.8352105718167228E-2</v>
      </c>
      <c r="F14" s="1" t="s">
        <v>36</v>
      </c>
      <c r="G14" s="66">
        <f>IFERROR(INDEX('AEO22 Table 23'!$AI$22:$AI$58,MATCH($F14,'AEO22 Table 23'!$B$22:$B$58,0)),"")</f>
        <v>8.9999999999999993E-3</v>
      </c>
    </row>
    <row r="15" spans="1:7" x14ac:dyDescent="0.25">
      <c r="A15" s="1" t="s">
        <v>37</v>
      </c>
      <c r="B15" s="61" cm="1">
        <f t="array" ref="B15">SUMPRODUCT(--('BLS Table 2.7'!$O:$O=$A15),'BLS Table 2.7'!K:K,'BLS Table 2.7'!M:M)/SUMIFS('BLS Table 2.7'!K:K,'BLS Table 2.7'!$O:$O,$A15)/100</f>
        <v>-4.0000000000000001E-3</v>
      </c>
      <c r="C15" s="61" cm="1">
        <f t="array" ref="C15">SUMPRODUCT(--('BLS Table 2.7'!$O:$O=$A15),'BLS Table 2.7'!L:L,'BLS Table 2.7'!N:N)/SUMIFS('BLS Table 2.7'!L:L,'BLS Table 2.7'!$O:$O,$A15)/100</f>
        <v>1.8000000000000002E-2</v>
      </c>
      <c r="F15" s="1" t="s">
        <v>37</v>
      </c>
      <c r="G15" s="66" t="str">
        <f>IFERROR(INDEX('AEO22 Table 23'!$AI$22:$AI$58,MATCH($F15,'AEO22 Table 23'!$B$22:$B$58,0)),"")</f>
        <v/>
      </c>
    </row>
    <row r="16" spans="1:7" x14ac:dyDescent="0.25">
      <c r="A16" s="1" t="s">
        <v>11</v>
      </c>
      <c r="B16" s="61" cm="1">
        <f t="array" ref="B16">SUMPRODUCT(--('BLS Table 2.7'!$O:$O=$A16),'BLS Table 2.7'!K:K,'BLS Table 2.7'!M:M)/SUMIFS('BLS Table 2.7'!K:K,'BLS Table 2.7'!$O:$O,$A16)/100</f>
        <v>1.8000000000000002E-2</v>
      </c>
      <c r="C16" s="61" cm="1">
        <f t="array" ref="C16">SUMPRODUCT(--('BLS Table 2.7'!$O:$O=$A16),'BLS Table 2.7'!L:L,'BLS Table 2.7'!N:N)/SUMIFS('BLS Table 2.7'!L:L,'BLS Table 2.7'!$O:$O,$A16)/100</f>
        <v>1.3999999999999999E-2</v>
      </c>
      <c r="F16" s="1" t="s">
        <v>11</v>
      </c>
      <c r="G16" s="66">
        <f>IFERROR(INDEX('AEO22 Table 23'!$AI$22:$AI$58,MATCH($F16,'AEO22 Table 23'!$B$22:$B$58,0)),"")</f>
        <v>1.2999999999999999E-2</v>
      </c>
    </row>
    <row r="17" spans="1:7" x14ac:dyDescent="0.25">
      <c r="A17" s="1" t="s">
        <v>42</v>
      </c>
      <c r="B17" s="61" cm="1">
        <f t="array" ref="B17">SUMPRODUCT(--('BLS Table 2.7'!$O:$O=$A17),'BLS Table 2.7'!K:K,'BLS Table 2.7'!M:M)/SUMIFS('BLS Table 2.7'!K:K,'BLS Table 2.7'!$O:$O,$A17)/100</f>
        <v>4.2999999999999997E-2</v>
      </c>
      <c r="C17" s="61" cm="1">
        <f t="array" ref="C17">SUMPRODUCT(--('BLS Table 2.7'!$O:$O=$A17),'BLS Table 2.7'!L:L,'BLS Table 2.7'!N:N)/SUMIFS('BLS Table 2.7'!L:L,'BLS Table 2.7'!$O:$O,$A17)/100</f>
        <v>1.8000000000000002E-2</v>
      </c>
      <c r="F17" s="1" t="s">
        <v>42</v>
      </c>
      <c r="G17" s="66">
        <f>IFERROR(INDEX('AEO22 Table 23'!$AI$22:$AI$58,MATCH($F17,'AEO22 Table 23'!$B$22:$B$58,0)),"")</f>
        <v>-8.9999999999999993E-3</v>
      </c>
    </row>
    <row r="18" spans="1:7" x14ac:dyDescent="0.25">
      <c r="A18" s="1" t="s">
        <v>43</v>
      </c>
      <c r="B18" s="61" cm="1">
        <f t="array" ref="B18">SUMPRODUCT(--('BLS Table 2.7'!$O:$O=$A18),'BLS Table 2.7'!K:K,'BLS Table 2.7'!M:M)/SUMIFS('BLS Table 2.7'!K:K,'BLS Table 2.7'!$O:$O,$A18)/100</f>
        <v>2.1116883116883117E-2</v>
      </c>
      <c r="C18" s="61" cm="1">
        <f t="array" ref="C18">SUMPRODUCT(--('BLS Table 2.7'!$O:$O=$A18),'BLS Table 2.7'!L:L,'BLS Table 2.7'!N:N)/SUMIFS('BLS Table 2.7'!L:L,'BLS Table 2.7'!$O:$O,$A18)/100</f>
        <v>1.4749766573295988E-2</v>
      </c>
      <c r="F18" s="1" t="s">
        <v>43</v>
      </c>
      <c r="G18" s="66">
        <f>IFERROR(INDEX('AEO22 Table 23'!$AI$22:$AI$58,MATCH($F18,'AEO22 Table 23'!$B$22:$B$58,0)),"")</f>
        <v>0.01</v>
      </c>
    </row>
    <row r="19" spans="1:7" x14ac:dyDescent="0.25">
      <c r="A19" s="1" t="s">
        <v>44</v>
      </c>
      <c r="B19" s="61" cm="1">
        <f t="array" ref="B19">SUMPRODUCT(--('BLS Table 2.7'!$O:$O=$A19),'BLS Table 2.7'!K:K,'BLS Table 2.7'!M:M)/SUMIFS('BLS Table 2.7'!K:K,'BLS Table 2.7'!$O:$O,$A19)/100</f>
        <v>1.8000000000000002E-2</v>
      </c>
      <c r="C19" s="61" cm="1">
        <f t="array" ref="C19">SUMPRODUCT(--('BLS Table 2.7'!$O:$O=$A19),'BLS Table 2.7'!L:L,'BLS Table 2.7'!N:N)/SUMIFS('BLS Table 2.7'!L:L,'BLS Table 2.7'!$O:$O,$A19)/100</f>
        <v>6.0000000000000001E-3</v>
      </c>
      <c r="F19" s="1" t="s">
        <v>44</v>
      </c>
      <c r="G19" s="66">
        <f>IFERROR(INDEX('AEO22 Table 23'!$AI$22:$AI$58,MATCH($F19,'AEO22 Table 23'!$B$22:$B$58,0)),"")</f>
        <v>-5.0000000000000001E-3</v>
      </c>
    </row>
    <row r="20" spans="1:7" x14ac:dyDescent="0.25">
      <c r="A20" s="1" t="s">
        <v>45</v>
      </c>
      <c r="B20" s="61" cm="1">
        <f t="array" ref="B20">SUMPRODUCT(--('BLS Table 2.7'!$O:$O=$A20),'BLS Table 2.7'!K:K,'BLS Table 2.7'!M:M)/SUMIFS('BLS Table 2.7'!K:K,'BLS Table 2.7'!$O:$O,$A20)/100</f>
        <v>1.9859275053304905E-2</v>
      </c>
      <c r="C20" s="61" cm="1">
        <f t="array" ref="C20">SUMPRODUCT(--('BLS Table 2.7'!$O:$O=$A20),'BLS Table 2.7'!L:L,'BLS Table 2.7'!N:N)/SUMIFS('BLS Table 2.7'!L:L,'BLS Table 2.7'!$O:$O,$A20)/100</f>
        <v>1.032686711930165E-2</v>
      </c>
      <c r="F20" s="1" t="s">
        <v>45</v>
      </c>
      <c r="G20" s="66">
        <f>IFERROR(INDEX('AEO22 Table 23'!$AI$22:$AI$58,MATCH($F20,'AEO22 Table 23'!$B$22:$B$58,0)),"")</f>
        <v>8.0000000000000002E-3</v>
      </c>
    </row>
    <row r="21" spans="1:7" x14ac:dyDescent="0.25">
      <c r="A21" s="1" t="s">
        <v>12</v>
      </c>
      <c r="B21" s="61" cm="1">
        <f t="array" ref="B21">SUMPRODUCT(--('BLS Table 2.7'!$O:$O=$A21),'BLS Table 2.7'!K:K,'BLS Table 2.7'!M:M)/SUMIFS('BLS Table 2.7'!K:K,'BLS Table 2.7'!$O:$O,$A21)/100</f>
        <v>2.7000000000000003E-2</v>
      </c>
      <c r="C21" s="61" cm="1">
        <f t="array" ref="C21">SUMPRODUCT(--('BLS Table 2.7'!$O:$O=$A21),'BLS Table 2.7'!L:L,'BLS Table 2.7'!N:N)/SUMIFS('BLS Table 2.7'!L:L,'BLS Table 2.7'!$O:$O,$A21)/100</f>
        <v>1.1000000000000001E-2</v>
      </c>
      <c r="F21" s="1" t="s">
        <v>12</v>
      </c>
      <c r="G21" s="66">
        <f>IFERROR(INDEX('AEO22 Table 23'!$AI$22:$AI$58,MATCH($F21,'AEO22 Table 23'!$B$22:$B$58,0)),"")</f>
        <v>6.0000000000000001E-3</v>
      </c>
    </row>
    <row r="22" spans="1:7" x14ac:dyDescent="0.25">
      <c r="A22" s="1" t="s">
        <v>13</v>
      </c>
      <c r="B22" s="61" cm="1">
        <f t="array" ref="B22">SUMPRODUCT(--('BLS Table 2.7'!$O:$O=$A22),'BLS Table 2.7'!K:K,'BLS Table 2.7'!M:M)/SUMIFS('BLS Table 2.7'!K:K,'BLS Table 2.7'!$O:$O,$A22)/100</f>
        <v>1.9E-2</v>
      </c>
      <c r="C22" s="61" cm="1">
        <f t="array" ref="C22">SUMPRODUCT(--('BLS Table 2.7'!$O:$O=$A22),'BLS Table 2.7'!L:L,'BLS Table 2.7'!N:N)/SUMIFS('BLS Table 2.7'!L:L,'BLS Table 2.7'!$O:$O,$A22)/100</f>
        <v>1.6E-2</v>
      </c>
      <c r="F22" s="1" t="s">
        <v>13</v>
      </c>
      <c r="G22" s="66">
        <f>IFERROR(INDEX('AEO22 Table 23'!$AI$22:$AI$58,MATCH($F22,'AEO22 Table 23'!$B$22:$B$58,0)),"")</f>
        <v>2.1999999999999999E-2</v>
      </c>
    </row>
    <row r="23" spans="1:7" x14ac:dyDescent="0.25">
      <c r="A23" s="1" t="s">
        <v>14</v>
      </c>
      <c r="B23" s="61" cm="1">
        <f t="array" ref="B23">SUMPRODUCT(--('BLS Table 2.7'!$O:$O=$A23),'BLS Table 2.7'!K:K,'BLS Table 2.7'!M:M)/SUMIFS('BLS Table 2.7'!K:K,'BLS Table 2.7'!$O:$O,$A23)/100</f>
        <v>2.3E-2</v>
      </c>
      <c r="C23" s="61" cm="1">
        <f t="array" ref="C23">SUMPRODUCT(--('BLS Table 2.7'!$O:$O=$A23),'BLS Table 2.7'!L:L,'BLS Table 2.7'!N:N)/SUMIFS('BLS Table 2.7'!L:L,'BLS Table 2.7'!$O:$O,$A23)/100</f>
        <v>0.01</v>
      </c>
      <c r="F23" s="1" t="s">
        <v>14</v>
      </c>
      <c r="G23" s="66">
        <f>IFERROR(INDEX('AEO22 Table 23'!$AI$22:$AI$58,MATCH($F23,'AEO22 Table 23'!$B$22:$B$58,0)),"")</f>
        <v>2.1000000000000001E-2</v>
      </c>
    </row>
    <row r="24" spans="1:7" x14ac:dyDescent="0.25">
      <c r="A24" s="1" t="s">
        <v>15</v>
      </c>
      <c r="B24" s="61" cm="1">
        <f t="array" ref="B24">SUMPRODUCT(--('BLS Table 2.7'!$O:$O=$A24),'BLS Table 2.7'!K:K,'BLS Table 2.7'!M:M)/SUMIFS('BLS Table 2.7'!K:K,'BLS Table 2.7'!$O:$O,$A24)/100</f>
        <v>2.5000000000000001E-2</v>
      </c>
      <c r="C24" s="61" cm="1">
        <f t="array" ref="C24">SUMPRODUCT(--('BLS Table 2.7'!$O:$O=$A24),'BLS Table 2.7'!L:L,'BLS Table 2.7'!N:N)/SUMIFS('BLS Table 2.7'!L:L,'BLS Table 2.7'!$O:$O,$A24)/100</f>
        <v>1.4999999999999998E-2</v>
      </c>
      <c r="F24" s="1" t="s">
        <v>15</v>
      </c>
      <c r="G24" s="66">
        <f>IFERROR(INDEX('AEO22 Table 23'!$AI$22:$AI$58,MATCH($F24,'AEO22 Table 23'!$B$22:$B$58,0)),"")</f>
        <v>1.2999999999999999E-2</v>
      </c>
    </row>
    <row r="25" spans="1:7" x14ac:dyDescent="0.25">
      <c r="A25" s="1" t="s">
        <v>16</v>
      </c>
      <c r="B25" s="61" cm="1">
        <f t="array" ref="B25">SUMPRODUCT(--('BLS Table 2.7'!$O:$O=$A25),'BLS Table 2.7'!K:K,'BLS Table 2.7'!M:M)/SUMIFS('BLS Table 2.7'!K:K,'BLS Table 2.7'!$O:$O,$A25)/100</f>
        <v>7.3700262322242166E-2</v>
      </c>
      <c r="C25" s="61" cm="1">
        <f t="array" ref="C25">SUMPRODUCT(--('BLS Table 2.7'!$O:$O=$A25),'BLS Table 2.7'!L:L,'BLS Table 2.7'!N:N)/SUMIFS('BLS Table 2.7'!L:L,'BLS Table 2.7'!$O:$O,$A25)/100</f>
        <v>1.8032437442075996E-2</v>
      </c>
      <c r="F25" s="1" t="s">
        <v>16</v>
      </c>
      <c r="G25" s="68">
        <f>'AEO22 Table 23'!$AI$56</f>
        <v>0.01</v>
      </c>
    </row>
    <row r="26" spans="1:7" x14ac:dyDescent="0.25">
      <c r="A26" s="1" t="s">
        <v>17</v>
      </c>
      <c r="B26" s="61" cm="1">
        <f t="array" ref="B26">SUMPRODUCT(--('BLS Table 2.7'!$O:$O=$A26),'BLS Table 2.7'!K:K,'BLS Table 2.7'!M:M)/SUMIFS('BLS Table 2.7'!K:K,'BLS Table 2.7'!$O:$O,$A26)/100</f>
        <v>1.789700374531835E-2</v>
      </c>
      <c r="C26" s="61" cm="1">
        <f t="array" ref="C26">SUMPRODUCT(--('BLS Table 2.7'!$O:$O=$A26),'BLS Table 2.7'!L:L,'BLS Table 2.7'!N:N)/SUMIFS('BLS Table 2.7'!L:L,'BLS Table 2.7'!$O:$O,$A26)/100</f>
        <v>1.9602006688963208E-2</v>
      </c>
      <c r="F26" s="1" t="s">
        <v>17</v>
      </c>
      <c r="G26" s="68">
        <f>'AEO22 Table 23'!$AI$56</f>
        <v>0.01</v>
      </c>
    </row>
    <row r="27" spans="1:7" x14ac:dyDescent="0.25">
      <c r="A27" s="1" t="s">
        <v>18</v>
      </c>
      <c r="B27" s="61" cm="1">
        <f t="array" ref="B27">SUMPRODUCT(--('BLS Table 2.7'!$O:$O=$A27),'BLS Table 2.7'!K:K,'BLS Table 2.7'!M:M)/SUMIFS('BLS Table 2.7'!K:K,'BLS Table 2.7'!$O:$O,$A27)/100</f>
        <v>6.1778413736713004E-3</v>
      </c>
      <c r="C27" s="61" cm="1">
        <f t="array" ref="C27">SUMPRODUCT(--('BLS Table 2.7'!$O:$O=$A27),'BLS Table 2.7'!L:L,'BLS Table 2.7'!N:N)/SUMIFS('BLS Table 2.7'!L:L,'BLS Table 2.7'!$O:$O,$A27)/100</f>
        <v>1.4107992895204265E-2</v>
      </c>
      <c r="F27" s="1" t="s">
        <v>18</v>
      </c>
      <c r="G27" s="66">
        <f>IFERROR(INDEX('AEO22 Table 23'!$AI$22:$AI$58,MATCH($F27,'AEO22 Table 23'!$B$22:$B$58,0)),"")</f>
        <v>8.9999999999999993E-3</v>
      </c>
    </row>
    <row r="28" spans="1:7" x14ac:dyDescent="0.25">
      <c r="A28" s="1" t="s">
        <v>46</v>
      </c>
      <c r="B28" s="61" cm="1">
        <f t="array" ref="B28">SUMPRODUCT(--('BLS Table 2.7'!$O:$O=$A28),'BLS Table 2.7'!K:K,'BLS Table 2.7'!M:M)/SUMIFS('BLS Table 2.7'!K:K,'BLS Table 2.7'!$O:$O,$A28)/100</f>
        <v>5.0000000000000001E-3</v>
      </c>
      <c r="C28" s="61" cm="1">
        <f t="array" ref="C28">SUMPRODUCT(--('BLS Table 2.7'!$O:$O=$A28),'BLS Table 2.7'!L:L,'BLS Table 2.7'!N:N)/SUMIFS('BLS Table 2.7'!L:L,'BLS Table 2.7'!$O:$O,$A28)/100</f>
        <v>1.7000000000000001E-2</v>
      </c>
      <c r="F28" s="1" t="s">
        <v>46</v>
      </c>
      <c r="G28" s="66" t="str">
        <f>IFERROR(INDEX('AEO22 Table 23'!$AI$22:$AI$58,MATCH($F28,'AEO22 Table 23'!$B$22:$B$58,0)),"")</f>
        <v/>
      </c>
    </row>
    <row r="29" spans="1:7" x14ac:dyDescent="0.25">
      <c r="A29" s="1" t="s">
        <v>47</v>
      </c>
      <c r="B29" s="61" cm="1">
        <f t="array" ref="B29">SUMPRODUCT(--('BLS Table 2.7'!$O:$O=$A29),'BLS Table 2.7'!K:K,'BLS Table 2.7'!M:M)/SUMIFS('BLS Table 2.7'!K:K,'BLS Table 2.7'!$O:$O,$A29)/100</f>
        <v>2E-3</v>
      </c>
      <c r="C29" s="61" cm="1">
        <f t="array" ref="C29">SUMPRODUCT(--('BLS Table 2.7'!$O:$O=$A29),'BLS Table 2.7'!L:L,'BLS Table 2.7'!N:N)/SUMIFS('BLS Table 2.7'!L:L,'BLS Table 2.7'!$O:$O,$A29)/100</f>
        <v>8.0000000000000002E-3</v>
      </c>
      <c r="F29" s="1" t="s">
        <v>47</v>
      </c>
      <c r="G29" s="66" t="str">
        <f>IFERROR(INDEX('AEO22 Table 23'!$AI$22:$AI$58,MATCH($F29,'AEO22 Table 23'!$B$22:$B$58,0)),"")</f>
        <v/>
      </c>
    </row>
    <row r="30" spans="1:7" x14ac:dyDescent="0.25">
      <c r="A30" s="1" t="s">
        <v>48</v>
      </c>
      <c r="B30" s="61" cm="1">
        <f t="array" ref="B30">SUMPRODUCT(--('BLS Table 2.7'!$O:$O=$A30),'BLS Table 2.7'!K:K,'BLS Table 2.7'!M:M)/SUMIFS('BLS Table 2.7'!K:K,'BLS Table 2.7'!$O:$O,$A30)/100</f>
        <v>1.465340909090909E-2</v>
      </c>
      <c r="C30" s="61" cm="1">
        <f t="array" ref="C30">SUMPRODUCT(--('BLS Table 2.7'!$O:$O=$A30),'BLS Table 2.7'!L:L,'BLS Table 2.7'!N:N)/SUMIFS('BLS Table 2.7'!L:L,'BLS Table 2.7'!$O:$O,$A30)/100</f>
        <v>1.6380645161290324E-2</v>
      </c>
      <c r="F30" s="1" t="s">
        <v>48</v>
      </c>
      <c r="G30" s="66" t="str">
        <f>IFERROR(INDEX('AEO22 Table 23'!$AI$22:$AI$58,MATCH($F30,'AEO22 Table 23'!$B$22:$B$58,0)),"")</f>
        <v/>
      </c>
    </row>
    <row r="31" spans="1:7" x14ac:dyDescent="0.25">
      <c r="A31" s="1" t="s">
        <v>19</v>
      </c>
      <c r="B31" s="61" cm="1">
        <f t="array" ref="B31">SUMPRODUCT(--('BLS Table 2.7'!$O:$O=$A31),'BLS Table 2.7'!K:K,'BLS Table 2.7'!M:M)/SUMIFS('BLS Table 2.7'!K:K,'BLS Table 2.7'!$O:$O,$A31)/100</f>
        <v>0.02</v>
      </c>
      <c r="C31" s="61" cm="1">
        <f t="array" ref="C31">SUMPRODUCT(--('BLS Table 2.7'!$O:$O=$A31),'BLS Table 2.7'!L:L,'BLS Table 2.7'!N:N)/SUMIFS('BLS Table 2.7'!L:L,'BLS Table 2.7'!$O:$O,$A31)/100</f>
        <v>1.3000000000000001E-2</v>
      </c>
      <c r="F31" s="1" t="s">
        <v>19</v>
      </c>
      <c r="G31" s="66">
        <f>IFERROR(INDEX('AEO22 Table 23'!$AI$22:$AI$58,MATCH($F31,'AEO22 Table 23'!$B$22:$B$58,0)),"")</f>
        <v>7.0000000000000001E-3</v>
      </c>
    </row>
    <row r="32" spans="1:7" x14ac:dyDescent="0.25">
      <c r="A32" s="1" t="s">
        <v>20</v>
      </c>
      <c r="B32" s="61" cm="1">
        <f t="array" ref="B32">SUMPRODUCT(--('BLS Table 2.7'!$O:$O=$A32),'BLS Table 2.7'!K:K,'BLS Table 2.7'!M:M)/SUMIFS('BLS Table 2.7'!K:K,'BLS Table 2.7'!$O:$O,$A32)/100</f>
        <v>4.1035167252340458E-2</v>
      </c>
      <c r="C32" s="61" cm="1">
        <f t="array" ref="C32">SUMPRODUCT(--('BLS Table 2.7'!$O:$O=$A32),'BLS Table 2.7'!L:L,'BLS Table 2.7'!N:N)/SUMIFS('BLS Table 2.7'!L:L,'BLS Table 2.7'!$O:$O,$A32)/100</f>
        <v>2.5021213389121336E-2</v>
      </c>
      <c r="F32" s="1" t="s">
        <v>20</v>
      </c>
      <c r="G32" s="66" t="str">
        <f>IFERROR(INDEX('AEO22 Table 23'!$AI$22:$AI$58,MATCH($F32,'AEO22 Table 23'!$B$22:$B$58,0)),"")</f>
        <v/>
      </c>
    </row>
    <row r="33" spans="1:7" x14ac:dyDescent="0.25">
      <c r="A33" s="1" t="s">
        <v>21</v>
      </c>
      <c r="B33" s="61" cm="1">
        <f t="array" ref="B33">SUMPRODUCT(--('BLS Table 2.7'!$O:$O=$A33),'BLS Table 2.7'!K:K,'BLS Table 2.7'!M:M)/SUMIFS('BLS Table 2.7'!K:K,'BLS Table 2.7'!$O:$O,$A33)/100</f>
        <v>1.8000000000000002E-2</v>
      </c>
      <c r="C33" s="61" cm="1">
        <f t="array" ref="C33">SUMPRODUCT(--('BLS Table 2.7'!$O:$O=$A33),'BLS Table 2.7'!L:L,'BLS Table 2.7'!N:N)/SUMIFS('BLS Table 2.7'!L:L,'BLS Table 2.7'!$O:$O,$A33)/100</f>
        <v>1.6E-2</v>
      </c>
      <c r="F33" s="1" t="s">
        <v>21</v>
      </c>
      <c r="G33" s="66" t="str">
        <f>IFERROR(INDEX('AEO22 Table 23'!$AI$22:$AI$58,MATCH($F33,'AEO22 Table 23'!$B$22:$B$58,0)),"")</f>
        <v/>
      </c>
    </row>
    <row r="34" spans="1:7" x14ac:dyDescent="0.25">
      <c r="A34" s="1" t="s">
        <v>22</v>
      </c>
      <c r="B34" s="61" cm="1">
        <f t="array" ref="B34">SUMPRODUCT(--('BLS Table 2.7'!$O:$O=$A34),'BLS Table 2.7'!K:K,'BLS Table 2.7'!M:M)/SUMIFS('BLS Table 2.7'!K:K,'BLS Table 2.7'!$O:$O,$A34)/100</f>
        <v>3.1E-2</v>
      </c>
      <c r="C34" s="61" cm="1">
        <f t="array" ref="C34">SUMPRODUCT(--('BLS Table 2.7'!$O:$O=$A34),'BLS Table 2.7'!L:L,'BLS Table 2.7'!N:N)/SUMIFS('BLS Table 2.7'!L:L,'BLS Table 2.7'!$O:$O,$A34)/100</f>
        <v>2.1000000000000001E-2</v>
      </c>
      <c r="F34" s="1" t="s">
        <v>22</v>
      </c>
      <c r="G34" s="66" t="str">
        <f>IFERROR(INDEX('AEO22 Table 23'!$AI$22:$AI$58,MATCH($F34,'AEO22 Table 23'!$B$22:$B$58,0)),"")</f>
        <v/>
      </c>
    </row>
    <row r="35" spans="1:7" x14ac:dyDescent="0.25">
      <c r="A35" s="1" t="s">
        <v>23</v>
      </c>
      <c r="B35" s="61" cm="1">
        <f t="array" ref="B35">SUMPRODUCT(--('BLS Table 2.7'!$O:$O=$A35),'BLS Table 2.7'!K:K,'BLS Table 2.7'!M:M)/SUMIFS('BLS Table 2.7'!K:K,'BLS Table 2.7'!$O:$O,$A35)/100</f>
        <v>2.2434706140993698E-2</v>
      </c>
      <c r="C35" s="61" cm="1">
        <f t="array" ref="C35">SUMPRODUCT(--('BLS Table 2.7'!$O:$O=$A35),'BLS Table 2.7'!L:L,'BLS Table 2.7'!N:N)/SUMIFS('BLS Table 2.7'!L:L,'BLS Table 2.7'!$O:$O,$A35)/100</f>
        <v>2.6399863914719889E-2</v>
      </c>
      <c r="F35" s="1" t="s">
        <v>23</v>
      </c>
      <c r="G35" s="66" t="str">
        <f>IFERROR(INDEX('AEO22 Table 23'!$AI$22:$AI$58,MATCH($F35,'AEO22 Table 23'!$B$22:$B$58,0)),"")</f>
        <v/>
      </c>
    </row>
    <row r="36" spans="1:7" x14ac:dyDescent="0.25">
      <c r="A36" s="1" t="s">
        <v>24</v>
      </c>
      <c r="B36" s="61" cm="1">
        <f t="array" ref="B36">SUMPRODUCT(--('BLS Table 2.7'!$O:$O=$A36),'BLS Table 2.7'!K:K,'BLS Table 2.7'!M:M)/SUMIFS('BLS Table 2.7'!K:K,'BLS Table 2.7'!$O:$O,$A36)/100</f>
        <v>3.6999999999999998E-2</v>
      </c>
      <c r="C36" s="61" cm="1">
        <f t="array" ref="C36">SUMPRODUCT(--('BLS Table 2.7'!$O:$O=$A36),'BLS Table 2.7'!L:L,'BLS Table 2.7'!N:N)/SUMIFS('BLS Table 2.7'!L:L,'BLS Table 2.7'!$O:$O,$A36)/100</f>
        <v>0.02</v>
      </c>
      <c r="F36" s="1" t="s">
        <v>24</v>
      </c>
      <c r="G36" s="66" t="str">
        <f>IFERROR(INDEX('AEO22 Table 23'!$AI$22:$AI$58,MATCH($F36,'AEO22 Table 23'!$B$22:$B$58,0)),"")</f>
        <v/>
      </c>
    </row>
    <row r="37" spans="1:7" x14ac:dyDescent="0.25">
      <c r="A37" s="1" t="s">
        <v>25</v>
      </c>
      <c r="B37" s="61" cm="1">
        <f t="array" ref="B37">SUMPRODUCT(--('BLS Table 2.7'!$O:$O=$A37),'BLS Table 2.7'!K:K,'BLS Table 2.7'!M:M)/SUMIFS('BLS Table 2.7'!K:K,'BLS Table 2.7'!$O:$O,$A37)/100</f>
        <v>0.13241387959866222</v>
      </c>
      <c r="C37" s="61" cm="1">
        <f t="array" ref="C37">SUMPRODUCT(--('BLS Table 2.7'!$O:$O=$A37),'BLS Table 2.7'!L:L,'BLS Table 2.7'!N:N)/SUMIFS('BLS Table 2.7'!L:L,'BLS Table 2.7'!$O:$O,$A37)/100</f>
        <v>3.7309863252836785E-2</v>
      </c>
      <c r="F37" s="1" t="s">
        <v>25</v>
      </c>
      <c r="G37" s="66" t="str">
        <f>IFERROR(INDEX('AEO22 Table 23'!$AI$22:$AI$58,MATCH($F37,'AEO22 Table 23'!$B$22:$B$58,0)),"")</f>
        <v/>
      </c>
    </row>
    <row r="38" spans="1:7" x14ac:dyDescent="0.25">
      <c r="A38" s="1" t="s">
        <v>26</v>
      </c>
      <c r="B38" s="61" cm="1">
        <f t="array" ref="B38">SUMPRODUCT(--('BLS Table 2.7'!$O:$O=$A38),'BLS Table 2.7'!K:K,'BLS Table 2.7'!M:M)/SUMIFS('BLS Table 2.7'!K:K,'BLS Table 2.7'!$O:$O,$A38)/100</f>
        <v>1.1000000000000001E-2</v>
      </c>
      <c r="C38" s="61" cm="1">
        <f t="array" ref="C38">SUMPRODUCT(--('BLS Table 2.7'!$O:$O=$A38),'BLS Table 2.7'!L:L,'BLS Table 2.7'!N:N)/SUMIFS('BLS Table 2.7'!L:L,'BLS Table 2.7'!$O:$O,$A38)/100</f>
        <v>1.3999999999999999E-2</v>
      </c>
      <c r="F38" s="1" t="s">
        <v>26</v>
      </c>
      <c r="G38" s="66" t="str">
        <f>IFERROR(INDEX('AEO22 Table 23'!$AI$22:$AI$58,MATCH($F38,'AEO22 Table 23'!$B$22:$B$58,0)),"")</f>
        <v/>
      </c>
    </row>
    <row r="39" spans="1:7" x14ac:dyDescent="0.25">
      <c r="A39" s="1" t="s">
        <v>27</v>
      </c>
      <c r="B39" s="61" cm="1">
        <f t="array" ref="B39">SUMPRODUCT(--('BLS Table 2.7'!$O:$O=$A39),'BLS Table 2.7'!K:K,'BLS Table 2.7'!M:M)/SUMIFS('BLS Table 2.7'!K:K,'BLS Table 2.7'!$O:$O,$A39)/100</f>
        <v>2.3E-2</v>
      </c>
      <c r="C39" s="61" cm="1">
        <f t="array" ref="C39">SUMPRODUCT(--('BLS Table 2.7'!$O:$O=$A39),'BLS Table 2.7'!L:L,'BLS Table 2.7'!N:N)/SUMIFS('BLS Table 2.7'!L:L,'BLS Table 2.7'!$O:$O,$A39)/100</f>
        <v>1.9E-2</v>
      </c>
      <c r="F39" s="1" t="s">
        <v>27</v>
      </c>
      <c r="G39" s="66" t="str">
        <f>IFERROR(INDEX('AEO22 Table 23'!$AI$22:$AI$58,MATCH($F39,'AEO22 Table 23'!$B$22:$B$58,0)),"")</f>
        <v/>
      </c>
    </row>
    <row r="40" spans="1:7" x14ac:dyDescent="0.25">
      <c r="A40" s="1" t="s">
        <v>28</v>
      </c>
      <c r="B40" s="61" cm="1">
        <f t="array" ref="B40">SUMPRODUCT(--('BLS Table 2.7'!$O:$O=$A40),'BLS Table 2.7'!K:K,'BLS Table 2.7'!M:M)/SUMIFS('BLS Table 2.7'!K:K,'BLS Table 2.7'!$O:$O,$A40)/100</f>
        <v>3.214028281817044E-2</v>
      </c>
      <c r="C40" s="61" cm="1">
        <f t="array" ref="C40">SUMPRODUCT(--('BLS Table 2.7'!$O:$O=$A40),'BLS Table 2.7'!L:L,'BLS Table 2.7'!N:N)/SUMIFS('BLS Table 2.7'!L:L,'BLS Table 2.7'!$O:$O,$A40)/100</f>
        <v>2.2553371629871297E-2</v>
      </c>
      <c r="F40" s="1" t="s">
        <v>28</v>
      </c>
      <c r="G40" s="66" t="str">
        <f>IFERROR(INDEX('AEO22 Table 23'!$AI$22:$AI$58,MATCH($F40,'AEO22 Table 23'!$B$22:$B$58,0)),"")</f>
        <v/>
      </c>
    </row>
    <row r="41" spans="1:7" x14ac:dyDescent="0.25">
      <c r="A41" s="1" t="s">
        <v>29</v>
      </c>
      <c r="B41" s="61" cm="1">
        <f t="array" ref="B41">SUMPRODUCT(--('BLS Table 2.7'!$O:$O=$A41),'BLS Table 2.7'!K:K,'BLS Table 2.7'!M:M)/SUMIFS('BLS Table 2.7'!K:K,'BLS Table 2.7'!$O:$O,$A41)/100</f>
        <v>3.8208631291911294E-3</v>
      </c>
      <c r="C41" s="61" cm="1">
        <f t="array" ref="C41">SUMPRODUCT(--('BLS Table 2.7'!$O:$O=$A41),'BLS Table 2.7'!L:L,'BLS Table 2.7'!N:N)/SUMIFS('BLS Table 2.7'!L:L,'BLS Table 2.7'!$O:$O,$A41)/100</f>
        <v>7.5478431778214549E-3</v>
      </c>
      <c r="F41" s="1" t="s">
        <v>29</v>
      </c>
      <c r="G41" s="66" t="str">
        <f>IFERROR(INDEX('AEO22 Table 23'!$AI$22:$AI$58,MATCH($F41,'AEO22 Table 23'!$B$22:$B$58,0)),"")</f>
        <v/>
      </c>
    </row>
    <row r="42" spans="1:7" x14ac:dyDescent="0.25">
      <c r="A42" s="1" t="s">
        <v>30</v>
      </c>
      <c r="B42" s="61" cm="1">
        <f t="array" ref="B42">SUMPRODUCT(--('BLS Table 2.7'!$O:$O=$A42),'BLS Table 2.7'!K:K,'BLS Table 2.7'!M:M)/SUMIFS('BLS Table 2.7'!K:K,'BLS Table 2.7'!$O:$O,$A42)/100</f>
        <v>0</v>
      </c>
      <c r="C42" s="61" cm="1">
        <f t="array" ref="C42">SUMPRODUCT(--('BLS Table 2.7'!$O:$O=$A42),'BLS Table 2.7'!L:L,'BLS Table 2.7'!N:N)/SUMIFS('BLS Table 2.7'!L:L,'BLS Table 2.7'!$O:$O,$A42)/100</f>
        <v>1.7000000000000001E-2</v>
      </c>
      <c r="F42" s="1" t="s">
        <v>30</v>
      </c>
      <c r="G42" s="66" t="str">
        <f>IFERROR(INDEX('AEO22 Table 23'!$AI$22:$AI$58,MATCH($F42,'AEO22 Table 23'!$B$22:$B$58,0)),"")</f>
        <v/>
      </c>
    </row>
    <row r="43" spans="1:7" x14ac:dyDescent="0.25">
      <c r="A43" s="1" t="s">
        <v>31</v>
      </c>
      <c r="B43" s="61" cm="1">
        <f t="array" ref="B43">SUMPRODUCT(--('BLS Table 2.7'!$O:$O=$A43),'BLS Table 2.7'!K:K,'BLS Table 2.7'!M:M)/SUMIFS('BLS Table 2.7'!K:K,'BLS Table 2.7'!$O:$O,$A43)/100</f>
        <v>2.7999999999999997E-2</v>
      </c>
      <c r="C43" s="61" cm="1">
        <f t="array" ref="C43">SUMPRODUCT(--('BLS Table 2.7'!$O:$O=$A43),'BLS Table 2.7'!L:L,'BLS Table 2.7'!N:N)/SUMIFS('BLS Table 2.7'!L:L,'BLS Table 2.7'!$O:$O,$A43)/100</f>
        <v>2.8999999999999998E-2</v>
      </c>
      <c r="F43" s="1" t="s">
        <v>31</v>
      </c>
      <c r="G43" s="66" t="str">
        <f>IFERROR(INDEX('AEO22 Table 23'!$AI$22:$AI$58,MATCH($F43,'AEO22 Table 23'!$B$22:$B$58,0)),"")</f>
        <v/>
      </c>
    </row>
    <row r="44" spans="1:7" x14ac:dyDescent="0.25">
      <c r="A44" s="1" t="s">
        <v>32</v>
      </c>
      <c r="B44" s="61" cm="1">
        <f t="array" ref="B44">SUMPRODUCT(--('BLS Table 2.7'!$O:$O=$A44),'BLS Table 2.7'!K:K,'BLS Table 2.7'!M:M)/SUMIFS('BLS Table 2.7'!K:K,'BLS Table 2.7'!$O:$O,$A44)/100</f>
        <v>2.4E-2</v>
      </c>
      <c r="C44" s="61" cm="1">
        <f t="array" ref="C44">SUMPRODUCT(--('BLS Table 2.7'!$O:$O=$A44),'BLS Table 2.7'!L:L,'BLS Table 2.7'!N:N)/SUMIFS('BLS Table 2.7'!L:L,'BLS Table 2.7'!$O:$O,$A44)/100</f>
        <v>2.2000000000000002E-2</v>
      </c>
      <c r="F44" s="1" t="s">
        <v>32</v>
      </c>
      <c r="G44" s="66" t="str">
        <f>IFERROR(INDEX('AEO22 Table 23'!$AI$22:$AI$58,MATCH($F44,'AEO22 Table 23'!$B$22:$B$58,0)),"")</f>
        <v/>
      </c>
    </row>
    <row r="45" spans="1:7" x14ac:dyDescent="0.25">
      <c r="A45" s="1" t="s">
        <v>33</v>
      </c>
      <c r="B45" s="61" cm="1">
        <f t="array" ref="B45">SUMPRODUCT(--('BLS Table 2.7'!$O:$O=$A45),'BLS Table 2.7'!K:K,'BLS Table 2.7'!M:M)/SUMIFS('BLS Table 2.7'!K:K,'BLS Table 2.7'!$O:$O,$A45)/100</f>
        <v>8.0000000000000002E-3</v>
      </c>
      <c r="C45" s="61" cm="1">
        <f t="array" ref="C45">SUMPRODUCT(--('BLS Table 2.7'!$O:$O=$A45),'BLS Table 2.7'!L:L,'BLS Table 2.7'!N:N)/SUMIFS('BLS Table 2.7'!L:L,'BLS Table 2.7'!$O:$O,$A45)/100</f>
        <v>1.7000000000000001E-2</v>
      </c>
      <c r="F45" s="1" t="s">
        <v>33</v>
      </c>
      <c r="G45" s="66" t="str">
        <f>IFERROR(INDEX('AEO22 Table 23'!$AI$22:$AI$58,MATCH($F45,'AEO22 Table 23'!$B$22:$B$58,0)),"")</f>
        <v/>
      </c>
    </row>
    <row r="48" spans="1:7" x14ac:dyDescent="0.25">
      <c r="A48" s="1" t="s">
        <v>660</v>
      </c>
    </row>
    <row r="49" spans="1:37" x14ac:dyDescent="0.25">
      <c r="A49" t="s">
        <v>664</v>
      </c>
    </row>
    <row r="50" spans="1:37" x14ac:dyDescent="0.25">
      <c r="A50" t="s">
        <v>662</v>
      </c>
    </row>
    <row r="51" spans="1:37" x14ac:dyDescent="0.25">
      <c r="A51" t="s">
        <v>663</v>
      </c>
    </row>
    <row r="52" spans="1:37" x14ac:dyDescent="0.25">
      <c r="A52" s="7" t="s">
        <v>661</v>
      </c>
    </row>
    <row r="53" spans="1:37" x14ac:dyDescent="0.25">
      <c r="A53" s="1"/>
    </row>
    <row r="54" spans="1:37" x14ac:dyDescent="0.25">
      <c r="B54" s="62">
        <v>2015</v>
      </c>
      <c r="C54" s="62">
        <v>2016</v>
      </c>
      <c r="D54" s="62">
        <v>2017</v>
      </c>
      <c r="E54" s="62">
        <v>2018</v>
      </c>
      <c r="F54" s="62">
        <v>2019</v>
      </c>
      <c r="G54" s="67">
        <v>2020</v>
      </c>
      <c r="H54" s="67">
        <v>2021</v>
      </c>
      <c r="I54" s="67">
        <v>2022</v>
      </c>
      <c r="J54" s="67">
        <v>2023</v>
      </c>
      <c r="K54" s="67">
        <v>2024</v>
      </c>
      <c r="L54" s="67">
        <v>2025</v>
      </c>
      <c r="M54" s="70">
        <v>2026</v>
      </c>
      <c r="N54" s="70">
        <v>2027</v>
      </c>
      <c r="O54" s="70">
        <v>2028</v>
      </c>
      <c r="P54" s="70">
        <v>2029</v>
      </c>
      <c r="Q54" s="70">
        <v>2030</v>
      </c>
      <c r="R54" s="70">
        <v>2031</v>
      </c>
      <c r="S54" s="70">
        <v>2032</v>
      </c>
      <c r="T54" s="70">
        <v>2033</v>
      </c>
      <c r="U54" s="70">
        <v>2034</v>
      </c>
      <c r="V54" s="70">
        <v>2035</v>
      </c>
      <c r="W54" s="70">
        <v>2036</v>
      </c>
      <c r="X54" s="70">
        <v>2037</v>
      </c>
      <c r="Y54" s="70">
        <v>2038</v>
      </c>
      <c r="Z54" s="70">
        <v>2039</v>
      </c>
      <c r="AA54" s="70">
        <v>2040</v>
      </c>
      <c r="AB54" s="70">
        <v>2041</v>
      </c>
      <c r="AC54" s="70">
        <v>2042</v>
      </c>
      <c r="AD54" s="70">
        <v>2043</v>
      </c>
      <c r="AE54" s="70">
        <v>2044</v>
      </c>
      <c r="AF54" s="70">
        <v>2045</v>
      </c>
      <c r="AG54" s="70">
        <v>2046</v>
      </c>
      <c r="AH54" s="70">
        <v>2047</v>
      </c>
      <c r="AI54" s="70">
        <v>2048</v>
      </c>
      <c r="AJ54" s="70">
        <v>2049</v>
      </c>
      <c r="AK54" s="70">
        <v>2050</v>
      </c>
    </row>
    <row r="55" spans="1:37" x14ac:dyDescent="0.25">
      <c r="A55" s="1" t="s">
        <v>3</v>
      </c>
      <c r="B55" s="69">
        <f>$B4</f>
        <v>2.2000000000000002E-2</v>
      </c>
      <c r="C55" s="69">
        <f t="shared" ref="C55:F55" si="0">$B4</f>
        <v>2.2000000000000002E-2</v>
      </c>
      <c r="D55" s="69">
        <f t="shared" si="0"/>
        <v>2.2000000000000002E-2</v>
      </c>
      <c r="E55" s="69">
        <f t="shared" si="0"/>
        <v>2.2000000000000002E-2</v>
      </c>
      <c r="F55" s="69">
        <f t="shared" si="0"/>
        <v>2.2000000000000002E-2</v>
      </c>
      <c r="G55" s="69">
        <f>$F55+($M55-$F55)*(G$54-$F$54)/($M$54-$F$54)</f>
        <v>1.942857142857143E-2</v>
      </c>
      <c r="H55" s="69">
        <f t="shared" ref="H55:L70" si="1">$F55+($M55-$F55)*(H$54-$F$54)/($M$54-$F$54)</f>
        <v>1.6857142857142859E-2</v>
      </c>
      <c r="I55" s="69">
        <f t="shared" si="1"/>
        <v>1.4285714285714287E-2</v>
      </c>
      <c r="J55" s="69">
        <f t="shared" si="1"/>
        <v>1.1714285714285715E-2</v>
      </c>
      <c r="K55" s="69">
        <f t="shared" si="1"/>
        <v>9.1428571428571435E-3</v>
      </c>
      <c r="L55" s="69">
        <f t="shared" si="1"/>
        <v>6.5714285714285718E-3</v>
      </c>
      <c r="M55" s="69">
        <f t="shared" ref="M55:N55" si="2">IF($G4="",$C4,$G4)</f>
        <v>4.0000000000000001E-3</v>
      </c>
      <c r="N55" s="69">
        <f t="shared" si="2"/>
        <v>4.0000000000000001E-3</v>
      </c>
      <c r="O55" s="69">
        <f t="shared" ref="O55:AK55" si="3">IF($G4="",$C4,$G4)</f>
        <v>4.0000000000000001E-3</v>
      </c>
      <c r="P55" s="69">
        <f t="shared" si="3"/>
        <v>4.0000000000000001E-3</v>
      </c>
      <c r="Q55" s="69">
        <f t="shared" si="3"/>
        <v>4.0000000000000001E-3</v>
      </c>
      <c r="R55" s="69">
        <f t="shared" si="3"/>
        <v>4.0000000000000001E-3</v>
      </c>
      <c r="S55" s="69">
        <f t="shared" si="3"/>
        <v>4.0000000000000001E-3</v>
      </c>
      <c r="T55" s="69">
        <f t="shared" si="3"/>
        <v>4.0000000000000001E-3</v>
      </c>
      <c r="U55" s="69">
        <f t="shared" si="3"/>
        <v>4.0000000000000001E-3</v>
      </c>
      <c r="V55" s="69">
        <f t="shared" si="3"/>
        <v>4.0000000000000001E-3</v>
      </c>
      <c r="W55" s="69">
        <f t="shared" si="3"/>
        <v>4.0000000000000001E-3</v>
      </c>
      <c r="X55" s="69">
        <f t="shared" si="3"/>
        <v>4.0000000000000001E-3</v>
      </c>
      <c r="Y55" s="69">
        <f t="shared" si="3"/>
        <v>4.0000000000000001E-3</v>
      </c>
      <c r="Z55" s="69">
        <f t="shared" si="3"/>
        <v>4.0000000000000001E-3</v>
      </c>
      <c r="AA55" s="69">
        <f t="shared" si="3"/>
        <v>4.0000000000000001E-3</v>
      </c>
      <c r="AB55" s="69">
        <f t="shared" si="3"/>
        <v>4.0000000000000001E-3</v>
      </c>
      <c r="AC55" s="69">
        <f t="shared" si="3"/>
        <v>4.0000000000000001E-3</v>
      </c>
      <c r="AD55" s="69">
        <f t="shared" si="3"/>
        <v>4.0000000000000001E-3</v>
      </c>
      <c r="AE55" s="69">
        <f t="shared" si="3"/>
        <v>4.0000000000000001E-3</v>
      </c>
      <c r="AF55" s="69">
        <f t="shared" si="3"/>
        <v>4.0000000000000001E-3</v>
      </c>
      <c r="AG55" s="69">
        <f t="shared" si="3"/>
        <v>4.0000000000000001E-3</v>
      </c>
      <c r="AH55" s="69">
        <f t="shared" si="3"/>
        <v>4.0000000000000001E-3</v>
      </c>
      <c r="AI55" s="69">
        <f t="shared" si="3"/>
        <v>4.0000000000000001E-3</v>
      </c>
      <c r="AJ55" s="69">
        <f t="shared" si="3"/>
        <v>4.0000000000000001E-3</v>
      </c>
      <c r="AK55" s="69">
        <f t="shared" si="3"/>
        <v>4.0000000000000001E-3</v>
      </c>
    </row>
    <row r="56" spans="1:37" x14ac:dyDescent="0.25">
      <c r="A56" s="1" t="s">
        <v>40</v>
      </c>
      <c r="B56" s="69">
        <f t="shared" ref="B56:F96" si="4">$B5</f>
        <v>-1.3000000000000001E-2</v>
      </c>
      <c r="C56" s="69">
        <f t="shared" si="4"/>
        <v>-1.3000000000000001E-2</v>
      </c>
      <c r="D56" s="69">
        <f t="shared" si="4"/>
        <v>-1.3000000000000001E-2</v>
      </c>
      <c r="E56" s="69">
        <f t="shared" si="4"/>
        <v>-1.3000000000000001E-2</v>
      </c>
      <c r="F56" s="69">
        <f t="shared" si="4"/>
        <v>-1.3000000000000001E-2</v>
      </c>
      <c r="G56" s="69">
        <f>$F56+($M56-$F56)*(G$54-$F$54)/($M$54-$F$54)</f>
        <v>-1.142857142857143E-2</v>
      </c>
      <c r="H56" s="69">
        <f t="shared" si="1"/>
        <v>-9.8571428571428577E-3</v>
      </c>
      <c r="I56" s="69">
        <f t="shared" si="1"/>
        <v>-8.2857142857142869E-3</v>
      </c>
      <c r="J56" s="69">
        <f t="shared" si="1"/>
        <v>-6.7142857142857152E-3</v>
      </c>
      <c r="K56" s="69">
        <f t="shared" si="1"/>
        <v>-5.1428571428571435E-3</v>
      </c>
      <c r="L56" s="69">
        <f t="shared" si="1"/>
        <v>-3.5714285714285726E-3</v>
      </c>
      <c r="M56" s="69">
        <f t="shared" ref="M56:M96" si="5">IF($G5="",$C5,$G5)</f>
        <v>-2E-3</v>
      </c>
      <c r="N56" s="69">
        <f t="shared" ref="N56:AK56" si="6">IF($G5="",$C5,$G5)</f>
        <v>-2E-3</v>
      </c>
      <c r="O56" s="69">
        <f t="shared" si="6"/>
        <v>-2E-3</v>
      </c>
      <c r="P56" s="69">
        <f t="shared" si="6"/>
        <v>-2E-3</v>
      </c>
      <c r="Q56" s="69">
        <f t="shared" si="6"/>
        <v>-2E-3</v>
      </c>
      <c r="R56" s="69">
        <f t="shared" si="6"/>
        <v>-2E-3</v>
      </c>
      <c r="S56" s="69">
        <f t="shared" si="6"/>
        <v>-2E-3</v>
      </c>
      <c r="T56" s="69">
        <f t="shared" si="6"/>
        <v>-2E-3</v>
      </c>
      <c r="U56" s="69">
        <f t="shared" si="6"/>
        <v>-2E-3</v>
      </c>
      <c r="V56" s="69">
        <f t="shared" si="6"/>
        <v>-2E-3</v>
      </c>
      <c r="W56" s="69">
        <f t="shared" si="6"/>
        <v>-2E-3</v>
      </c>
      <c r="X56" s="69">
        <f t="shared" si="6"/>
        <v>-2E-3</v>
      </c>
      <c r="Y56" s="69">
        <f t="shared" si="6"/>
        <v>-2E-3</v>
      </c>
      <c r="Z56" s="69">
        <f t="shared" si="6"/>
        <v>-2E-3</v>
      </c>
      <c r="AA56" s="69">
        <f t="shared" si="6"/>
        <v>-2E-3</v>
      </c>
      <c r="AB56" s="69">
        <f t="shared" si="6"/>
        <v>-2E-3</v>
      </c>
      <c r="AC56" s="69">
        <f t="shared" si="6"/>
        <v>-2E-3</v>
      </c>
      <c r="AD56" s="69">
        <f t="shared" si="6"/>
        <v>-2E-3</v>
      </c>
      <c r="AE56" s="69">
        <f t="shared" si="6"/>
        <v>-2E-3</v>
      </c>
      <c r="AF56" s="69">
        <f t="shared" si="6"/>
        <v>-2E-3</v>
      </c>
      <c r="AG56" s="69">
        <f t="shared" si="6"/>
        <v>-2E-3</v>
      </c>
      <c r="AH56" s="69">
        <f t="shared" si="6"/>
        <v>-2E-3</v>
      </c>
      <c r="AI56" s="69">
        <f t="shared" si="6"/>
        <v>-2E-3</v>
      </c>
      <c r="AJ56" s="69">
        <f t="shared" si="6"/>
        <v>-2E-3</v>
      </c>
      <c r="AK56" s="69">
        <f t="shared" si="6"/>
        <v>-2E-3</v>
      </c>
    </row>
    <row r="57" spans="1:37" x14ac:dyDescent="0.25">
      <c r="A57" s="1" t="s">
        <v>41</v>
      </c>
      <c r="B57" s="69">
        <f t="shared" si="4"/>
        <v>5.5E-2</v>
      </c>
      <c r="C57" s="69">
        <f t="shared" si="4"/>
        <v>5.5E-2</v>
      </c>
      <c r="D57" s="69">
        <f t="shared" si="4"/>
        <v>5.5E-2</v>
      </c>
      <c r="E57" s="69">
        <f t="shared" si="4"/>
        <v>5.5E-2</v>
      </c>
      <c r="F57" s="69">
        <f t="shared" si="4"/>
        <v>5.5E-2</v>
      </c>
      <c r="G57" s="69">
        <f t="shared" ref="G57:L96" si="7">$F57+($M57-$F57)*(G$54-$F$54)/($M$54-$F$54)</f>
        <v>5.1999999999999998E-2</v>
      </c>
      <c r="H57" s="69">
        <f t="shared" si="1"/>
        <v>4.9000000000000002E-2</v>
      </c>
      <c r="I57" s="69">
        <f t="shared" si="1"/>
        <v>4.5999999999999999E-2</v>
      </c>
      <c r="J57" s="69">
        <f t="shared" si="1"/>
        <v>4.3000000000000003E-2</v>
      </c>
      <c r="K57" s="69">
        <f t="shared" si="1"/>
        <v>0.04</v>
      </c>
      <c r="L57" s="69">
        <f t="shared" si="1"/>
        <v>3.7000000000000005E-2</v>
      </c>
      <c r="M57" s="69">
        <f t="shared" si="5"/>
        <v>3.4000000000000002E-2</v>
      </c>
      <c r="N57" s="69">
        <f t="shared" ref="N57:AK57" si="8">IF($G6="",$C6,$G6)</f>
        <v>3.4000000000000002E-2</v>
      </c>
      <c r="O57" s="69">
        <f t="shared" si="8"/>
        <v>3.4000000000000002E-2</v>
      </c>
      <c r="P57" s="69">
        <f t="shared" si="8"/>
        <v>3.4000000000000002E-2</v>
      </c>
      <c r="Q57" s="69">
        <f t="shared" si="8"/>
        <v>3.4000000000000002E-2</v>
      </c>
      <c r="R57" s="69">
        <f t="shared" si="8"/>
        <v>3.4000000000000002E-2</v>
      </c>
      <c r="S57" s="69">
        <f t="shared" si="8"/>
        <v>3.4000000000000002E-2</v>
      </c>
      <c r="T57" s="69">
        <f t="shared" si="8"/>
        <v>3.4000000000000002E-2</v>
      </c>
      <c r="U57" s="69">
        <f t="shared" si="8"/>
        <v>3.4000000000000002E-2</v>
      </c>
      <c r="V57" s="69">
        <f t="shared" si="8"/>
        <v>3.4000000000000002E-2</v>
      </c>
      <c r="W57" s="69">
        <f t="shared" si="8"/>
        <v>3.4000000000000002E-2</v>
      </c>
      <c r="X57" s="69">
        <f t="shared" si="8"/>
        <v>3.4000000000000002E-2</v>
      </c>
      <c r="Y57" s="69">
        <f t="shared" si="8"/>
        <v>3.4000000000000002E-2</v>
      </c>
      <c r="Z57" s="69">
        <f t="shared" si="8"/>
        <v>3.4000000000000002E-2</v>
      </c>
      <c r="AA57" s="69">
        <f t="shared" si="8"/>
        <v>3.4000000000000002E-2</v>
      </c>
      <c r="AB57" s="69">
        <f t="shared" si="8"/>
        <v>3.4000000000000002E-2</v>
      </c>
      <c r="AC57" s="69">
        <f t="shared" si="8"/>
        <v>3.4000000000000002E-2</v>
      </c>
      <c r="AD57" s="69">
        <f t="shared" si="8"/>
        <v>3.4000000000000002E-2</v>
      </c>
      <c r="AE57" s="69">
        <f t="shared" si="8"/>
        <v>3.4000000000000002E-2</v>
      </c>
      <c r="AF57" s="69">
        <f t="shared" si="8"/>
        <v>3.4000000000000002E-2</v>
      </c>
      <c r="AG57" s="69">
        <f t="shared" si="8"/>
        <v>3.4000000000000002E-2</v>
      </c>
      <c r="AH57" s="69">
        <f t="shared" si="8"/>
        <v>3.4000000000000002E-2</v>
      </c>
      <c r="AI57" s="69">
        <f t="shared" si="8"/>
        <v>3.4000000000000002E-2</v>
      </c>
      <c r="AJ57" s="69">
        <f t="shared" si="8"/>
        <v>3.4000000000000002E-2</v>
      </c>
      <c r="AK57" s="69">
        <f t="shared" si="8"/>
        <v>3.4000000000000002E-2</v>
      </c>
    </row>
    <row r="58" spans="1:37" x14ac:dyDescent="0.25">
      <c r="A58" s="1" t="s">
        <v>4</v>
      </c>
      <c r="B58" s="69">
        <f t="shared" si="4"/>
        <v>-1.5439370078740158E-2</v>
      </c>
      <c r="C58" s="69">
        <f t="shared" si="4"/>
        <v>-1.5439370078740158E-2</v>
      </c>
      <c r="D58" s="69">
        <f t="shared" si="4"/>
        <v>-1.5439370078740158E-2</v>
      </c>
      <c r="E58" s="69">
        <f t="shared" si="4"/>
        <v>-1.5439370078740158E-2</v>
      </c>
      <c r="F58" s="69">
        <f t="shared" si="4"/>
        <v>-1.5439370078740158E-2</v>
      </c>
      <c r="G58" s="69">
        <f t="shared" si="7"/>
        <v>-1.1798662346693842E-2</v>
      </c>
      <c r="H58" s="69">
        <f t="shared" si="1"/>
        <v>-8.1579546146475276E-3</v>
      </c>
      <c r="I58" s="69">
        <f t="shared" si="1"/>
        <v>-4.5172468826012134E-3</v>
      </c>
      <c r="J58" s="69">
        <f t="shared" si="1"/>
        <v>-8.7653915055489751E-4</v>
      </c>
      <c r="K58" s="69">
        <f t="shared" si="1"/>
        <v>2.7641685814914184E-3</v>
      </c>
      <c r="L58" s="69">
        <f t="shared" si="1"/>
        <v>6.4048763135377308E-3</v>
      </c>
      <c r="M58" s="69">
        <f t="shared" si="5"/>
        <v>1.0045584045584047E-2</v>
      </c>
      <c r="N58" s="69">
        <f t="shared" ref="N58:AK58" si="9">IF($G7="",$C7,$G7)</f>
        <v>1.0045584045584047E-2</v>
      </c>
      <c r="O58" s="69">
        <f t="shared" si="9"/>
        <v>1.0045584045584047E-2</v>
      </c>
      <c r="P58" s="69">
        <f t="shared" si="9"/>
        <v>1.0045584045584047E-2</v>
      </c>
      <c r="Q58" s="69">
        <f t="shared" si="9"/>
        <v>1.0045584045584047E-2</v>
      </c>
      <c r="R58" s="69">
        <f t="shared" si="9"/>
        <v>1.0045584045584047E-2</v>
      </c>
      <c r="S58" s="69">
        <f t="shared" si="9"/>
        <v>1.0045584045584047E-2</v>
      </c>
      <c r="T58" s="69">
        <f t="shared" si="9"/>
        <v>1.0045584045584047E-2</v>
      </c>
      <c r="U58" s="69">
        <f t="shared" si="9"/>
        <v>1.0045584045584047E-2</v>
      </c>
      <c r="V58" s="69">
        <f t="shared" si="9"/>
        <v>1.0045584045584047E-2</v>
      </c>
      <c r="W58" s="69">
        <f t="shared" si="9"/>
        <v>1.0045584045584047E-2</v>
      </c>
      <c r="X58" s="69">
        <f t="shared" si="9"/>
        <v>1.0045584045584047E-2</v>
      </c>
      <c r="Y58" s="69">
        <f t="shared" si="9"/>
        <v>1.0045584045584047E-2</v>
      </c>
      <c r="Z58" s="69">
        <f t="shared" si="9"/>
        <v>1.0045584045584047E-2</v>
      </c>
      <c r="AA58" s="69">
        <f t="shared" si="9"/>
        <v>1.0045584045584047E-2</v>
      </c>
      <c r="AB58" s="69">
        <f t="shared" si="9"/>
        <v>1.0045584045584047E-2</v>
      </c>
      <c r="AC58" s="69">
        <f t="shared" si="9"/>
        <v>1.0045584045584047E-2</v>
      </c>
      <c r="AD58" s="69">
        <f t="shared" si="9"/>
        <v>1.0045584045584047E-2</v>
      </c>
      <c r="AE58" s="69">
        <f t="shared" si="9"/>
        <v>1.0045584045584047E-2</v>
      </c>
      <c r="AF58" s="69">
        <f t="shared" si="9"/>
        <v>1.0045584045584047E-2</v>
      </c>
      <c r="AG58" s="69">
        <f t="shared" si="9"/>
        <v>1.0045584045584047E-2</v>
      </c>
      <c r="AH58" s="69">
        <f t="shared" si="9"/>
        <v>1.0045584045584047E-2</v>
      </c>
      <c r="AI58" s="69">
        <f t="shared" si="9"/>
        <v>1.0045584045584047E-2</v>
      </c>
      <c r="AJ58" s="69">
        <f t="shared" si="9"/>
        <v>1.0045584045584047E-2</v>
      </c>
      <c r="AK58" s="69">
        <f t="shared" si="9"/>
        <v>1.0045584045584047E-2</v>
      </c>
    </row>
    <row r="59" spans="1:37" x14ac:dyDescent="0.25">
      <c r="A59" s="1" t="s">
        <v>5</v>
      </c>
      <c r="B59" s="69">
        <f t="shared" si="4"/>
        <v>-1E-3</v>
      </c>
      <c r="C59" s="69">
        <f t="shared" si="4"/>
        <v>-1E-3</v>
      </c>
      <c r="D59" s="69">
        <f t="shared" si="4"/>
        <v>-1E-3</v>
      </c>
      <c r="E59" s="69">
        <f t="shared" si="4"/>
        <v>-1E-3</v>
      </c>
      <c r="F59" s="69">
        <f t="shared" si="4"/>
        <v>-1E-3</v>
      </c>
      <c r="G59" s="69">
        <f t="shared" si="7"/>
        <v>3.285714285714285E-3</v>
      </c>
      <c r="H59" s="69">
        <f t="shared" si="1"/>
        <v>7.5714285714285701E-3</v>
      </c>
      <c r="I59" s="69">
        <f t="shared" si="1"/>
        <v>1.1857142857142854E-2</v>
      </c>
      <c r="J59" s="69">
        <f t="shared" si="1"/>
        <v>1.6142857142857139E-2</v>
      </c>
      <c r="K59" s="69">
        <f t="shared" si="1"/>
        <v>2.0428571428571424E-2</v>
      </c>
      <c r="L59" s="69">
        <f t="shared" si="1"/>
        <v>2.4714285714285709E-2</v>
      </c>
      <c r="M59" s="69">
        <f t="shared" si="5"/>
        <v>2.8999999999999995E-2</v>
      </c>
      <c r="N59" s="69">
        <f t="shared" ref="N59:AK59" si="10">IF($G8="",$C8,$G8)</f>
        <v>2.8999999999999995E-2</v>
      </c>
      <c r="O59" s="69">
        <f t="shared" si="10"/>
        <v>2.8999999999999995E-2</v>
      </c>
      <c r="P59" s="69">
        <f t="shared" si="10"/>
        <v>2.8999999999999995E-2</v>
      </c>
      <c r="Q59" s="69">
        <f t="shared" si="10"/>
        <v>2.8999999999999995E-2</v>
      </c>
      <c r="R59" s="69">
        <f t="shared" si="10"/>
        <v>2.8999999999999995E-2</v>
      </c>
      <c r="S59" s="69">
        <f t="shared" si="10"/>
        <v>2.8999999999999995E-2</v>
      </c>
      <c r="T59" s="69">
        <f t="shared" si="10"/>
        <v>2.8999999999999995E-2</v>
      </c>
      <c r="U59" s="69">
        <f t="shared" si="10"/>
        <v>2.8999999999999995E-2</v>
      </c>
      <c r="V59" s="69">
        <f t="shared" si="10"/>
        <v>2.8999999999999995E-2</v>
      </c>
      <c r="W59" s="69">
        <f t="shared" si="10"/>
        <v>2.8999999999999995E-2</v>
      </c>
      <c r="X59" s="69">
        <f t="shared" si="10"/>
        <v>2.8999999999999995E-2</v>
      </c>
      <c r="Y59" s="69">
        <f t="shared" si="10"/>
        <v>2.8999999999999995E-2</v>
      </c>
      <c r="Z59" s="69">
        <f t="shared" si="10"/>
        <v>2.8999999999999995E-2</v>
      </c>
      <c r="AA59" s="69">
        <f t="shared" si="10"/>
        <v>2.8999999999999995E-2</v>
      </c>
      <c r="AB59" s="69">
        <f t="shared" si="10"/>
        <v>2.8999999999999995E-2</v>
      </c>
      <c r="AC59" s="69">
        <f t="shared" si="10"/>
        <v>2.8999999999999995E-2</v>
      </c>
      <c r="AD59" s="69">
        <f t="shared" si="10"/>
        <v>2.8999999999999995E-2</v>
      </c>
      <c r="AE59" s="69">
        <f t="shared" si="10"/>
        <v>2.8999999999999995E-2</v>
      </c>
      <c r="AF59" s="69">
        <f t="shared" si="10"/>
        <v>2.8999999999999995E-2</v>
      </c>
      <c r="AG59" s="69">
        <f t="shared" si="10"/>
        <v>2.8999999999999995E-2</v>
      </c>
      <c r="AH59" s="69">
        <f t="shared" si="10"/>
        <v>2.8999999999999995E-2</v>
      </c>
      <c r="AI59" s="69">
        <f t="shared" si="10"/>
        <v>2.8999999999999995E-2</v>
      </c>
      <c r="AJ59" s="69">
        <f t="shared" si="10"/>
        <v>2.8999999999999995E-2</v>
      </c>
      <c r="AK59" s="69">
        <f t="shared" si="10"/>
        <v>2.8999999999999995E-2</v>
      </c>
    </row>
    <row r="60" spans="1:37" x14ac:dyDescent="0.25">
      <c r="A60" s="1" t="s">
        <v>6</v>
      </c>
      <c r="B60" s="69">
        <f t="shared" si="4"/>
        <v>9.3064840918244077E-3</v>
      </c>
      <c r="C60" s="69">
        <f t="shared" si="4"/>
        <v>9.3064840918244077E-3</v>
      </c>
      <c r="D60" s="69">
        <f t="shared" si="4"/>
        <v>9.3064840918244077E-3</v>
      </c>
      <c r="E60" s="69">
        <f t="shared" si="4"/>
        <v>9.3064840918244077E-3</v>
      </c>
      <c r="F60" s="69">
        <f t="shared" si="4"/>
        <v>9.3064840918244077E-3</v>
      </c>
      <c r="G60" s="69">
        <f t="shared" si="7"/>
        <v>8.6912720787066348E-3</v>
      </c>
      <c r="H60" s="69">
        <f t="shared" si="1"/>
        <v>8.076060065588862E-3</v>
      </c>
      <c r="I60" s="69">
        <f t="shared" si="1"/>
        <v>7.4608480524710908E-3</v>
      </c>
      <c r="J60" s="69">
        <f t="shared" si="1"/>
        <v>6.8456360393533179E-3</v>
      </c>
      <c r="K60" s="69">
        <f t="shared" si="1"/>
        <v>6.230424026235545E-3</v>
      </c>
      <c r="L60" s="69">
        <f t="shared" si="1"/>
        <v>5.615212013117773E-3</v>
      </c>
      <c r="M60" s="69">
        <f t="shared" si="5"/>
        <v>5.0000000000000001E-3</v>
      </c>
      <c r="N60" s="69">
        <f t="shared" ref="N60:AK60" si="11">IF($G9="",$C9,$G9)</f>
        <v>5.0000000000000001E-3</v>
      </c>
      <c r="O60" s="69">
        <f t="shared" si="11"/>
        <v>5.0000000000000001E-3</v>
      </c>
      <c r="P60" s="69">
        <f t="shared" si="11"/>
        <v>5.0000000000000001E-3</v>
      </c>
      <c r="Q60" s="69">
        <f t="shared" si="11"/>
        <v>5.0000000000000001E-3</v>
      </c>
      <c r="R60" s="69">
        <f t="shared" si="11"/>
        <v>5.0000000000000001E-3</v>
      </c>
      <c r="S60" s="69">
        <f t="shared" si="11"/>
        <v>5.0000000000000001E-3</v>
      </c>
      <c r="T60" s="69">
        <f t="shared" si="11"/>
        <v>5.0000000000000001E-3</v>
      </c>
      <c r="U60" s="69">
        <f t="shared" si="11"/>
        <v>5.0000000000000001E-3</v>
      </c>
      <c r="V60" s="69">
        <f t="shared" si="11"/>
        <v>5.0000000000000001E-3</v>
      </c>
      <c r="W60" s="69">
        <f t="shared" si="11"/>
        <v>5.0000000000000001E-3</v>
      </c>
      <c r="X60" s="69">
        <f t="shared" si="11"/>
        <v>5.0000000000000001E-3</v>
      </c>
      <c r="Y60" s="69">
        <f t="shared" si="11"/>
        <v>5.0000000000000001E-3</v>
      </c>
      <c r="Z60" s="69">
        <f t="shared" si="11"/>
        <v>5.0000000000000001E-3</v>
      </c>
      <c r="AA60" s="69">
        <f t="shared" si="11"/>
        <v>5.0000000000000001E-3</v>
      </c>
      <c r="AB60" s="69">
        <f t="shared" si="11"/>
        <v>5.0000000000000001E-3</v>
      </c>
      <c r="AC60" s="69">
        <f t="shared" si="11"/>
        <v>5.0000000000000001E-3</v>
      </c>
      <c r="AD60" s="69">
        <f t="shared" si="11"/>
        <v>5.0000000000000001E-3</v>
      </c>
      <c r="AE60" s="69">
        <f t="shared" si="11"/>
        <v>5.0000000000000001E-3</v>
      </c>
      <c r="AF60" s="69">
        <f t="shared" si="11"/>
        <v>5.0000000000000001E-3</v>
      </c>
      <c r="AG60" s="69">
        <f t="shared" si="11"/>
        <v>5.0000000000000001E-3</v>
      </c>
      <c r="AH60" s="69">
        <f t="shared" si="11"/>
        <v>5.0000000000000001E-3</v>
      </c>
      <c r="AI60" s="69">
        <f t="shared" si="11"/>
        <v>5.0000000000000001E-3</v>
      </c>
      <c r="AJ60" s="69">
        <f t="shared" si="11"/>
        <v>5.0000000000000001E-3</v>
      </c>
      <c r="AK60" s="69">
        <f t="shared" si="11"/>
        <v>5.0000000000000001E-3</v>
      </c>
    </row>
    <row r="61" spans="1:37" x14ac:dyDescent="0.25">
      <c r="A61" s="1" t="s">
        <v>7</v>
      </c>
      <c r="B61" s="69">
        <f t="shared" si="4"/>
        <v>-5.2350486787204453E-3</v>
      </c>
      <c r="C61" s="69">
        <f t="shared" si="4"/>
        <v>-5.2350486787204453E-3</v>
      </c>
      <c r="D61" s="69">
        <f t="shared" si="4"/>
        <v>-5.2350486787204453E-3</v>
      </c>
      <c r="E61" s="69">
        <f t="shared" si="4"/>
        <v>-5.2350486787204453E-3</v>
      </c>
      <c r="F61" s="69">
        <f t="shared" si="4"/>
        <v>-5.2350486787204453E-3</v>
      </c>
      <c r="G61" s="69">
        <f t="shared" si="7"/>
        <v>-4.9157560103318104E-3</v>
      </c>
      <c r="H61" s="69">
        <f t="shared" si="1"/>
        <v>-4.5964633419431754E-3</v>
      </c>
      <c r="I61" s="69">
        <f t="shared" si="1"/>
        <v>-4.2771706735545405E-3</v>
      </c>
      <c r="J61" s="69">
        <f t="shared" si="1"/>
        <v>-3.9578780051659056E-3</v>
      </c>
      <c r="K61" s="69">
        <f t="shared" si="1"/>
        <v>-3.6385853367772703E-3</v>
      </c>
      <c r="L61" s="69">
        <f t="shared" si="1"/>
        <v>-3.319292668388635E-3</v>
      </c>
      <c r="M61" s="69">
        <f t="shared" si="5"/>
        <v>-3.0000000000000001E-3</v>
      </c>
      <c r="N61" s="69">
        <f t="shared" ref="N61:AK61" si="12">IF($G10="",$C10,$G10)</f>
        <v>-3.0000000000000001E-3</v>
      </c>
      <c r="O61" s="69">
        <f t="shared" si="12"/>
        <v>-3.0000000000000001E-3</v>
      </c>
      <c r="P61" s="69">
        <f t="shared" si="12"/>
        <v>-3.0000000000000001E-3</v>
      </c>
      <c r="Q61" s="69">
        <f t="shared" si="12"/>
        <v>-3.0000000000000001E-3</v>
      </c>
      <c r="R61" s="69">
        <f t="shared" si="12"/>
        <v>-3.0000000000000001E-3</v>
      </c>
      <c r="S61" s="69">
        <f t="shared" si="12"/>
        <v>-3.0000000000000001E-3</v>
      </c>
      <c r="T61" s="69">
        <f t="shared" si="12"/>
        <v>-3.0000000000000001E-3</v>
      </c>
      <c r="U61" s="69">
        <f t="shared" si="12"/>
        <v>-3.0000000000000001E-3</v>
      </c>
      <c r="V61" s="69">
        <f t="shared" si="12"/>
        <v>-3.0000000000000001E-3</v>
      </c>
      <c r="W61" s="69">
        <f t="shared" si="12"/>
        <v>-3.0000000000000001E-3</v>
      </c>
      <c r="X61" s="69">
        <f t="shared" si="12"/>
        <v>-3.0000000000000001E-3</v>
      </c>
      <c r="Y61" s="69">
        <f t="shared" si="12"/>
        <v>-3.0000000000000001E-3</v>
      </c>
      <c r="Z61" s="69">
        <f t="shared" si="12"/>
        <v>-3.0000000000000001E-3</v>
      </c>
      <c r="AA61" s="69">
        <f t="shared" si="12"/>
        <v>-3.0000000000000001E-3</v>
      </c>
      <c r="AB61" s="69">
        <f t="shared" si="12"/>
        <v>-3.0000000000000001E-3</v>
      </c>
      <c r="AC61" s="69">
        <f t="shared" si="12"/>
        <v>-3.0000000000000001E-3</v>
      </c>
      <c r="AD61" s="69">
        <f t="shared" si="12"/>
        <v>-3.0000000000000001E-3</v>
      </c>
      <c r="AE61" s="69">
        <f t="shared" si="12"/>
        <v>-3.0000000000000001E-3</v>
      </c>
      <c r="AF61" s="69">
        <f t="shared" si="12"/>
        <v>-3.0000000000000001E-3</v>
      </c>
      <c r="AG61" s="69">
        <f t="shared" si="12"/>
        <v>-3.0000000000000001E-3</v>
      </c>
      <c r="AH61" s="69">
        <f t="shared" si="12"/>
        <v>-3.0000000000000001E-3</v>
      </c>
      <c r="AI61" s="69">
        <f t="shared" si="12"/>
        <v>-3.0000000000000001E-3</v>
      </c>
      <c r="AJ61" s="69">
        <f t="shared" si="12"/>
        <v>-3.0000000000000001E-3</v>
      </c>
      <c r="AK61" s="69">
        <f t="shared" si="12"/>
        <v>-3.0000000000000001E-3</v>
      </c>
    </row>
    <row r="62" spans="1:37" x14ac:dyDescent="0.25">
      <c r="A62" s="1" t="s">
        <v>8</v>
      </c>
      <c r="B62" s="69">
        <f t="shared" si="4"/>
        <v>2.4E-2</v>
      </c>
      <c r="C62" s="69">
        <f t="shared" si="4"/>
        <v>2.4E-2</v>
      </c>
      <c r="D62" s="69">
        <f t="shared" si="4"/>
        <v>2.4E-2</v>
      </c>
      <c r="E62" s="69">
        <f t="shared" si="4"/>
        <v>2.4E-2</v>
      </c>
      <c r="F62" s="69">
        <f t="shared" si="4"/>
        <v>2.4E-2</v>
      </c>
      <c r="G62" s="69">
        <f t="shared" si="7"/>
        <v>1.9571428571428573E-2</v>
      </c>
      <c r="H62" s="69">
        <f t="shared" si="1"/>
        <v>1.5142857142857144E-2</v>
      </c>
      <c r="I62" s="69">
        <f t="shared" si="1"/>
        <v>1.0714285714285714E-2</v>
      </c>
      <c r="J62" s="69">
        <f t="shared" si="1"/>
        <v>6.2857142857142868E-3</v>
      </c>
      <c r="K62" s="69">
        <f t="shared" si="1"/>
        <v>1.8571428571428593E-3</v>
      </c>
      <c r="L62" s="69">
        <f t="shared" si="1"/>
        <v>-2.5714285714285717E-3</v>
      </c>
      <c r="M62" s="69">
        <f t="shared" si="5"/>
        <v>-7.0000000000000001E-3</v>
      </c>
      <c r="N62" s="69">
        <f t="shared" ref="N62:AK62" si="13">IF($G11="",$C11,$G11)</f>
        <v>-7.0000000000000001E-3</v>
      </c>
      <c r="O62" s="69">
        <f t="shared" si="13"/>
        <v>-7.0000000000000001E-3</v>
      </c>
      <c r="P62" s="69">
        <f t="shared" si="13"/>
        <v>-7.0000000000000001E-3</v>
      </c>
      <c r="Q62" s="69">
        <f t="shared" si="13"/>
        <v>-7.0000000000000001E-3</v>
      </c>
      <c r="R62" s="69">
        <f t="shared" si="13"/>
        <v>-7.0000000000000001E-3</v>
      </c>
      <c r="S62" s="69">
        <f t="shared" si="13"/>
        <v>-7.0000000000000001E-3</v>
      </c>
      <c r="T62" s="69">
        <f t="shared" si="13"/>
        <v>-7.0000000000000001E-3</v>
      </c>
      <c r="U62" s="69">
        <f t="shared" si="13"/>
        <v>-7.0000000000000001E-3</v>
      </c>
      <c r="V62" s="69">
        <f t="shared" si="13"/>
        <v>-7.0000000000000001E-3</v>
      </c>
      <c r="W62" s="69">
        <f t="shared" si="13"/>
        <v>-7.0000000000000001E-3</v>
      </c>
      <c r="X62" s="69">
        <f t="shared" si="13"/>
        <v>-7.0000000000000001E-3</v>
      </c>
      <c r="Y62" s="69">
        <f t="shared" si="13"/>
        <v>-7.0000000000000001E-3</v>
      </c>
      <c r="Z62" s="69">
        <f t="shared" si="13"/>
        <v>-7.0000000000000001E-3</v>
      </c>
      <c r="AA62" s="69">
        <f t="shared" si="13"/>
        <v>-7.0000000000000001E-3</v>
      </c>
      <c r="AB62" s="69">
        <f t="shared" si="13"/>
        <v>-7.0000000000000001E-3</v>
      </c>
      <c r="AC62" s="69">
        <f t="shared" si="13"/>
        <v>-7.0000000000000001E-3</v>
      </c>
      <c r="AD62" s="69">
        <f t="shared" si="13"/>
        <v>-7.0000000000000001E-3</v>
      </c>
      <c r="AE62" s="69">
        <f t="shared" si="13"/>
        <v>-7.0000000000000001E-3</v>
      </c>
      <c r="AF62" s="69">
        <f t="shared" si="13"/>
        <v>-7.0000000000000001E-3</v>
      </c>
      <c r="AG62" s="69">
        <f t="shared" si="13"/>
        <v>-7.0000000000000001E-3</v>
      </c>
      <c r="AH62" s="69">
        <f t="shared" si="13"/>
        <v>-7.0000000000000001E-3</v>
      </c>
      <c r="AI62" s="69">
        <f t="shared" si="13"/>
        <v>-7.0000000000000001E-3</v>
      </c>
      <c r="AJ62" s="69">
        <f t="shared" si="13"/>
        <v>-7.0000000000000001E-3</v>
      </c>
      <c r="AK62" s="69">
        <f t="shared" si="13"/>
        <v>-7.0000000000000001E-3</v>
      </c>
    </row>
    <row r="63" spans="1:37" x14ac:dyDescent="0.25">
      <c r="A63" s="1" t="s">
        <v>9</v>
      </c>
      <c r="B63" s="69">
        <f t="shared" si="4"/>
        <v>3.9223972339608144E-4</v>
      </c>
      <c r="C63" s="69">
        <f t="shared" si="4"/>
        <v>3.9223972339608144E-4</v>
      </c>
      <c r="D63" s="69">
        <f t="shared" si="4"/>
        <v>3.9223972339608144E-4</v>
      </c>
      <c r="E63" s="69">
        <f t="shared" si="4"/>
        <v>3.9223972339608144E-4</v>
      </c>
      <c r="F63" s="69">
        <f t="shared" si="4"/>
        <v>3.9223972339608144E-4</v>
      </c>
      <c r="G63" s="69">
        <f t="shared" si="7"/>
        <v>-8.0665166566050157E-4</v>
      </c>
      <c r="H63" s="69">
        <f t="shared" si="1"/>
        <v>-2.0055430547170849E-3</v>
      </c>
      <c r="I63" s="69">
        <f t="shared" si="1"/>
        <v>-3.2044344437736679E-3</v>
      </c>
      <c r="J63" s="69">
        <f t="shared" si="1"/>
        <v>-4.4033258328302505E-3</v>
      </c>
      <c r="K63" s="69">
        <f t="shared" si="1"/>
        <v>-5.602217221886834E-3</v>
      </c>
      <c r="L63" s="69">
        <f t="shared" si="1"/>
        <v>-6.8011086109434167E-3</v>
      </c>
      <c r="M63" s="69">
        <f t="shared" si="5"/>
        <v>-8.0000000000000002E-3</v>
      </c>
      <c r="N63" s="69">
        <f t="shared" ref="N63:AK63" si="14">IF($G12="",$C12,$G12)</f>
        <v>-8.0000000000000002E-3</v>
      </c>
      <c r="O63" s="69">
        <f t="shared" si="14"/>
        <v>-8.0000000000000002E-3</v>
      </c>
      <c r="P63" s="69">
        <f t="shared" si="14"/>
        <v>-8.0000000000000002E-3</v>
      </c>
      <c r="Q63" s="69">
        <f t="shared" si="14"/>
        <v>-8.0000000000000002E-3</v>
      </c>
      <c r="R63" s="69">
        <f t="shared" si="14"/>
        <v>-8.0000000000000002E-3</v>
      </c>
      <c r="S63" s="69">
        <f t="shared" si="14"/>
        <v>-8.0000000000000002E-3</v>
      </c>
      <c r="T63" s="69">
        <f t="shared" si="14"/>
        <v>-8.0000000000000002E-3</v>
      </c>
      <c r="U63" s="69">
        <f t="shared" si="14"/>
        <v>-8.0000000000000002E-3</v>
      </c>
      <c r="V63" s="69">
        <f t="shared" si="14"/>
        <v>-8.0000000000000002E-3</v>
      </c>
      <c r="W63" s="69">
        <f t="shared" si="14"/>
        <v>-8.0000000000000002E-3</v>
      </c>
      <c r="X63" s="69">
        <f t="shared" si="14"/>
        <v>-8.0000000000000002E-3</v>
      </c>
      <c r="Y63" s="69">
        <f t="shared" si="14"/>
        <v>-8.0000000000000002E-3</v>
      </c>
      <c r="Z63" s="69">
        <f t="shared" si="14"/>
        <v>-8.0000000000000002E-3</v>
      </c>
      <c r="AA63" s="69">
        <f t="shared" si="14"/>
        <v>-8.0000000000000002E-3</v>
      </c>
      <c r="AB63" s="69">
        <f t="shared" si="14"/>
        <v>-8.0000000000000002E-3</v>
      </c>
      <c r="AC63" s="69">
        <f t="shared" si="14"/>
        <v>-8.0000000000000002E-3</v>
      </c>
      <c r="AD63" s="69">
        <f t="shared" si="14"/>
        <v>-8.0000000000000002E-3</v>
      </c>
      <c r="AE63" s="69">
        <f t="shared" si="14"/>
        <v>-8.0000000000000002E-3</v>
      </c>
      <c r="AF63" s="69">
        <f t="shared" si="14"/>
        <v>-8.0000000000000002E-3</v>
      </c>
      <c r="AG63" s="69">
        <f t="shared" si="14"/>
        <v>-8.0000000000000002E-3</v>
      </c>
      <c r="AH63" s="69">
        <f t="shared" si="14"/>
        <v>-8.0000000000000002E-3</v>
      </c>
      <c r="AI63" s="69">
        <f t="shared" si="14"/>
        <v>-8.0000000000000002E-3</v>
      </c>
      <c r="AJ63" s="69">
        <f t="shared" si="14"/>
        <v>-8.0000000000000002E-3</v>
      </c>
      <c r="AK63" s="69">
        <f t="shared" si="14"/>
        <v>-8.0000000000000002E-3</v>
      </c>
    </row>
    <row r="64" spans="1:37" x14ac:dyDescent="0.25">
      <c r="A64" s="1" t="s">
        <v>10</v>
      </c>
      <c r="B64" s="69">
        <f t="shared" si="4"/>
        <v>6.9999999999999993E-3</v>
      </c>
      <c r="C64" s="69">
        <f t="shared" si="4"/>
        <v>6.9999999999999993E-3</v>
      </c>
      <c r="D64" s="69">
        <f t="shared" si="4"/>
        <v>6.9999999999999993E-3</v>
      </c>
      <c r="E64" s="69">
        <f t="shared" si="4"/>
        <v>6.9999999999999993E-3</v>
      </c>
      <c r="F64" s="69">
        <f t="shared" si="4"/>
        <v>6.9999999999999993E-3</v>
      </c>
      <c r="G64" s="69">
        <f t="shared" si="7"/>
        <v>6.7142857142857134E-3</v>
      </c>
      <c r="H64" s="69">
        <f t="shared" si="1"/>
        <v>6.4285714285714285E-3</v>
      </c>
      <c r="I64" s="69">
        <f t="shared" si="1"/>
        <v>6.1428571428571426E-3</v>
      </c>
      <c r="J64" s="69">
        <f t="shared" si="1"/>
        <v>5.8571428571428568E-3</v>
      </c>
      <c r="K64" s="69">
        <f t="shared" si="1"/>
        <v>5.5714285714285709E-3</v>
      </c>
      <c r="L64" s="69">
        <f t="shared" si="1"/>
        <v>5.2857142857142859E-3</v>
      </c>
      <c r="M64" s="69">
        <f t="shared" si="5"/>
        <v>5.0000000000000001E-3</v>
      </c>
      <c r="N64" s="69">
        <f t="shared" ref="N64:AK64" si="15">IF($G13="",$C13,$G13)</f>
        <v>5.0000000000000001E-3</v>
      </c>
      <c r="O64" s="69">
        <f t="shared" si="15"/>
        <v>5.0000000000000001E-3</v>
      </c>
      <c r="P64" s="69">
        <f t="shared" si="15"/>
        <v>5.0000000000000001E-3</v>
      </c>
      <c r="Q64" s="69">
        <f t="shared" si="15"/>
        <v>5.0000000000000001E-3</v>
      </c>
      <c r="R64" s="69">
        <f t="shared" si="15"/>
        <v>5.0000000000000001E-3</v>
      </c>
      <c r="S64" s="69">
        <f t="shared" si="15"/>
        <v>5.0000000000000001E-3</v>
      </c>
      <c r="T64" s="69">
        <f t="shared" si="15"/>
        <v>5.0000000000000001E-3</v>
      </c>
      <c r="U64" s="69">
        <f t="shared" si="15"/>
        <v>5.0000000000000001E-3</v>
      </c>
      <c r="V64" s="69">
        <f t="shared" si="15"/>
        <v>5.0000000000000001E-3</v>
      </c>
      <c r="W64" s="69">
        <f t="shared" si="15"/>
        <v>5.0000000000000001E-3</v>
      </c>
      <c r="X64" s="69">
        <f t="shared" si="15"/>
        <v>5.0000000000000001E-3</v>
      </c>
      <c r="Y64" s="69">
        <f t="shared" si="15"/>
        <v>5.0000000000000001E-3</v>
      </c>
      <c r="Z64" s="69">
        <f t="shared" si="15"/>
        <v>5.0000000000000001E-3</v>
      </c>
      <c r="AA64" s="69">
        <f t="shared" si="15"/>
        <v>5.0000000000000001E-3</v>
      </c>
      <c r="AB64" s="69">
        <f t="shared" si="15"/>
        <v>5.0000000000000001E-3</v>
      </c>
      <c r="AC64" s="69">
        <f t="shared" si="15"/>
        <v>5.0000000000000001E-3</v>
      </c>
      <c r="AD64" s="69">
        <f t="shared" si="15"/>
        <v>5.0000000000000001E-3</v>
      </c>
      <c r="AE64" s="69">
        <f t="shared" si="15"/>
        <v>5.0000000000000001E-3</v>
      </c>
      <c r="AF64" s="69">
        <f t="shared" si="15"/>
        <v>5.0000000000000001E-3</v>
      </c>
      <c r="AG64" s="69">
        <f t="shared" si="15"/>
        <v>5.0000000000000001E-3</v>
      </c>
      <c r="AH64" s="69">
        <f t="shared" si="15"/>
        <v>5.0000000000000001E-3</v>
      </c>
      <c r="AI64" s="69">
        <f t="shared" si="15"/>
        <v>5.0000000000000001E-3</v>
      </c>
      <c r="AJ64" s="69">
        <f t="shared" si="15"/>
        <v>5.0000000000000001E-3</v>
      </c>
      <c r="AK64" s="69">
        <f t="shared" si="15"/>
        <v>5.0000000000000001E-3</v>
      </c>
    </row>
    <row r="65" spans="1:37" x14ac:dyDescent="0.25">
      <c r="A65" s="1" t="s">
        <v>36</v>
      </c>
      <c r="B65" s="69">
        <f t="shared" si="4"/>
        <v>2.2260186694325078E-2</v>
      </c>
      <c r="C65" s="69">
        <f t="shared" si="4"/>
        <v>2.2260186694325078E-2</v>
      </c>
      <c r="D65" s="69">
        <f t="shared" si="4"/>
        <v>2.2260186694325078E-2</v>
      </c>
      <c r="E65" s="69">
        <f t="shared" si="4"/>
        <v>2.2260186694325078E-2</v>
      </c>
      <c r="F65" s="69">
        <f t="shared" si="4"/>
        <v>2.2260186694325078E-2</v>
      </c>
      <c r="G65" s="69">
        <f t="shared" si="7"/>
        <v>2.0365874309421494E-2</v>
      </c>
      <c r="H65" s="69">
        <f t="shared" si="1"/>
        <v>1.8471561924517911E-2</v>
      </c>
      <c r="I65" s="69">
        <f t="shared" si="1"/>
        <v>1.6577249539614328E-2</v>
      </c>
      <c r="J65" s="69">
        <f t="shared" si="1"/>
        <v>1.4682937154710748E-2</v>
      </c>
      <c r="K65" s="69">
        <f t="shared" si="1"/>
        <v>1.2788624769807164E-2</v>
      </c>
      <c r="L65" s="69">
        <f t="shared" si="1"/>
        <v>1.0894312384903581E-2</v>
      </c>
      <c r="M65" s="69">
        <f t="shared" si="5"/>
        <v>8.9999999999999993E-3</v>
      </c>
      <c r="N65" s="69">
        <f t="shared" ref="N65:AK65" si="16">IF($G14="",$C14,$G14)</f>
        <v>8.9999999999999993E-3</v>
      </c>
      <c r="O65" s="69">
        <f t="shared" si="16"/>
        <v>8.9999999999999993E-3</v>
      </c>
      <c r="P65" s="69">
        <f t="shared" si="16"/>
        <v>8.9999999999999993E-3</v>
      </c>
      <c r="Q65" s="69">
        <f t="shared" si="16"/>
        <v>8.9999999999999993E-3</v>
      </c>
      <c r="R65" s="69">
        <f t="shared" si="16"/>
        <v>8.9999999999999993E-3</v>
      </c>
      <c r="S65" s="69">
        <f t="shared" si="16"/>
        <v>8.9999999999999993E-3</v>
      </c>
      <c r="T65" s="69">
        <f t="shared" si="16"/>
        <v>8.9999999999999993E-3</v>
      </c>
      <c r="U65" s="69">
        <f t="shared" si="16"/>
        <v>8.9999999999999993E-3</v>
      </c>
      <c r="V65" s="69">
        <f t="shared" si="16"/>
        <v>8.9999999999999993E-3</v>
      </c>
      <c r="W65" s="69">
        <f t="shared" si="16"/>
        <v>8.9999999999999993E-3</v>
      </c>
      <c r="X65" s="69">
        <f t="shared" si="16"/>
        <v>8.9999999999999993E-3</v>
      </c>
      <c r="Y65" s="69">
        <f t="shared" si="16"/>
        <v>8.9999999999999993E-3</v>
      </c>
      <c r="Z65" s="69">
        <f t="shared" si="16"/>
        <v>8.9999999999999993E-3</v>
      </c>
      <c r="AA65" s="69">
        <f t="shared" si="16"/>
        <v>8.9999999999999993E-3</v>
      </c>
      <c r="AB65" s="69">
        <f t="shared" si="16"/>
        <v>8.9999999999999993E-3</v>
      </c>
      <c r="AC65" s="69">
        <f t="shared" si="16"/>
        <v>8.9999999999999993E-3</v>
      </c>
      <c r="AD65" s="69">
        <f t="shared" si="16"/>
        <v>8.9999999999999993E-3</v>
      </c>
      <c r="AE65" s="69">
        <f t="shared" si="16"/>
        <v>8.9999999999999993E-3</v>
      </c>
      <c r="AF65" s="69">
        <f t="shared" si="16"/>
        <v>8.9999999999999993E-3</v>
      </c>
      <c r="AG65" s="69">
        <f t="shared" si="16"/>
        <v>8.9999999999999993E-3</v>
      </c>
      <c r="AH65" s="69">
        <f t="shared" si="16"/>
        <v>8.9999999999999993E-3</v>
      </c>
      <c r="AI65" s="69">
        <f t="shared" si="16"/>
        <v>8.9999999999999993E-3</v>
      </c>
      <c r="AJ65" s="69">
        <f t="shared" si="16"/>
        <v>8.9999999999999993E-3</v>
      </c>
      <c r="AK65" s="69">
        <f t="shared" si="16"/>
        <v>8.9999999999999993E-3</v>
      </c>
    </row>
    <row r="66" spans="1:37" x14ac:dyDescent="0.25">
      <c r="A66" s="1" t="s">
        <v>37</v>
      </c>
      <c r="B66" s="69">
        <f t="shared" si="4"/>
        <v>-4.0000000000000001E-3</v>
      </c>
      <c r="C66" s="69">
        <f t="shared" si="4"/>
        <v>-4.0000000000000001E-3</v>
      </c>
      <c r="D66" s="69">
        <f t="shared" si="4"/>
        <v>-4.0000000000000001E-3</v>
      </c>
      <c r="E66" s="69">
        <f t="shared" si="4"/>
        <v>-4.0000000000000001E-3</v>
      </c>
      <c r="F66" s="69">
        <f t="shared" si="4"/>
        <v>-4.0000000000000001E-3</v>
      </c>
      <c r="G66" s="69">
        <f t="shared" si="7"/>
        <v>-8.571428571428571E-4</v>
      </c>
      <c r="H66" s="69">
        <f t="shared" si="1"/>
        <v>2.2857142857142859E-3</v>
      </c>
      <c r="I66" s="69">
        <f t="shared" si="1"/>
        <v>5.4285714285714284E-3</v>
      </c>
      <c r="J66" s="69">
        <f t="shared" si="1"/>
        <v>8.5714285714285719E-3</v>
      </c>
      <c r="K66" s="69">
        <f t="shared" si="1"/>
        <v>1.1714285714285715E-2</v>
      </c>
      <c r="L66" s="69">
        <f t="shared" si="1"/>
        <v>1.4857142857142857E-2</v>
      </c>
      <c r="M66" s="69">
        <f t="shared" si="5"/>
        <v>1.8000000000000002E-2</v>
      </c>
      <c r="N66" s="69">
        <f t="shared" ref="N66:AK66" si="17">IF($G15="",$C15,$G15)</f>
        <v>1.8000000000000002E-2</v>
      </c>
      <c r="O66" s="69">
        <f t="shared" si="17"/>
        <v>1.8000000000000002E-2</v>
      </c>
      <c r="P66" s="69">
        <f t="shared" si="17"/>
        <v>1.8000000000000002E-2</v>
      </c>
      <c r="Q66" s="69">
        <f t="shared" si="17"/>
        <v>1.8000000000000002E-2</v>
      </c>
      <c r="R66" s="69">
        <f t="shared" si="17"/>
        <v>1.8000000000000002E-2</v>
      </c>
      <c r="S66" s="69">
        <f t="shared" si="17"/>
        <v>1.8000000000000002E-2</v>
      </c>
      <c r="T66" s="69">
        <f t="shared" si="17"/>
        <v>1.8000000000000002E-2</v>
      </c>
      <c r="U66" s="69">
        <f t="shared" si="17"/>
        <v>1.8000000000000002E-2</v>
      </c>
      <c r="V66" s="69">
        <f t="shared" si="17"/>
        <v>1.8000000000000002E-2</v>
      </c>
      <c r="W66" s="69">
        <f t="shared" si="17"/>
        <v>1.8000000000000002E-2</v>
      </c>
      <c r="X66" s="69">
        <f t="shared" si="17"/>
        <v>1.8000000000000002E-2</v>
      </c>
      <c r="Y66" s="69">
        <f t="shared" si="17"/>
        <v>1.8000000000000002E-2</v>
      </c>
      <c r="Z66" s="69">
        <f t="shared" si="17"/>
        <v>1.8000000000000002E-2</v>
      </c>
      <c r="AA66" s="69">
        <f t="shared" si="17"/>
        <v>1.8000000000000002E-2</v>
      </c>
      <c r="AB66" s="69">
        <f t="shared" si="17"/>
        <v>1.8000000000000002E-2</v>
      </c>
      <c r="AC66" s="69">
        <f t="shared" si="17"/>
        <v>1.8000000000000002E-2</v>
      </c>
      <c r="AD66" s="69">
        <f t="shared" si="17"/>
        <v>1.8000000000000002E-2</v>
      </c>
      <c r="AE66" s="69">
        <f t="shared" si="17"/>
        <v>1.8000000000000002E-2</v>
      </c>
      <c r="AF66" s="69">
        <f t="shared" si="17"/>
        <v>1.8000000000000002E-2</v>
      </c>
      <c r="AG66" s="69">
        <f t="shared" si="17"/>
        <v>1.8000000000000002E-2</v>
      </c>
      <c r="AH66" s="69">
        <f t="shared" si="17"/>
        <v>1.8000000000000002E-2</v>
      </c>
      <c r="AI66" s="69">
        <f t="shared" si="17"/>
        <v>1.8000000000000002E-2</v>
      </c>
      <c r="AJ66" s="69">
        <f t="shared" si="17"/>
        <v>1.8000000000000002E-2</v>
      </c>
      <c r="AK66" s="69">
        <f t="shared" si="17"/>
        <v>1.8000000000000002E-2</v>
      </c>
    </row>
    <row r="67" spans="1:37" x14ac:dyDescent="0.25">
      <c r="A67" s="1" t="s">
        <v>11</v>
      </c>
      <c r="B67" s="69">
        <f t="shared" si="4"/>
        <v>1.8000000000000002E-2</v>
      </c>
      <c r="C67" s="69">
        <f t="shared" si="4"/>
        <v>1.8000000000000002E-2</v>
      </c>
      <c r="D67" s="69">
        <f t="shared" si="4"/>
        <v>1.8000000000000002E-2</v>
      </c>
      <c r="E67" s="69">
        <f t="shared" si="4"/>
        <v>1.8000000000000002E-2</v>
      </c>
      <c r="F67" s="69">
        <f t="shared" si="4"/>
        <v>1.8000000000000002E-2</v>
      </c>
      <c r="G67" s="69">
        <f t="shared" si="7"/>
        <v>1.7285714285714286E-2</v>
      </c>
      <c r="H67" s="69">
        <f t="shared" si="1"/>
        <v>1.6571428571428574E-2</v>
      </c>
      <c r="I67" s="69">
        <f t="shared" si="1"/>
        <v>1.5857142857142858E-2</v>
      </c>
      <c r="J67" s="69">
        <f t="shared" si="1"/>
        <v>1.5142857142857144E-2</v>
      </c>
      <c r="K67" s="69">
        <f t="shared" si="1"/>
        <v>1.4428571428571429E-2</v>
      </c>
      <c r="L67" s="69">
        <f t="shared" si="1"/>
        <v>1.3714285714285714E-2</v>
      </c>
      <c r="M67" s="69">
        <f t="shared" si="5"/>
        <v>1.2999999999999999E-2</v>
      </c>
      <c r="N67" s="69">
        <f t="shared" ref="N67:AK67" si="18">IF($G16="",$C16,$G16)</f>
        <v>1.2999999999999999E-2</v>
      </c>
      <c r="O67" s="69">
        <f t="shared" si="18"/>
        <v>1.2999999999999999E-2</v>
      </c>
      <c r="P67" s="69">
        <f t="shared" si="18"/>
        <v>1.2999999999999999E-2</v>
      </c>
      <c r="Q67" s="69">
        <f t="shared" si="18"/>
        <v>1.2999999999999999E-2</v>
      </c>
      <c r="R67" s="69">
        <f t="shared" si="18"/>
        <v>1.2999999999999999E-2</v>
      </c>
      <c r="S67" s="69">
        <f t="shared" si="18"/>
        <v>1.2999999999999999E-2</v>
      </c>
      <c r="T67" s="69">
        <f t="shared" si="18"/>
        <v>1.2999999999999999E-2</v>
      </c>
      <c r="U67" s="69">
        <f t="shared" si="18"/>
        <v>1.2999999999999999E-2</v>
      </c>
      <c r="V67" s="69">
        <f t="shared" si="18"/>
        <v>1.2999999999999999E-2</v>
      </c>
      <c r="W67" s="69">
        <f t="shared" si="18"/>
        <v>1.2999999999999999E-2</v>
      </c>
      <c r="X67" s="69">
        <f t="shared" si="18"/>
        <v>1.2999999999999999E-2</v>
      </c>
      <c r="Y67" s="69">
        <f t="shared" si="18"/>
        <v>1.2999999999999999E-2</v>
      </c>
      <c r="Z67" s="69">
        <f t="shared" si="18"/>
        <v>1.2999999999999999E-2</v>
      </c>
      <c r="AA67" s="69">
        <f t="shared" si="18"/>
        <v>1.2999999999999999E-2</v>
      </c>
      <c r="AB67" s="69">
        <f t="shared" si="18"/>
        <v>1.2999999999999999E-2</v>
      </c>
      <c r="AC67" s="69">
        <f t="shared" si="18"/>
        <v>1.2999999999999999E-2</v>
      </c>
      <c r="AD67" s="69">
        <f t="shared" si="18"/>
        <v>1.2999999999999999E-2</v>
      </c>
      <c r="AE67" s="69">
        <f t="shared" si="18"/>
        <v>1.2999999999999999E-2</v>
      </c>
      <c r="AF67" s="69">
        <f t="shared" si="18"/>
        <v>1.2999999999999999E-2</v>
      </c>
      <c r="AG67" s="69">
        <f t="shared" si="18"/>
        <v>1.2999999999999999E-2</v>
      </c>
      <c r="AH67" s="69">
        <f t="shared" si="18"/>
        <v>1.2999999999999999E-2</v>
      </c>
      <c r="AI67" s="69">
        <f t="shared" si="18"/>
        <v>1.2999999999999999E-2</v>
      </c>
      <c r="AJ67" s="69">
        <f t="shared" si="18"/>
        <v>1.2999999999999999E-2</v>
      </c>
      <c r="AK67" s="69">
        <f t="shared" si="18"/>
        <v>1.2999999999999999E-2</v>
      </c>
    </row>
    <row r="68" spans="1:37" x14ac:dyDescent="0.25">
      <c r="A68" s="1" t="s">
        <v>42</v>
      </c>
      <c r="B68" s="69">
        <f t="shared" si="4"/>
        <v>4.2999999999999997E-2</v>
      </c>
      <c r="C68" s="69">
        <f t="shared" si="4"/>
        <v>4.2999999999999997E-2</v>
      </c>
      <c r="D68" s="69">
        <f t="shared" si="4"/>
        <v>4.2999999999999997E-2</v>
      </c>
      <c r="E68" s="69">
        <f t="shared" si="4"/>
        <v>4.2999999999999997E-2</v>
      </c>
      <c r="F68" s="69">
        <f t="shared" si="4"/>
        <v>4.2999999999999997E-2</v>
      </c>
      <c r="G68" s="69">
        <f t="shared" si="7"/>
        <v>3.5571428571428566E-2</v>
      </c>
      <c r="H68" s="69">
        <f t="shared" si="1"/>
        <v>2.814285714285714E-2</v>
      </c>
      <c r="I68" s="69">
        <f t="shared" si="1"/>
        <v>2.0714285714285709E-2</v>
      </c>
      <c r="J68" s="69">
        <f t="shared" si="1"/>
        <v>1.3285714285714283E-2</v>
      </c>
      <c r="K68" s="69">
        <f t="shared" si="1"/>
        <v>5.8571428571428524E-3</v>
      </c>
      <c r="L68" s="69">
        <f t="shared" si="1"/>
        <v>-1.5714285714285778E-3</v>
      </c>
      <c r="M68" s="69">
        <f t="shared" si="5"/>
        <v>-8.9999999999999993E-3</v>
      </c>
      <c r="N68" s="69">
        <f t="shared" ref="N68:AK68" si="19">IF($G17="",$C17,$G17)</f>
        <v>-8.9999999999999993E-3</v>
      </c>
      <c r="O68" s="69">
        <f t="shared" si="19"/>
        <v>-8.9999999999999993E-3</v>
      </c>
      <c r="P68" s="69">
        <f t="shared" si="19"/>
        <v>-8.9999999999999993E-3</v>
      </c>
      <c r="Q68" s="69">
        <f t="shared" si="19"/>
        <v>-8.9999999999999993E-3</v>
      </c>
      <c r="R68" s="69">
        <f t="shared" si="19"/>
        <v>-8.9999999999999993E-3</v>
      </c>
      <c r="S68" s="69">
        <f t="shared" si="19"/>
        <v>-8.9999999999999993E-3</v>
      </c>
      <c r="T68" s="69">
        <f t="shared" si="19"/>
        <v>-8.9999999999999993E-3</v>
      </c>
      <c r="U68" s="69">
        <f t="shared" si="19"/>
        <v>-8.9999999999999993E-3</v>
      </c>
      <c r="V68" s="69">
        <f t="shared" si="19"/>
        <v>-8.9999999999999993E-3</v>
      </c>
      <c r="W68" s="69">
        <f t="shared" si="19"/>
        <v>-8.9999999999999993E-3</v>
      </c>
      <c r="X68" s="69">
        <f t="shared" si="19"/>
        <v>-8.9999999999999993E-3</v>
      </c>
      <c r="Y68" s="69">
        <f t="shared" si="19"/>
        <v>-8.9999999999999993E-3</v>
      </c>
      <c r="Z68" s="69">
        <f t="shared" si="19"/>
        <v>-8.9999999999999993E-3</v>
      </c>
      <c r="AA68" s="69">
        <f t="shared" si="19"/>
        <v>-8.9999999999999993E-3</v>
      </c>
      <c r="AB68" s="69">
        <f t="shared" si="19"/>
        <v>-8.9999999999999993E-3</v>
      </c>
      <c r="AC68" s="69">
        <f t="shared" si="19"/>
        <v>-8.9999999999999993E-3</v>
      </c>
      <c r="AD68" s="69">
        <f t="shared" si="19"/>
        <v>-8.9999999999999993E-3</v>
      </c>
      <c r="AE68" s="69">
        <f t="shared" si="19"/>
        <v>-8.9999999999999993E-3</v>
      </c>
      <c r="AF68" s="69">
        <f t="shared" si="19"/>
        <v>-8.9999999999999993E-3</v>
      </c>
      <c r="AG68" s="69">
        <f t="shared" si="19"/>
        <v>-8.9999999999999993E-3</v>
      </c>
      <c r="AH68" s="69">
        <f t="shared" si="19"/>
        <v>-8.9999999999999993E-3</v>
      </c>
      <c r="AI68" s="69">
        <f t="shared" si="19"/>
        <v>-8.9999999999999993E-3</v>
      </c>
      <c r="AJ68" s="69">
        <f t="shared" si="19"/>
        <v>-8.9999999999999993E-3</v>
      </c>
      <c r="AK68" s="69">
        <f t="shared" si="19"/>
        <v>-8.9999999999999993E-3</v>
      </c>
    </row>
    <row r="69" spans="1:37" x14ac:dyDescent="0.25">
      <c r="A69" s="1" t="s">
        <v>43</v>
      </c>
      <c r="B69" s="69">
        <f t="shared" si="4"/>
        <v>2.1116883116883117E-2</v>
      </c>
      <c r="C69" s="69">
        <f t="shared" si="4"/>
        <v>2.1116883116883117E-2</v>
      </c>
      <c r="D69" s="69">
        <f t="shared" si="4"/>
        <v>2.1116883116883117E-2</v>
      </c>
      <c r="E69" s="69">
        <f t="shared" si="4"/>
        <v>2.1116883116883117E-2</v>
      </c>
      <c r="F69" s="69">
        <f t="shared" si="4"/>
        <v>2.1116883116883117E-2</v>
      </c>
      <c r="G69" s="69">
        <f t="shared" si="7"/>
        <v>1.9528756957328385E-2</v>
      </c>
      <c r="H69" s="69">
        <f t="shared" si="1"/>
        <v>1.7940630797773655E-2</v>
      </c>
      <c r="I69" s="69">
        <f t="shared" si="1"/>
        <v>1.6352504638218926E-2</v>
      </c>
      <c r="J69" s="69">
        <f t="shared" si="1"/>
        <v>1.4764378478664193E-2</v>
      </c>
      <c r="K69" s="69">
        <f t="shared" si="1"/>
        <v>1.3176252319109462E-2</v>
      </c>
      <c r="L69" s="69">
        <f t="shared" si="1"/>
        <v>1.1588126159554731E-2</v>
      </c>
      <c r="M69" s="69">
        <f t="shared" si="5"/>
        <v>0.01</v>
      </c>
      <c r="N69" s="69">
        <f t="shared" ref="N69:AK69" si="20">IF($G18="",$C18,$G18)</f>
        <v>0.01</v>
      </c>
      <c r="O69" s="69">
        <f t="shared" si="20"/>
        <v>0.01</v>
      </c>
      <c r="P69" s="69">
        <f t="shared" si="20"/>
        <v>0.01</v>
      </c>
      <c r="Q69" s="69">
        <f t="shared" si="20"/>
        <v>0.01</v>
      </c>
      <c r="R69" s="69">
        <f t="shared" si="20"/>
        <v>0.01</v>
      </c>
      <c r="S69" s="69">
        <f t="shared" si="20"/>
        <v>0.01</v>
      </c>
      <c r="T69" s="69">
        <f t="shared" si="20"/>
        <v>0.01</v>
      </c>
      <c r="U69" s="69">
        <f t="shared" si="20"/>
        <v>0.01</v>
      </c>
      <c r="V69" s="69">
        <f t="shared" si="20"/>
        <v>0.01</v>
      </c>
      <c r="W69" s="69">
        <f t="shared" si="20"/>
        <v>0.01</v>
      </c>
      <c r="X69" s="69">
        <f t="shared" si="20"/>
        <v>0.01</v>
      </c>
      <c r="Y69" s="69">
        <f t="shared" si="20"/>
        <v>0.01</v>
      </c>
      <c r="Z69" s="69">
        <f t="shared" si="20"/>
        <v>0.01</v>
      </c>
      <c r="AA69" s="69">
        <f t="shared" si="20"/>
        <v>0.01</v>
      </c>
      <c r="AB69" s="69">
        <f t="shared" si="20"/>
        <v>0.01</v>
      </c>
      <c r="AC69" s="69">
        <f t="shared" si="20"/>
        <v>0.01</v>
      </c>
      <c r="AD69" s="69">
        <f t="shared" si="20"/>
        <v>0.01</v>
      </c>
      <c r="AE69" s="69">
        <f t="shared" si="20"/>
        <v>0.01</v>
      </c>
      <c r="AF69" s="69">
        <f t="shared" si="20"/>
        <v>0.01</v>
      </c>
      <c r="AG69" s="69">
        <f t="shared" si="20"/>
        <v>0.01</v>
      </c>
      <c r="AH69" s="69">
        <f t="shared" si="20"/>
        <v>0.01</v>
      </c>
      <c r="AI69" s="69">
        <f t="shared" si="20"/>
        <v>0.01</v>
      </c>
      <c r="AJ69" s="69">
        <f t="shared" si="20"/>
        <v>0.01</v>
      </c>
      <c r="AK69" s="69">
        <f t="shared" si="20"/>
        <v>0.01</v>
      </c>
    </row>
    <row r="70" spans="1:37" x14ac:dyDescent="0.25">
      <c r="A70" s="1" t="s">
        <v>44</v>
      </c>
      <c r="B70" s="69">
        <f t="shared" si="4"/>
        <v>1.8000000000000002E-2</v>
      </c>
      <c r="C70" s="69">
        <f t="shared" si="4"/>
        <v>1.8000000000000002E-2</v>
      </c>
      <c r="D70" s="69">
        <f t="shared" si="4"/>
        <v>1.8000000000000002E-2</v>
      </c>
      <c r="E70" s="69">
        <f t="shared" si="4"/>
        <v>1.8000000000000002E-2</v>
      </c>
      <c r="F70" s="69">
        <f t="shared" si="4"/>
        <v>1.8000000000000002E-2</v>
      </c>
      <c r="G70" s="69">
        <f t="shared" si="7"/>
        <v>1.4714285714285716E-2</v>
      </c>
      <c r="H70" s="69">
        <f t="shared" si="1"/>
        <v>1.142857142857143E-2</v>
      </c>
      <c r="I70" s="69">
        <f t="shared" si="1"/>
        <v>8.1428571428571444E-3</v>
      </c>
      <c r="J70" s="69">
        <f t="shared" si="1"/>
        <v>4.8571428571428567E-3</v>
      </c>
      <c r="K70" s="69">
        <f t="shared" si="1"/>
        <v>1.5714285714285708E-3</v>
      </c>
      <c r="L70" s="69">
        <f t="shared" si="1"/>
        <v>-1.7142857142857133E-3</v>
      </c>
      <c r="M70" s="69">
        <f t="shared" si="5"/>
        <v>-5.0000000000000001E-3</v>
      </c>
      <c r="N70" s="69">
        <f t="shared" ref="N70:AK70" si="21">IF($G19="",$C19,$G19)</f>
        <v>-5.0000000000000001E-3</v>
      </c>
      <c r="O70" s="69">
        <f t="shared" si="21"/>
        <v>-5.0000000000000001E-3</v>
      </c>
      <c r="P70" s="69">
        <f t="shared" si="21"/>
        <v>-5.0000000000000001E-3</v>
      </c>
      <c r="Q70" s="69">
        <f t="shared" si="21"/>
        <v>-5.0000000000000001E-3</v>
      </c>
      <c r="R70" s="69">
        <f t="shared" si="21"/>
        <v>-5.0000000000000001E-3</v>
      </c>
      <c r="S70" s="69">
        <f t="shared" si="21"/>
        <v>-5.0000000000000001E-3</v>
      </c>
      <c r="T70" s="69">
        <f t="shared" si="21"/>
        <v>-5.0000000000000001E-3</v>
      </c>
      <c r="U70" s="69">
        <f t="shared" si="21"/>
        <v>-5.0000000000000001E-3</v>
      </c>
      <c r="V70" s="69">
        <f t="shared" si="21"/>
        <v>-5.0000000000000001E-3</v>
      </c>
      <c r="W70" s="69">
        <f t="shared" si="21"/>
        <v>-5.0000000000000001E-3</v>
      </c>
      <c r="X70" s="69">
        <f t="shared" si="21"/>
        <v>-5.0000000000000001E-3</v>
      </c>
      <c r="Y70" s="69">
        <f t="shared" si="21"/>
        <v>-5.0000000000000001E-3</v>
      </c>
      <c r="Z70" s="69">
        <f t="shared" si="21"/>
        <v>-5.0000000000000001E-3</v>
      </c>
      <c r="AA70" s="69">
        <f t="shared" si="21"/>
        <v>-5.0000000000000001E-3</v>
      </c>
      <c r="AB70" s="69">
        <f t="shared" si="21"/>
        <v>-5.0000000000000001E-3</v>
      </c>
      <c r="AC70" s="69">
        <f t="shared" si="21"/>
        <v>-5.0000000000000001E-3</v>
      </c>
      <c r="AD70" s="69">
        <f t="shared" si="21"/>
        <v>-5.0000000000000001E-3</v>
      </c>
      <c r="AE70" s="69">
        <f t="shared" si="21"/>
        <v>-5.0000000000000001E-3</v>
      </c>
      <c r="AF70" s="69">
        <f t="shared" si="21"/>
        <v>-5.0000000000000001E-3</v>
      </c>
      <c r="AG70" s="69">
        <f t="shared" si="21"/>
        <v>-5.0000000000000001E-3</v>
      </c>
      <c r="AH70" s="69">
        <f t="shared" si="21"/>
        <v>-5.0000000000000001E-3</v>
      </c>
      <c r="AI70" s="69">
        <f t="shared" si="21"/>
        <v>-5.0000000000000001E-3</v>
      </c>
      <c r="AJ70" s="69">
        <f t="shared" si="21"/>
        <v>-5.0000000000000001E-3</v>
      </c>
      <c r="AK70" s="69">
        <f t="shared" si="21"/>
        <v>-5.0000000000000001E-3</v>
      </c>
    </row>
    <row r="71" spans="1:37" x14ac:dyDescent="0.25">
      <c r="A71" s="1" t="s">
        <v>45</v>
      </c>
      <c r="B71" s="69">
        <f t="shared" si="4"/>
        <v>1.9859275053304905E-2</v>
      </c>
      <c r="C71" s="69">
        <f t="shared" si="4"/>
        <v>1.9859275053304905E-2</v>
      </c>
      <c r="D71" s="69">
        <f t="shared" si="4"/>
        <v>1.9859275053304905E-2</v>
      </c>
      <c r="E71" s="69">
        <f t="shared" si="4"/>
        <v>1.9859275053304905E-2</v>
      </c>
      <c r="F71" s="69">
        <f t="shared" si="4"/>
        <v>1.9859275053304905E-2</v>
      </c>
      <c r="G71" s="69">
        <f t="shared" si="7"/>
        <v>1.8165092902832775E-2</v>
      </c>
      <c r="H71" s="69">
        <f t="shared" si="7"/>
        <v>1.6470910752360648E-2</v>
      </c>
      <c r="I71" s="69">
        <f t="shared" si="7"/>
        <v>1.4776728601888518E-2</v>
      </c>
      <c r="J71" s="69">
        <f t="shared" si="7"/>
        <v>1.3082546451416387E-2</v>
      </c>
      <c r="K71" s="69">
        <f t="shared" si="7"/>
        <v>1.1388364300944259E-2</v>
      </c>
      <c r="L71" s="69">
        <f t="shared" si="7"/>
        <v>9.6941821504721287E-3</v>
      </c>
      <c r="M71" s="69">
        <f t="shared" si="5"/>
        <v>8.0000000000000002E-3</v>
      </c>
      <c r="N71" s="69">
        <f t="shared" ref="N71:AK71" si="22">IF($G20="",$C20,$G20)</f>
        <v>8.0000000000000002E-3</v>
      </c>
      <c r="O71" s="69">
        <f t="shared" si="22"/>
        <v>8.0000000000000002E-3</v>
      </c>
      <c r="P71" s="69">
        <f t="shared" si="22"/>
        <v>8.0000000000000002E-3</v>
      </c>
      <c r="Q71" s="69">
        <f t="shared" si="22"/>
        <v>8.0000000000000002E-3</v>
      </c>
      <c r="R71" s="69">
        <f t="shared" si="22"/>
        <v>8.0000000000000002E-3</v>
      </c>
      <c r="S71" s="69">
        <f t="shared" si="22"/>
        <v>8.0000000000000002E-3</v>
      </c>
      <c r="T71" s="69">
        <f t="shared" si="22"/>
        <v>8.0000000000000002E-3</v>
      </c>
      <c r="U71" s="69">
        <f t="shared" si="22"/>
        <v>8.0000000000000002E-3</v>
      </c>
      <c r="V71" s="69">
        <f t="shared" si="22"/>
        <v>8.0000000000000002E-3</v>
      </c>
      <c r="W71" s="69">
        <f t="shared" si="22"/>
        <v>8.0000000000000002E-3</v>
      </c>
      <c r="X71" s="69">
        <f t="shared" si="22"/>
        <v>8.0000000000000002E-3</v>
      </c>
      <c r="Y71" s="69">
        <f t="shared" si="22"/>
        <v>8.0000000000000002E-3</v>
      </c>
      <c r="Z71" s="69">
        <f t="shared" si="22"/>
        <v>8.0000000000000002E-3</v>
      </c>
      <c r="AA71" s="69">
        <f t="shared" si="22"/>
        <v>8.0000000000000002E-3</v>
      </c>
      <c r="AB71" s="69">
        <f t="shared" si="22"/>
        <v>8.0000000000000002E-3</v>
      </c>
      <c r="AC71" s="69">
        <f t="shared" si="22"/>
        <v>8.0000000000000002E-3</v>
      </c>
      <c r="AD71" s="69">
        <f t="shared" si="22"/>
        <v>8.0000000000000002E-3</v>
      </c>
      <c r="AE71" s="69">
        <f t="shared" si="22"/>
        <v>8.0000000000000002E-3</v>
      </c>
      <c r="AF71" s="69">
        <f t="shared" si="22"/>
        <v>8.0000000000000002E-3</v>
      </c>
      <c r="AG71" s="69">
        <f t="shared" si="22"/>
        <v>8.0000000000000002E-3</v>
      </c>
      <c r="AH71" s="69">
        <f t="shared" si="22"/>
        <v>8.0000000000000002E-3</v>
      </c>
      <c r="AI71" s="69">
        <f t="shared" si="22"/>
        <v>8.0000000000000002E-3</v>
      </c>
      <c r="AJ71" s="69">
        <f t="shared" si="22"/>
        <v>8.0000000000000002E-3</v>
      </c>
      <c r="AK71" s="69">
        <f t="shared" si="22"/>
        <v>8.0000000000000002E-3</v>
      </c>
    </row>
    <row r="72" spans="1:37" x14ac:dyDescent="0.25">
      <c r="A72" s="1" t="s">
        <v>12</v>
      </c>
      <c r="B72" s="69">
        <f t="shared" si="4"/>
        <v>2.7000000000000003E-2</v>
      </c>
      <c r="C72" s="69">
        <f t="shared" si="4"/>
        <v>2.7000000000000003E-2</v>
      </c>
      <c r="D72" s="69">
        <f t="shared" si="4"/>
        <v>2.7000000000000003E-2</v>
      </c>
      <c r="E72" s="69">
        <f t="shared" si="4"/>
        <v>2.7000000000000003E-2</v>
      </c>
      <c r="F72" s="69">
        <f t="shared" si="4"/>
        <v>2.7000000000000003E-2</v>
      </c>
      <c r="G72" s="69">
        <f t="shared" si="7"/>
        <v>2.4000000000000004E-2</v>
      </c>
      <c r="H72" s="69">
        <f t="shared" si="7"/>
        <v>2.1000000000000001E-2</v>
      </c>
      <c r="I72" s="69">
        <f t="shared" si="7"/>
        <v>1.8000000000000002E-2</v>
      </c>
      <c r="J72" s="69">
        <f t="shared" si="7"/>
        <v>1.5000000000000001E-2</v>
      </c>
      <c r="K72" s="69">
        <f t="shared" si="7"/>
        <v>1.2E-2</v>
      </c>
      <c r="L72" s="69">
        <f t="shared" si="7"/>
        <v>8.9999999999999976E-3</v>
      </c>
      <c r="M72" s="69">
        <f t="shared" si="5"/>
        <v>6.0000000000000001E-3</v>
      </c>
      <c r="N72" s="69">
        <f t="shared" ref="N72:AK72" si="23">IF($G21="",$C21,$G21)</f>
        <v>6.0000000000000001E-3</v>
      </c>
      <c r="O72" s="69">
        <f t="shared" si="23"/>
        <v>6.0000000000000001E-3</v>
      </c>
      <c r="P72" s="69">
        <f t="shared" si="23"/>
        <v>6.0000000000000001E-3</v>
      </c>
      <c r="Q72" s="69">
        <f t="shared" si="23"/>
        <v>6.0000000000000001E-3</v>
      </c>
      <c r="R72" s="69">
        <f t="shared" si="23"/>
        <v>6.0000000000000001E-3</v>
      </c>
      <c r="S72" s="69">
        <f t="shared" si="23"/>
        <v>6.0000000000000001E-3</v>
      </c>
      <c r="T72" s="69">
        <f t="shared" si="23"/>
        <v>6.0000000000000001E-3</v>
      </c>
      <c r="U72" s="69">
        <f t="shared" si="23"/>
        <v>6.0000000000000001E-3</v>
      </c>
      <c r="V72" s="69">
        <f t="shared" si="23"/>
        <v>6.0000000000000001E-3</v>
      </c>
      <c r="W72" s="69">
        <f t="shared" si="23"/>
        <v>6.0000000000000001E-3</v>
      </c>
      <c r="X72" s="69">
        <f t="shared" si="23"/>
        <v>6.0000000000000001E-3</v>
      </c>
      <c r="Y72" s="69">
        <f t="shared" si="23"/>
        <v>6.0000000000000001E-3</v>
      </c>
      <c r="Z72" s="69">
        <f t="shared" si="23"/>
        <v>6.0000000000000001E-3</v>
      </c>
      <c r="AA72" s="69">
        <f t="shared" si="23"/>
        <v>6.0000000000000001E-3</v>
      </c>
      <c r="AB72" s="69">
        <f t="shared" si="23"/>
        <v>6.0000000000000001E-3</v>
      </c>
      <c r="AC72" s="69">
        <f t="shared" si="23"/>
        <v>6.0000000000000001E-3</v>
      </c>
      <c r="AD72" s="69">
        <f t="shared" si="23"/>
        <v>6.0000000000000001E-3</v>
      </c>
      <c r="AE72" s="69">
        <f t="shared" si="23"/>
        <v>6.0000000000000001E-3</v>
      </c>
      <c r="AF72" s="69">
        <f t="shared" si="23"/>
        <v>6.0000000000000001E-3</v>
      </c>
      <c r="AG72" s="69">
        <f t="shared" si="23"/>
        <v>6.0000000000000001E-3</v>
      </c>
      <c r="AH72" s="69">
        <f t="shared" si="23"/>
        <v>6.0000000000000001E-3</v>
      </c>
      <c r="AI72" s="69">
        <f t="shared" si="23"/>
        <v>6.0000000000000001E-3</v>
      </c>
      <c r="AJ72" s="69">
        <f t="shared" si="23"/>
        <v>6.0000000000000001E-3</v>
      </c>
      <c r="AK72" s="69">
        <f t="shared" si="23"/>
        <v>6.0000000000000001E-3</v>
      </c>
    </row>
    <row r="73" spans="1:37" x14ac:dyDescent="0.25">
      <c r="A73" s="1" t="s">
        <v>13</v>
      </c>
      <c r="B73" s="69">
        <f t="shared" si="4"/>
        <v>1.9E-2</v>
      </c>
      <c r="C73" s="69">
        <f t="shared" si="4"/>
        <v>1.9E-2</v>
      </c>
      <c r="D73" s="69">
        <f t="shared" si="4"/>
        <v>1.9E-2</v>
      </c>
      <c r="E73" s="69">
        <f t="shared" si="4"/>
        <v>1.9E-2</v>
      </c>
      <c r="F73" s="69">
        <f t="shared" si="4"/>
        <v>1.9E-2</v>
      </c>
      <c r="G73" s="69">
        <f t="shared" si="7"/>
        <v>1.9428571428571427E-2</v>
      </c>
      <c r="H73" s="69">
        <f t="shared" si="7"/>
        <v>1.9857142857142858E-2</v>
      </c>
      <c r="I73" s="69">
        <f t="shared" si="7"/>
        <v>2.0285714285714285E-2</v>
      </c>
      <c r="J73" s="69">
        <f t="shared" si="7"/>
        <v>2.0714285714285713E-2</v>
      </c>
      <c r="K73" s="69">
        <f t="shared" si="7"/>
        <v>2.114285714285714E-2</v>
      </c>
      <c r="L73" s="69">
        <f t="shared" si="7"/>
        <v>2.1571428571428571E-2</v>
      </c>
      <c r="M73" s="69">
        <f t="shared" si="5"/>
        <v>2.1999999999999999E-2</v>
      </c>
      <c r="N73" s="69">
        <f t="shared" ref="N73:AK73" si="24">IF($G22="",$C22,$G22)</f>
        <v>2.1999999999999999E-2</v>
      </c>
      <c r="O73" s="69">
        <f t="shared" si="24"/>
        <v>2.1999999999999999E-2</v>
      </c>
      <c r="P73" s="69">
        <f t="shared" si="24"/>
        <v>2.1999999999999999E-2</v>
      </c>
      <c r="Q73" s="69">
        <f t="shared" si="24"/>
        <v>2.1999999999999999E-2</v>
      </c>
      <c r="R73" s="69">
        <f t="shared" si="24"/>
        <v>2.1999999999999999E-2</v>
      </c>
      <c r="S73" s="69">
        <f t="shared" si="24"/>
        <v>2.1999999999999999E-2</v>
      </c>
      <c r="T73" s="69">
        <f t="shared" si="24"/>
        <v>2.1999999999999999E-2</v>
      </c>
      <c r="U73" s="69">
        <f t="shared" si="24"/>
        <v>2.1999999999999999E-2</v>
      </c>
      <c r="V73" s="69">
        <f t="shared" si="24"/>
        <v>2.1999999999999999E-2</v>
      </c>
      <c r="W73" s="69">
        <f t="shared" si="24"/>
        <v>2.1999999999999999E-2</v>
      </c>
      <c r="X73" s="69">
        <f t="shared" si="24"/>
        <v>2.1999999999999999E-2</v>
      </c>
      <c r="Y73" s="69">
        <f t="shared" si="24"/>
        <v>2.1999999999999999E-2</v>
      </c>
      <c r="Z73" s="69">
        <f t="shared" si="24"/>
        <v>2.1999999999999999E-2</v>
      </c>
      <c r="AA73" s="69">
        <f t="shared" si="24"/>
        <v>2.1999999999999999E-2</v>
      </c>
      <c r="AB73" s="69">
        <f t="shared" si="24"/>
        <v>2.1999999999999999E-2</v>
      </c>
      <c r="AC73" s="69">
        <f t="shared" si="24"/>
        <v>2.1999999999999999E-2</v>
      </c>
      <c r="AD73" s="69">
        <f t="shared" si="24"/>
        <v>2.1999999999999999E-2</v>
      </c>
      <c r="AE73" s="69">
        <f t="shared" si="24"/>
        <v>2.1999999999999999E-2</v>
      </c>
      <c r="AF73" s="69">
        <f t="shared" si="24"/>
        <v>2.1999999999999999E-2</v>
      </c>
      <c r="AG73" s="69">
        <f t="shared" si="24"/>
        <v>2.1999999999999999E-2</v>
      </c>
      <c r="AH73" s="69">
        <f t="shared" si="24"/>
        <v>2.1999999999999999E-2</v>
      </c>
      <c r="AI73" s="69">
        <f t="shared" si="24"/>
        <v>2.1999999999999999E-2</v>
      </c>
      <c r="AJ73" s="69">
        <f t="shared" si="24"/>
        <v>2.1999999999999999E-2</v>
      </c>
      <c r="AK73" s="69">
        <f t="shared" si="24"/>
        <v>2.1999999999999999E-2</v>
      </c>
    </row>
    <row r="74" spans="1:37" x14ac:dyDescent="0.25">
      <c r="A74" s="1" t="s">
        <v>14</v>
      </c>
      <c r="B74" s="69">
        <f t="shared" si="4"/>
        <v>2.3E-2</v>
      </c>
      <c r="C74" s="69">
        <f t="shared" si="4"/>
        <v>2.3E-2</v>
      </c>
      <c r="D74" s="69">
        <f t="shared" si="4"/>
        <v>2.3E-2</v>
      </c>
      <c r="E74" s="69">
        <f t="shared" si="4"/>
        <v>2.3E-2</v>
      </c>
      <c r="F74" s="69">
        <f t="shared" si="4"/>
        <v>2.3E-2</v>
      </c>
      <c r="G74" s="69">
        <f t="shared" si="7"/>
        <v>2.2714285714285715E-2</v>
      </c>
      <c r="H74" s="69">
        <f t="shared" si="7"/>
        <v>2.242857142857143E-2</v>
      </c>
      <c r="I74" s="69">
        <f t="shared" si="7"/>
        <v>2.2142857142857145E-2</v>
      </c>
      <c r="J74" s="69">
        <f t="shared" si="7"/>
        <v>2.1857142857142856E-2</v>
      </c>
      <c r="K74" s="69">
        <f t="shared" si="7"/>
        <v>2.1571428571428571E-2</v>
      </c>
      <c r="L74" s="69">
        <f t="shared" si="7"/>
        <v>2.1285714285714286E-2</v>
      </c>
      <c r="M74" s="69">
        <f t="shared" si="5"/>
        <v>2.1000000000000001E-2</v>
      </c>
      <c r="N74" s="69">
        <f t="shared" ref="N74:AK74" si="25">IF($G23="",$C23,$G23)</f>
        <v>2.1000000000000001E-2</v>
      </c>
      <c r="O74" s="69">
        <f t="shared" si="25"/>
        <v>2.1000000000000001E-2</v>
      </c>
      <c r="P74" s="69">
        <f t="shared" si="25"/>
        <v>2.1000000000000001E-2</v>
      </c>
      <c r="Q74" s="69">
        <f t="shared" si="25"/>
        <v>2.1000000000000001E-2</v>
      </c>
      <c r="R74" s="69">
        <f t="shared" si="25"/>
        <v>2.1000000000000001E-2</v>
      </c>
      <c r="S74" s="69">
        <f t="shared" si="25"/>
        <v>2.1000000000000001E-2</v>
      </c>
      <c r="T74" s="69">
        <f t="shared" si="25"/>
        <v>2.1000000000000001E-2</v>
      </c>
      <c r="U74" s="69">
        <f t="shared" si="25"/>
        <v>2.1000000000000001E-2</v>
      </c>
      <c r="V74" s="69">
        <f t="shared" si="25"/>
        <v>2.1000000000000001E-2</v>
      </c>
      <c r="W74" s="69">
        <f t="shared" si="25"/>
        <v>2.1000000000000001E-2</v>
      </c>
      <c r="X74" s="69">
        <f t="shared" si="25"/>
        <v>2.1000000000000001E-2</v>
      </c>
      <c r="Y74" s="69">
        <f t="shared" si="25"/>
        <v>2.1000000000000001E-2</v>
      </c>
      <c r="Z74" s="69">
        <f t="shared" si="25"/>
        <v>2.1000000000000001E-2</v>
      </c>
      <c r="AA74" s="69">
        <f t="shared" si="25"/>
        <v>2.1000000000000001E-2</v>
      </c>
      <c r="AB74" s="69">
        <f t="shared" si="25"/>
        <v>2.1000000000000001E-2</v>
      </c>
      <c r="AC74" s="69">
        <f t="shared" si="25"/>
        <v>2.1000000000000001E-2</v>
      </c>
      <c r="AD74" s="69">
        <f t="shared" si="25"/>
        <v>2.1000000000000001E-2</v>
      </c>
      <c r="AE74" s="69">
        <f t="shared" si="25"/>
        <v>2.1000000000000001E-2</v>
      </c>
      <c r="AF74" s="69">
        <f t="shared" si="25"/>
        <v>2.1000000000000001E-2</v>
      </c>
      <c r="AG74" s="69">
        <f t="shared" si="25"/>
        <v>2.1000000000000001E-2</v>
      </c>
      <c r="AH74" s="69">
        <f t="shared" si="25"/>
        <v>2.1000000000000001E-2</v>
      </c>
      <c r="AI74" s="69">
        <f t="shared" si="25"/>
        <v>2.1000000000000001E-2</v>
      </c>
      <c r="AJ74" s="69">
        <f t="shared" si="25"/>
        <v>2.1000000000000001E-2</v>
      </c>
      <c r="AK74" s="69">
        <f t="shared" si="25"/>
        <v>2.1000000000000001E-2</v>
      </c>
    </row>
    <row r="75" spans="1:37" x14ac:dyDescent="0.25">
      <c r="A75" s="1" t="s">
        <v>15</v>
      </c>
      <c r="B75" s="69">
        <f t="shared" si="4"/>
        <v>2.5000000000000001E-2</v>
      </c>
      <c r="C75" s="69">
        <f t="shared" si="4"/>
        <v>2.5000000000000001E-2</v>
      </c>
      <c r="D75" s="69">
        <f t="shared" si="4"/>
        <v>2.5000000000000001E-2</v>
      </c>
      <c r="E75" s="69">
        <f t="shared" si="4"/>
        <v>2.5000000000000001E-2</v>
      </c>
      <c r="F75" s="69">
        <f t="shared" si="4"/>
        <v>2.5000000000000001E-2</v>
      </c>
      <c r="G75" s="69">
        <f t="shared" si="7"/>
        <v>2.3285714285714288E-2</v>
      </c>
      <c r="H75" s="69">
        <f t="shared" si="7"/>
        <v>2.1571428571428571E-2</v>
      </c>
      <c r="I75" s="69">
        <f t="shared" si="7"/>
        <v>1.9857142857142858E-2</v>
      </c>
      <c r="J75" s="69">
        <f t="shared" si="7"/>
        <v>1.8142857142857141E-2</v>
      </c>
      <c r="K75" s="69">
        <f t="shared" si="7"/>
        <v>1.6428571428571428E-2</v>
      </c>
      <c r="L75" s="69">
        <f t="shared" si="7"/>
        <v>1.4714285714285714E-2</v>
      </c>
      <c r="M75" s="69">
        <f t="shared" si="5"/>
        <v>1.2999999999999999E-2</v>
      </c>
      <c r="N75" s="69">
        <f t="shared" ref="N75:AK75" si="26">IF($G24="",$C24,$G24)</f>
        <v>1.2999999999999999E-2</v>
      </c>
      <c r="O75" s="69">
        <f t="shared" si="26"/>
        <v>1.2999999999999999E-2</v>
      </c>
      <c r="P75" s="69">
        <f t="shared" si="26"/>
        <v>1.2999999999999999E-2</v>
      </c>
      <c r="Q75" s="69">
        <f t="shared" si="26"/>
        <v>1.2999999999999999E-2</v>
      </c>
      <c r="R75" s="69">
        <f t="shared" si="26"/>
        <v>1.2999999999999999E-2</v>
      </c>
      <c r="S75" s="69">
        <f t="shared" si="26"/>
        <v>1.2999999999999999E-2</v>
      </c>
      <c r="T75" s="69">
        <f t="shared" si="26"/>
        <v>1.2999999999999999E-2</v>
      </c>
      <c r="U75" s="69">
        <f t="shared" si="26"/>
        <v>1.2999999999999999E-2</v>
      </c>
      <c r="V75" s="69">
        <f t="shared" si="26"/>
        <v>1.2999999999999999E-2</v>
      </c>
      <c r="W75" s="69">
        <f t="shared" si="26"/>
        <v>1.2999999999999999E-2</v>
      </c>
      <c r="X75" s="69">
        <f t="shared" si="26"/>
        <v>1.2999999999999999E-2</v>
      </c>
      <c r="Y75" s="69">
        <f t="shared" si="26"/>
        <v>1.2999999999999999E-2</v>
      </c>
      <c r="Z75" s="69">
        <f t="shared" si="26"/>
        <v>1.2999999999999999E-2</v>
      </c>
      <c r="AA75" s="69">
        <f t="shared" si="26"/>
        <v>1.2999999999999999E-2</v>
      </c>
      <c r="AB75" s="69">
        <f t="shared" si="26"/>
        <v>1.2999999999999999E-2</v>
      </c>
      <c r="AC75" s="69">
        <f t="shared" si="26"/>
        <v>1.2999999999999999E-2</v>
      </c>
      <c r="AD75" s="69">
        <f t="shared" si="26"/>
        <v>1.2999999999999999E-2</v>
      </c>
      <c r="AE75" s="69">
        <f t="shared" si="26"/>
        <v>1.2999999999999999E-2</v>
      </c>
      <c r="AF75" s="69">
        <f t="shared" si="26"/>
        <v>1.2999999999999999E-2</v>
      </c>
      <c r="AG75" s="69">
        <f t="shared" si="26"/>
        <v>1.2999999999999999E-2</v>
      </c>
      <c r="AH75" s="69">
        <f t="shared" si="26"/>
        <v>1.2999999999999999E-2</v>
      </c>
      <c r="AI75" s="69">
        <f t="shared" si="26"/>
        <v>1.2999999999999999E-2</v>
      </c>
      <c r="AJ75" s="69">
        <f t="shared" si="26"/>
        <v>1.2999999999999999E-2</v>
      </c>
      <c r="AK75" s="69">
        <f t="shared" si="26"/>
        <v>1.2999999999999999E-2</v>
      </c>
    </row>
    <row r="76" spans="1:37" x14ac:dyDescent="0.25">
      <c r="A76" s="1" t="s">
        <v>16</v>
      </c>
      <c r="B76" s="69">
        <f t="shared" si="4"/>
        <v>7.3700262322242166E-2</v>
      </c>
      <c r="C76" s="69">
        <f t="shared" si="4"/>
        <v>7.3700262322242166E-2</v>
      </c>
      <c r="D76" s="69">
        <f t="shared" si="4"/>
        <v>7.3700262322242166E-2</v>
      </c>
      <c r="E76" s="69">
        <f t="shared" si="4"/>
        <v>7.3700262322242166E-2</v>
      </c>
      <c r="F76" s="69">
        <f t="shared" si="4"/>
        <v>7.3700262322242166E-2</v>
      </c>
      <c r="G76" s="69">
        <f t="shared" si="7"/>
        <v>6.460022484763614E-2</v>
      </c>
      <c r="H76" s="69">
        <f t="shared" si="7"/>
        <v>5.5500187373030113E-2</v>
      </c>
      <c r="I76" s="69">
        <f t="shared" si="7"/>
        <v>4.6400149898424094E-2</v>
      </c>
      <c r="J76" s="69">
        <f t="shared" si="7"/>
        <v>3.7300112423818067E-2</v>
      </c>
      <c r="K76" s="69">
        <f t="shared" si="7"/>
        <v>2.8200074949212041E-2</v>
      </c>
      <c r="L76" s="69">
        <f t="shared" si="7"/>
        <v>1.9100037474606021E-2</v>
      </c>
      <c r="M76" s="69">
        <f t="shared" si="5"/>
        <v>0.01</v>
      </c>
      <c r="N76" s="69">
        <f t="shared" ref="N76:AK76" si="27">IF($G25="",$C25,$G25)</f>
        <v>0.01</v>
      </c>
      <c r="O76" s="69">
        <f t="shared" si="27"/>
        <v>0.01</v>
      </c>
      <c r="P76" s="69">
        <f t="shared" si="27"/>
        <v>0.01</v>
      </c>
      <c r="Q76" s="69">
        <f t="shared" si="27"/>
        <v>0.01</v>
      </c>
      <c r="R76" s="69">
        <f t="shared" si="27"/>
        <v>0.01</v>
      </c>
      <c r="S76" s="69">
        <f t="shared" si="27"/>
        <v>0.01</v>
      </c>
      <c r="T76" s="69">
        <f t="shared" si="27"/>
        <v>0.01</v>
      </c>
      <c r="U76" s="69">
        <f t="shared" si="27"/>
        <v>0.01</v>
      </c>
      <c r="V76" s="69">
        <f t="shared" si="27"/>
        <v>0.01</v>
      </c>
      <c r="W76" s="69">
        <f t="shared" si="27"/>
        <v>0.01</v>
      </c>
      <c r="X76" s="69">
        <f t="shared" si="27"/>
        <v>0.01</v>
      </c>
      <c r="Y76" s="69">
        <f t="shared" si="27"/>
        <v>0.01</v>
      </c>
      <c r="Z76" s="69">
        <f t="shared" si="27"/>
        <v>0.01</v>
      </c>
      <c r="AA76" s="69">
        <f t="shared" si="27"/>
        <v>0.01</v>
      </c>
      <c r="AB76" s="69">
        <f t="shared" si="27"/>
        <v>0.01</v>
      </c>
      <c r="AC76" s="69">
        <f t="shared" si="27"/>
        <v>0.01</v>
      </c>
      <c r="AD76" s="69">
        <f t="shared" si="27"/>
        <v>0.01</v>
      </c>
      <c r="AE76" s="69">
        <f t="shared" si="27"/>
        <v>0.01</v>
      </c>
      <c r="AF76" s="69">
        <f t="shared" si="27"/>
        <v>0.01</v>
      </c>
      <c r="AG76" s="69">
        <f t="shared" si="27"/>
        <v>0.01</v>
      </c>
      <c r="AH76" s="69">
        <f t="shared" si="27"/>
        <v>0.01</v>
      </c>
      <c r="AI76" s="69">
        <f t="shared" si="27"/>
        <v>0.01</v>
      </c>
      <c r="AJ76" s="69">
        <f t="shared" si="27"/>
        <v>0.01</v>
      </c>
      <c r="AK76" s="69">
        <f t="shared" si="27"/>
        <v>0.01</v>
      </c>
    </row>
    <row r="77" spans="1:37" x14ac:dyDescent="0.25">
      <c r="A77" s="1" t="s">
        <v>17</v>
      </c>
      <c r="B77" s="69">
        <f t="shared" si="4"/>
        <v>1.789700374531835E-2</v>
      </c>
      <c r="C77" s="69">
        <f t="shared" si="4"/>
        <v>1.789700374531835E-2</v>
      </c>
      <c r="D77" s="69">
        <f t="shared" si="4"/>
        <v>1.789700374531835E-2</v>
      </c>
      <c r="E77" s="69">
        <f t="shared" si="4"/>
        <v>1.789700374531835E-2</v>
      </c>
      <c r="F77" s="69">
        <f t="shared" si="4"/>
        <v>1.789700374531835E-2</v>
      </c>
      <c r="G77" s="69">
        <f t="shared" si="7"/>
        <v>1.6768860353130015E-2</v>
      </c>
      <c r="H77" s="69">
        <f t="shared" si="7"/>
        <v>1.5640716960941679E-2</v>
      </c>
      <c r="I77" s="69">
        <f t="shared" si="7"/>
        <v>1.4512573568753344E-2</v>
      </c>
      <c r="J77" s="69">
        <f t="shared" si="7"/>
        <v>1.3384430176565008E-2</v>
      </c>
      <c r="K77" s="69">
        <f t="shared" si="7"/>
        <v>1.2256286784376673E-2</v>
      </c>
      <c r="L77" s="69">
        <f t="shared" si="7"/>
        <v>1.1128143392188336E-2</v>
      </c>
      <c r="M77" s="69">
        <f t="shared" si="5"/>
        <v>0.01</v>
      </c>
      <c r="N77" s="69">
        <f t="shared" ref="N77:AK77" si="28">IF($G26="",$C26,$G26)</f>
        <v>0.01</v>
      </c>
      <c r="O77" s="69">
        <f t="shared" si="28"/>
        <v>0.01</v>
      </c>
      <c r="P77" s="69">
        <f t="shared" si="28"/>
        <v>0.01</v>
      </c>
      <c r="Q77" s="69">
        <f t="shared" si="28"/>
        <v>0.01</v>
      </c>
      <c r="R77" s="69">
        <f t="shared" si="28"/>
        <v>0.01</v>
      </c>
      <c r="S77" s="69">
        <f t="shared" si="28"/>
        <v>0.01</v>
      </c>
      <c r="T77" s="69">
        <f t="shared" si="28"/>
        <v>0.01</v>
      </c>
      <c r="U77" s="69">
        <f t="shared" si="28"/>
        <v>0.01</v>
      </c>
      <c r="V77" s="69">
        <f t="shared" si="28"/>
        <v>0.01</v>
      </c>
      <c r="W77" s="69">
        <f t="shared" si="28"/>
        <v>0.01</v>
      </c>
      <c r="X77" s="69">
        <f t="shared" si="28"/>
        <v>0.01</v>
      </c>
      <c r="Y77" s="69">
        <f t="shared" si="28"/>
        <v>0.01</v>
      </c>
      <c r="Z77" s="69">
        <f t="shared" si="28"/>
        <v>0.01</v>
      </c>
      <c r="AA77" s="69">
        <f t="shared" si="28"/>
        <v>0.01</v>
      </c>
      <c r="AB77" s="69">
        <f t="shared" si="28"/>
        <v>0.01</v>
      </c>
      <c r="AC77" s="69">
        <f t="shared" si="28"/>
        <v>0.01</v>
      </c>
      <c r="AD77" s="69">
        <f t="shared" si="28"/>
        <v>0.01</v>
      </c>
      <c r="AE77" s="69">
        <f t="shared" si="28"/>
        <v>0.01</v>
      </c>
      <c r="AF77" s="69">
        <f t="shared" si="28"/>
        <v>0.01</v>
      </c>
      <c r="AG77" s="69">
        <f t="shared" si="28"/>
        <v>0.01</v>
      </c>
      <c r="AH77" s="69">
        <f t="shared" si="28"/>
        <v>0.01</v>
      </c>
      <c r="AI77" s="69">
        <f t="shared" si="28"/>
        <v>0.01</v>
      </c>
      <c r="AJ77" s="69">
        <f t="shared" si="28"/>
        <v>0.01</v>
      </c>
      <c r="AK77" s="69">
        <f t="shared" si="28"/>
        <v>0.01</v>
      </c>
    </row>
    <row r="78" spans="1:37" x14ac:dyDescent="0.25">
      <c r="A78" s="1" t="s">
        <v>18</v>
      </c>
      <c r="B78" s="69">
        <f t="shared" si="4"/>
        <v>6.1778413736713004E-3</v>
      </c>
      <c r="C78" s="69">
        <f t="shared" si="4"/>
        <v>6.1778413736713004E-3</v>
      </c>
      <c r="D78" s="69">
        <f t="shared" si="4"/>
        <v>6.1778413736713004E-3</v>
      </c>
      <c r="E78" s="69">
        <f t="shared" si="4"/>
        <v>6.1778413736713004E-3</v>
      </c>
      <c r="F78" s="69">
        <f t="shared" si="4"/>
        <v>6.1778413736713004E-3</v>
      </c>
      <c r="G78" s="69">
        <f t="shared" si="7"/>
        <v>6.5810068917182577E-3</v>
      </c>
      <c r="H78" s="69">
        <f t="shared" si="7"/>
        <v>6.9841724097652142E-3</v>
      </c>
      <c r="I78" s="69">
        <f t="shared" si="7"/>
        <v>7.3873379278121716E-3</v>
      </c>
      <c r="J78" s="69">
        <f t="shared" si="7"/>
        <v>7.7905034458591281E-3</v>
      </c>
      <c r="K78" s="69">
        <f t="shared" si="7"/>
        <v>8.1936689639060846E-3</v>
      </c>
      <c r="L78" s="69">
        <f t="shared" si="7"/>
        <v>8.5968344819530428E-3</v>
      </c>
      <c r="M78" s="69">
        <f t="shared" si="5"/>
        <v>8.9999999999999993E-3</v>
      </c>
      <c r="N78" s="69">
        <f t="shared" ref="N78:AK78" si="29">IF($G27="",$C27,$G27)</f>
        <v>8.9999999999999993E-3</v>
      </c>
      <c r="O78" s="69">
        <f t="shared" si="29"/>
        <v>8.9999999999999993E-3</v>
      </c>
      <c r="P78" s="69">
        <f t="shared" si="29"/>
        <v>8.9999999999999993E-3</v>
      </c>
      <c r="Q78" s="69">
        <f t="shared" si="29"/>
        <v>8.9999999999999993E-3</v>
      </c>
      <c r="R78" s="69">
        <f t="shared" si="29"/>
        <v>8.9999999999999993E-3</v>
      </c>
      <c r="S78" s="69">
        <f t="shared" si="29"/>
        <v>8.9999999999999993E-3</v>
      </c>
      <c r="T78" s="69">
        <f t="shared" si="29"/>
        <v>8.9999999999999993E-3</v>
      </c>
      <c r="U78" s="69">
        <f t="shared" si="29"/>
        <v>8.9999999999999993E-3</v>
      </c>
      <c r="V78" s="69">
        <f t="shared" si="29"/>
        <v>8.9999999999999993E-3</v>
      </c>
      <c r="W78" s="69">
        <f t="shared" si="29"/>
        <v>8.9999999999999993E-3</v>
      </c>
      <c r="X78" s="69">
        <f t="shared" si="29"/>
        <v>8.9999999999999993E-3</v>
      </c>
      <c r="Y78" s="69">
        <f t="shared" si="29"/>
        <v>8.9999999999999993E-3</v>
      </c>
      <c r="Z78" s="69">
        <f t="shared" si="29"/>
        <v>8.9999999999999993E-3</v>
      </c>
      <c r="AA78" s="69">
        <f t="shared" si="29"/>
        <v>8.9999999999999993E-3</v>
      </c>
      <c r="AB78" s="69">
        <f t="shared" si="29"/>
        <v>8.9999999999999993E-3</v>
      </c>
      <c r="AC78" s="69">
        <f t="shared" si="29"/>
        <v>8.9999999999999993E-3</v>
      </c>
      <c r="AD78" s="69">
        <f t="shared" si="29"/>
        <v>8.9999999999999993E-3</v>
      </c>
      <c r="AE78" s="69">
        <f t="shared" si="29"/>
        <v>8.9999999999999993E-3</v>
      </c>
      <c r="AF78" s="69">
        <f t="shared" si="29"/>
        <v>8.9999999999999993E-3</v>
      </c>
      <c r="AG78" s="69">
        <f t="shared" si="29"/>
        <v>8.9999999999999993E-3</v>
      </c>
      <c r="AH78" s="69">
        <f t="shared" si="29"/>
        <v>8.9999999999999993E-3</v>
      </c>
      <c r="AI78" s="69">
        <f t="shared" si="29"/>
        <v>8.9999999999999993E-3</v>
      </c>
      <c r="AJ78" s="69">
        <f t="shared" si="29"/>
        <v>8.9999999999999993E-3</v>
      </c>
      <c r="AK78" s="69">
        <f t="shared" si="29"/>
        <v>8.9999999999999993E-3</v>
      </c>
    </row>
    <row r="79" spans="1:37" x14ac:dyDescent="0.25">
      <c r="A79" s="1" t="s">
        <v>46</v>
      </c>
      <c r="B79" s="69">
        <f t="shared" si="4"/>
        <v>5.0000000000000001E-3</v>
      </c>
      <c r="C79" s="69">
        <f t="shared" si="4"/>
        <v>5.0000000000000001E-3</v>
      </c>
      <c r="D79" s="69">
        <f t="shared" si="4"/>
        <v>5.0000000000000001E-3</v>
      </c>
      <c r="E79" s="69">
        <f t="shared" si="4"/>
        <v>5.0000000000000001E-3</v>
      </c>
      <c r="F79" s="69">
        <f t="shared" si="4"/>
        <v>5.0000000000000001E-3</v>
      </c>
      <c r="G79" s="69">
        <f t="shared" si="7"/>
        <v>6.7142857142857143E-3</v>
      </c>
      <c r="H79" s="69">
        <f t="shared" si="7"/>
        <v>8.4285714285714294E-3</v>
      </c>
      <c r="I79" s="69">
        <f t="shared" si="7"/>
        <v>1.0142857142857144E-2</v>
      </c>
      <c r="J79" s="69">
        <f t="shared" si="7"/>
        <v>1.1857142857142858E-2</v>
      </c>
      <c r="K79" s="69">
        <f t="shared" si="7"/>
        <v>1.3571428571428571E-2</v>
      </c>
      <c r="L79" s="69">
        <f t="shared" si="7"/>
        <v>1.5285714285714288E-2</v>
      </c>
      <c r="M79" s="69">
        <f t="shared" si="5"/>
        <v>1.7000000000000001E-2</v>
      </c>
      <c r="N79" s="69">
        <f t="shared" ref="N79:AK79" si="30">IF($G28="",$C28,$G28)</f>
        <v>1.7000000000000001E-2</v>
      </c>
      <c r="O79" s="69">
        <f t="shared" si="30"/>
        <v>1.7000000000000001E-2</v>
      </c>
      <c r="P79" s="69">
        <f t="shared" si="30"/>
        <v>1.7000000000000001E-2</v>
      </c>
      <c r="Q79" s="69">
        <f t="shared" si="30"/>
        <v>1.7000000000000001E-2</v>
      </c>
      <c r="R79" s="69">
        <f t="shared" si="30"/>
        <v>1.7000000000000001E-2</v>
      </c>
      <c r="S79" s="69">
        <f t="shared" si="30"/>
        <v>1.7000000000000001E-2</v>
      </c>
      <c r="T79" s="69">
        <f t="shared" si="30"/>
        <v>1.7000000000000001E-2</v>
      </c>
      <c r="U79" s="69">
        <f t="shared" si="30"/>
        <v>1.7000000000000001E-2</v>
      </c>
      <c r="V79" s="69">
        <f t="shared" si="30"/>
        <v>1.7000000000000001E-2</v>
      </c>
      <c r="W79" s="69">
        <f t="shared" si="30"/>
        <v>1.7000000000000001E-2</v>
      </c>
      <c r="X79" s="69">
        <f t="shared" si="30"/>
        <v>1.7000000000000001E-2</v>
      </c>
      <c r="Y79" s="69">
        <f t="shared" si="30"/>
        <v>1.7000000000000001E-2</v>
      </c>
      <c r="Z79" s="69">
        <f t="shared" si="30"/>
        <v>1.7000000000000001E-2</v>
      </c>
      <c r="AA79" s="69">
        <f t="shared" si="30"/>
        <v>1.7000000000000001E-2</v>
      </c>
      <c r="AB79" s="69">
        <f t="shared" si="30"/>
        <v>1.7000000000000001E-2</v>
      </c>
      <c r="AC79" s="69">
        <f t="shared" si="30"/>
        <v>1.7000000000000001E-2</v>
      </c>
      <c r="AD79" s="69">
        <f t="shared" si="30"/>
        <v>1.7000000000000001E-2</v>
      </c>
      <c r="AE79" s="69">
        <f t="shared" si="30"/>
        <v>1.7000000000000001E-2</v>
      </c>
      <c r="AF79" s="69">
        <f t="shared" si="30"/>
        <v>1.7000000000000001E-2</v>
      </c>
      <c r="AG79" s="69">
        <f t="shared" si="30"/>
        <v>1.7000000000000001E-2</v>
      </c>
      <c r="AH79" s="69">
        <f t="shared" si="30"/>
        <v>1.7000000000000001E-2</v>
      </c>
      <c r="AI79" s="69">
        <f t="shared" si="30"/>
        <v>1.7000000000000001E-2</v>
      </c>
      <c r="AJ79" s="69">
        <f t="shared" si="30"/>
        <v>1.7000000000000001E-2</v>
      </c>
      <c r="AK79" s="69">
        <f t="shared" si="30"/>
        <v>1.7000000000000001E-2</v>
      </c>
    </row>
    <row r="80" spans="1:37" x14ac:dyDescent="0.25">
      <c r="A80" s="1" t="s">
        <v>47</v>
      </c>
      <c r="B80" s="69">
        <f t="shared" si="4"/>
        <v>2E-3</v>
      </c>
      <c r="C80" s="69">
        <f t="shared" si="4"/>
        <v>2E-3</v>
      </c>
      <c r="D80" s="69">
        <f t="shared" si="4"/>
        <v>2E-3</v>
      </c>
      <c r="E80" s="69">
        <f t="shared" si="4"/>
        <v>2E-3</v>
      </c>
      <c r="F80" s="69">
        <f t="shared" si="4"/>
        <v>2E-3</v>
      </c>
      <c r="G80" s="69">
        <f t="shared" si="7"/>
        <v>2.8571428571428571E-3</v>
      </c>
      <c r="H80" s="69">
        <f t="shared" si="7"/>
        <v>3.7142857142857142E-3</v>
      </c>
      <c r="I80" s="69">
        <f t="shared" si="7"/>
        <v>4.5714285714285718E-3</v>
      </c>
      <c r="J80" s="69">
        <f t="shared" si="7"/>
        <v>5.4285714285714284E-3</v>
      </c>
      <c r="K80" s="69">
        <f t="shared" si="7"/>
        <v>6.285714285714286E-3</v>
      </c>
      <c r="L80" s="69">
        <f t="shared" si="7"/>
        <v>7.1428571428571435E-3</v>
      </c>
      <c r="M80" s="69">
        <f t="shared" si="5"/>
        <v>8.0000000000000002E-3</v>
      </c>
      <c r="N80" s="69">
        <f t="shared" ref="N80:AK80" si="31">IF($G29="",$C29,$G29)</f>
        <v>8.0000000000000002E-3</v>
      </c>
      <c r="O80" s="69">
        <f t="shared" si="31"/>
        <v>8.0000000000000002E-3</v>
      </c>
      <c r="P80" s="69">
        <f t="shared" si="31"/>
        <v>8.0000000000000002E-3</v>
      </c>
      <c r="Q80" s="69">
        <f t="shared" si="31"/>
        <v>8.0000000000000002E-3</v>
      </c>
      <c r="R80" s="69">
        <f t="shared" si="31"/>
        <v>8.0000000000000002E-3</v>
      </c>
      <c r="S80" s="69">
        <f t="shared" si="31"/>
        <v>8.0000000000000002E-3</v>
      </c>
      <c r="T80" s="69">
        <f t="shared" si="31"/>
        <v>8.0000000000000002E-3</v>
      </c>
      <c r="U80" s="69">
        <f t="shared" si="31"/>
        <v>8.0000000000000002E-3</v>
      </c>
      <c r="V80" s="69">
        <f t="shared" si="31"/>
        <v>8.0000000000000002E-3</v>
      </c>
      <c r="W80" s="69">
        <f t="shared" si="31"/>
        <v>8.0000000000000002E-3</v>
      </c>
      <c r="X80" s="69">
        <f t="shared" si="31"/>
        <v>8.0000000000000002E-3</v>
      </c>
      <c r="Y80" s="69">
        <f t="shared" si="31"/>
        <v>8.0000000000000002E-3</v>
      </c>
      <c r="Z80" s="69">
        <f t="shared" si="31"/>
        <v>8.0000000000000002E-3</v>
      </c>
      <c r="AA80" s="69">
        <f t="shared" si="31"/>
        <v>8.0000000000000002E-3</v>
      </c>
      <c r="AB80" s="69">
        <f t="shared" si="31"/>
        <v>8.0000000000000002E-3</v>
      </c>
      <c r="AC80" s="69">
        <f t="shared" si="31"/>
        <v>8.0000000000000002E-3</v>
      </c>
      <c r="AD80" s="69">
        <f t="shared" si="31"/>
        <v>8.0000000000000002E-3</v>
      </c>
      <c r="AE80" s="69">
        <f t="shared" si="31"/>
        <v>8.0000000000000002E-3</v>
      </c>
      <c r="AF80" s="69">
        <f t="shared" si="31"/>
        <v>8.0000000000000002E-3</v>
      </c>
      <c r="AG80" s="69">
        <f t="shared" si="31"/>
        <v>8.0000000000000002E-3</v>
      </c>
      <c r="AH80" s="69">
        <f t="shared" si="31"/>
        <v>8.0000000000000002E-3</v>
      </c>
      <c r="AI80" s="69">
        <f t="shared" si="31"/>
        <v>8.0000000000000002E-3</v>
      </c>
      <c r="AJ80" s="69">
        <f t="shared" si="31"/>
        <v>8.0000000000000002E-3</v>
      </c>
      <c r="AK80" s="69">
        <f t="shared" si="31"/>
        <v>8.0000000000000002E-3</v>
      </c>
    </row>
    <row r="81" spans="1:37" x14ac:dyDescent="0.25">
      <c r="A81" s="1" t="s">
        <v>48</v>
      </c>
      <c r="B81" s="69">
        <f t="shared" si="4"/>
        <v>1.465340909090909E-2</v>
      </c>
      <c r="C81" s="69">
        <f t="shared" si="4"/>
        <v>1.465340909090909E-2</v>
      </c>
      <c r="D81" s="69">
        <f t="shared" si="4"/>
        <v>1.465340909090909E-2</v>
      </c>
      <c r="E81" s="69">
        <f t="shared" si="4"/>
        <v>1.465340909090909E-2</v>
      </c>
      <c r="F81" s="69">
        <f t="shared" si="4"/>
        <v>1.465340909090909E-2</v>
      </c>
      <c r="G81" s="69">
        <f t="shared" si="7"/>
        <v>1.4900157100963552E-2</v>
      </c>
      <c r="H81" s="69">
        <f t="shared" si="7"/>
        <v>1.5146905111018015E-2</v>
      </c>
      <c r="I81" s="69">
        <f t="shared" si="7"/>
        <v>1.5393653121072477E-2</v>
      </c>
      <c r="J81" s="69">
        <f t="shared" si="7"/>
        <v>1.5640401131126937E-2</v>
      </c>
      <c r="K81" s="69">
        <f t="shared" si="7"/>
        <v>1.58871491411814E-2</v>
      </c>
      <c r="L81" s="69">
        <f t="shared" si="7"/>
        <v>1.6133897151235862E-2</v>
      </c>
      <c r="M81" s="69">
        <f t="shared" si="5"/>
        <v>1.6380645161290324E-2</v>
      </c>
      <c r="N81" s="69">
        <f t="shared" ref="N81:AK81" si="32">IF($G30="",$C30,$G30)</f>
        <v>1.6380645161290324E-2</v>
      </c>
      <c r="O81" s="69">
        <f t="shared" si="32"/>
        <v>1.6380645161290324E-2</v>
      </c>
      <c r="P81" s="69">
        <f t="shared" si="32"/>
        <v>1.6380645161290324E-2</v>
      </c>
      <c r="Q81" s="69">
        <f t="shared" si="32"/>
        <v>1.6380645161290324E-2</v>
      </c>
      <c r="R81" s="69">
        <f t="shared" si="32"/>
        <v>1.6380645161290324E-2</v>
      </c>
      <c r="S81" s="69">
        <f t="shared" si="32"/>
        <v>1.6380645161290324E-2</v>
      </c>
      <c r="T81" s="69">
        <f t="shared" si="32"/>
        <v>1.6380645161290324E-2</v>
      </c>
      <c r="U81" s="69">
        <f t="shared" si="32"/>
        <v>1.6380645161290324E-2</v>
      </c>
      <c r="V81" s="69">
        <f t="shared" si="32"/>
        <v>1.6380645161290324E-2</v>
      </c>
      <c r="W81" s="69">
        <f t="shared" si="32"/>
        <v>1.6380645161290324E-2</v>
      </c>
      <c r="X81" s="69">
        <f t="shared" si="32"/>
        <v>1.6380645161290324E-2</v>
      </c>
      <c r="Y81" s="69">
        <f t="shared" si="32"/>
        <v>1.6380645161290324E-2</v>
      </c>
      <c r="Z81" s="69">
        <f t="shared" si="32"/>
        <v>1.6380645161290324E-2</v>
      </c>
      <c r="AA81" s="69">
        <f t="shared" si="32"/>
        <v>1.6380645161290324E-2</v>
      </c>
      <c r="AB81" s="69">
        <f t="shared" si="32"/>
        <v>1.6380645161290324E-2</v>
      </c>
      <c r="AC81" s="69">
        <f t="shared" si="32"/>
        <v>1.6380645161290324E-2</v>
      </c>
      <c r="AD81" s="69">
        <f t="shared" si="32"/>
        <v>1.6380645161290324E-2</v>
      </c>
      <c r="AE81" s="69">
        <f t="shared" si="32"/>
        <v>1.6380645161290324E-2</v>
      </c>
      <c r="AF81" s="69">
        <f t="shared" si="32"/>
        <v>1.6380645161290324E-2</v>
      </c>
      <c r="AG81" s="69">
        <f t="shared" si="32"/>
        <v>1.6380645161290324E-2</v>
      </c>
      <c r="AH81" s="69">
        <f t="shared" si="32"/>
        <v>1.6380645161290324E-2</v>
      </c>
      <c r="AI81" s="69">
        <f t="shared" si="32"/>
        <v>1.6380645161290324E-2</v>
      </c>
      <c r="AJ81" s="69">
        <f t="shared" si="32"/>
        <v>1.6380645161290324E-2</v>
      </c>
      <c r="AK81" s="69">
        <f t="shared" si="32"/>
        <v>1.6380645161290324E-2</v>
      </c>
    </row>
    <row r="82" spans="1:37" x14ac:dyDescent="0.25">
      <c r="A82" s="1" t="s">
        <v>19</v>
      </c>
      <c r="B82" s="69">
        <f t="shared" si="4"/>
        <v>0.02</v>
      </c>
      <c r="C82" s="69">
        <f t="shared" si="4"/>
        <v>0.02</v>
      </c>
      <c r="D82" s="69">
        <f t="shared" si="4"/>
        <v>0.02</v>
      </c>
      <c r="E82" s="69">
        <f t="shared" si="4"/>
        <v>0.02</v>
      </c>
      <c r="F82" s="69">
        <f t="shared" si="4"/>
        <v>0.02</v>
      </c>
      <c r="G82" s="69">
        <f t="shared" si="7"/>
        <v>1.8142857142857145E-2</v>
      </c>
      <c r="H82" s="69">
        <f t="shared" si="7"/>
        <v>1.6285714285714285E-2</v>
      </c>
      <c r="I82" s="69">
        <f t="shared" si="7"/>
        <v>1.4428571428571428E-2</v>
      </c>
      <c r="J82" s="69">
        <f t="shared" si="7"/>
        <v>1.257142857142857E-2</v>
      </c>
      <c r="K82" s="69">
        <f t="shared" si="7"/>
        <v>1.0714285714285714E-2</v>
      </c>
      <c r="L82" s="69">
        <f t="shared" si="7"/>
        <v>8.8571428571428551E-3</v>
      </c>
      <c r="M82" s="69">
        <f t="shared" si="5"/>
        <v>7.0000000000000001E-3</v>
      </c>
      <c r="N82" s="69">
        <f t="shared" ref="N82:AK82" si="33">IF($G31="",$C31,$G31)</f>
        <v>7.0000000000000001E-3</v>
      </c>
      <c r="O82" s="69">
        <f t="shared" si="33"/>
        <v>7.0000000000000001E-3</v>
      </c>
      <c r="P82" s="69">
        <f t="shared" si="33"/>
        <v>7.0000000000000001E-3</v>
      </c>
      <c r="Q82" s="69">
        <f t="shared" si="33"/>
        <v>7.0000000000000001E-3</v>
      </c>
      <c r="R82" s="69">
        <f t="shared" si="33"/>
        <v>7.0000000000000001E-3</v>
      </c>
      <c r="S82" s="69">
        <f t="shared" si="33"/>
        <v>7.0000000000000001E-3</v>
      </c>
      <c r="T82" s="69">
        <f t="shared" si="33"/>
        <v>7.0000000000000001E-3</v>
      </c>
      <c r="U82" s="69">
        <f t="shared" si="33"/>
        <v>7.0000000000000001E-3</v>
      </c>
      <c r="V82" s="69">
        <f t="shared" si="33"/>
        <v>7.0000000000000001E-3</v>
      </c>
      <c r="W82" s="69">
        <f t="shared" si="33"/>
        <v>7.0000000000000001E-3</v>
      </c>
      <c r="X82" s="69">
        <f t="shared" si="33"/>
        <v>7.0000000000000001E-3</v>
      </c>
      <c r="Y82" s="69">
        <f t="shared" si="33"/>
        <v>7.0000000000000001E-3</v>
      </c>
      <c r="Z82" s="69">
        <f t="shared" si="33"/>
        <v>7.0000000000000001E-3</v>
      </c>
      <c r="AA82" s="69">
        <f t="shared" si="33"/>
        <v>7.0000000000000001E-3</v>
      </c>
      <c r="AB82" s="69">
        <f t="shared" si="33"/>
        <v>7.0000000000000001E-3</v>
      </c>
      <c r="AC82" s="69">
        <f t="shared" si="33"/>
        <v>7.0000000000000001E-3</v>
      </c>
      <c r="AD82" s="69">
        <f t="shared" si="33"/>
        <v>7.0000000000000001E-3</v>
      </c>
      <c r="AE82" s="69">
        <f t="shared" si="33"/>
        <v>7.0000000000000001E-3</v>
      </c>
      <c r="AF82" s="69">
        <f t="shared" si="33"/>
        <v>7.0000000000000001E-3</v>
      </c>
      <c r="AG82" s="69">
        <f t="shared" si="33"/>
        <v>7.0000000000000001E-3</v>
      </c>
      <c r="AH82" s="69">
        <f t="shared" si="33"/>
        <v>7.0000000000000001E-3</v>
      </c>
      <c r="AI82" s="69">
        <f t="shared" si="33"/>
        <v>7.0000000000000001E-3</v>
      </c>
      <c r="AJ82" s="69">
        <f t="shared" si="33"/>
        <v>7.0000000000000001E-3</v>
      </c>
      <c r="AK82" s="69">
        <f t="shared" si="33"/>
        <v>7.0000000000000001E-3</v>
      </c>
    </row>
    <row r="83" spans="1:37" x14ac:dyDescent="0.25">
      <c r="A83" s="1" t="s">
        <v>20</v>
      </c>
      <c r="B83" s="69">
        <f t="shared" si="4"/>
        <v>4.1035167252340458E-2</v>
      </c>
      <c r="C83" s="69">
        <f t="shared" si="4"/>
        <v>4.1035167252340458E-2</v>
      </c>
      <c r="D83" s="69">
        <f t="shared" si="4"/>
        <v>4.1035167252340458E-2</v>
      </c>
      <c r="E83" s="69">
        <f t="shared" si="4"/>
        <v>4.1035167252340458E-2</v>
      </c>
      <c r="F83" s="69">
        <f t="shared" si="4"/>
        <v>4.1035167252340458E-2</v>
      </c>
      <c r="G83" s="69">
        <f t="shared" si="7"/>
        <v>3.8747459557594871E-2</v>
      </c>
      <c r="H83" s="69">
        <f t="shared" si="7"/>
        <v>3.6459751862849284E-2</v>
      </c>
      <c r="I83" s="69">
        <f t="shared" si="7"/>
        <v>3.4172044168103689E-2</v>
      </c>
      <c r="J83" s="69">
        <f t="shared" si="7"/>
        <v>3.1884336473358102E-2</v>
      </c>
      <c r="K83" s="69">
        <f t="shared" si="7"/>
        <v>2.9596628778612515E-2</v>
      </c>
      <c r="L83" s="69">
        <f t="shared" si="7"/>
        <v>2.7308921083866924E-2</v>
      </c>
      <c r="M83" s="69">
        <f t="shared" si="5"/>
        <v>2.5021213389121336E-2</v>
      </c>
      <c r="N83" s="69">
        <f t="shared" ref="N83:AK83" si="34">IF($G32="",$C32,$G32)</f>
        <v>2.5021213389121336E-2</v>
      </c>
      <c r="O83" s="69">
        <f t="shared" si="34"/>
        <v>2.5021213389121336E-2</v>
      </c>
      <c r="P83" s="69">
        <f t="shared" si="34"/>
        <v>2.5021213389121336E-2</v>
      </c>
      <c r="Q83" s="69">
        <f t="shared" si="34"/>
        <v>2.5021213389121336E-2</v>
      </c>
      <c r="R83" s="69">
        <f t="shared" si="34"/>
        <v>2.5021213389121336E-2</v>
      </c>
      <c r="S83" s="69">
        <f t="shared" si="34"/>
        <v>2.5021213389121336E-2</v>
      </c>
      <c r="T83" s="69">
        <f t="shared" si="34"/>
        <v>2.5021213389121336E-2</v>
      </c>
      <c r="U83" s="69">
        <f t="shared" si="34"/>
        <v>2.5021213389121336E-2</v>
      </c>
      <c r="V83" s="69">
        <f t="shared" si="34"/>
        <v>2.5021213389121336E-2</v>
      </c>
      <c r="W83" s="69">
        <f t="shared" si="34"/>
        <v>2.5021213389121336E-2</v>
      </c>
      <c r="X83" s="69">
        <f t="shared" si="34"/>
        <v>2.5021213389121336E-2</v>
      </c>
      <c r="Y83" s="69">
        <f t="shared" si="34"/>
        <v>2.5021213389121336E-2</v>
      </c>
      <c r="Z83" s="69">
        <f t="shared" si="34"/>
        <v>2.5021213389121336E-2</v>
      </c>
      <c r="AA83" s="69">
        <f t="shared" si="34"/>
        <v>2.5021213389121336E-2</v>
      </c>
      <c r="AB83" s="69">
        <f t="shared" si="34"/>
        <v>2.5021213389121336E-2</v>
      </c>
      <c r="AC83" s="69">
        <f t="shared" si="34"/>
        <v>2.5021213389121336E-2</v>
      </c>
      <c r="AD83" s="69">
        <f t="shared" si="34"/>
        <v>2.5021213389121336E-2</v>
      </c>
      <c r="AE83" s="69">
        <f t="shared" si="34"/>
        <v>2.5021213389121336E-2</v>
      </c>
      <c r="AF83" s="69">
        <f t="shared" si="34"/>
        <v>2.5021213389121336E-2</v>
      </c>
      <c r="AG83" s="69">
        <f t="shared" si="34"/>
        <v>2.5021213389121336E-2</v>
      </c>
      <c r="AH83" s="69">
        <f t="shared" si="34"/>
        <v>2.5021213389121336E-2</v>
      </c>
      <c r="AI83" s="69">
        <f t="shared" si="34"/>
        <v>2.5021213389121336E-2</v>
      </c>
      <c r="AJ83" s="69">
        <f t="shared" si="34"/>
        <v>2.5021213389121336E-2</v>
      </c>
      <c r="AK83" s="69">
        <f t="shared" si="34"/>
        <v>2.5021213389121336E-2</v>
      </c>
    </row>
    <row r="84" spans="1:37" x14ac:dyDescent="0.25">
      <c r="A84" s="1" t="s">
        <v>21</v>
      </c>
      <c r="B84" s="69">
        <f t="shared" si="4"/>
        <v>1.8000000000000002E-2</v>
      </c>
      <c r="C84" s="69">
        <f t="shared" si="4"/>
        <v>1.8000000000000002E-2</v>
      </c>
      <c r="D84" s="69">
        <f t="shared" si="4"/>
        <v>1.8000000000000002E-2</v>
      </c>
      <c r="E84" s="69">
        <f t="shared" si="4"/>
        <v>1.8000000000000002E-2</v>
      </c>
      <c r="F84" s="69">
        <f t="shared" si="4"/>
        <v>1.8000000000000002E-2</v>
      </c>
      <c r="G84" s="69">
        <f t="shared" si="7"/>
        <v>1.7714285714285717E-2</v>
      </c>
      <c r="H84" s="69">
        <f t="shared" si="7"/>
        <v>1.7428571428571429E-2</v>
      </c>
      <c r="I84" s="69">
        <f t="shared" si="7"/>
        <v>1.7142857142857144E-2</v>
      </c>
      <c r="J84" s="69">
        <f t="shared" si="7"/>
        <v>1.6857142857142859E-2</v>
      </c>
      <c r="K84" s="69">
        <f t="shared" si="7"/>
        <v>1.6571428571428574E-2</v>
      </c>
      <c r="L84" s="69">
        <f t="shared" si="7"/>
        <v>1.6285714285714285E-2</v>
      </c>
      <c r="M84" s="69">
        <f t="shared" si="5"/>
        <v>1.6E-2</v>
      </c>
      <c r="N84" s="69">
        <f t="shared" ref="N84:AK84" si="35">IF($G33="",$C33,$G33)</f>
        <v>1.6E-2</v>
      </c>
      <c r="O84" s="69">
        <f t="shared" si="35"/>
        <v>1.6E-2</v>
      </c>
      <c r="P84" s="69">
        <f t="shared" si="35"/>
        <v>1.6E-2</v>
      </c>
      <c r="Q84" s="69">
        <f t="shared" si="35"/>
        <v>1.6E-2</v>
      </c>
      <c r="R84" s="69">
        <f t="shared" si="35"/>
        <v>1.6E-2</v>
      </c>
      <c r="S84" s="69">
        <f t="shared" si="35"/>
        <v>1.6E-2</v>
      </c>
      <c r="T84" s="69">
        <f t="shared" si="35"/>
        <v>1.6E-2</v>
      </c>
      <c r="U84" s="69">
        <f t="shared" si="35"/>
        <v>1.6E-2</v>
      </c>
      <c r="V84" s="69">
        <f t="shared" si="35"/>
        <v>1.6E-2</v>
      </c>
      <c r="W84" s="69">
        <f t="shared" si="35"/>
        <v>1.6E-2</v>
      </c>
      <c r="X84" s="69">
        <f t="shared" si="35"/>
        <v>1.6E-2</v>
      </c>
      <c r="Y84" s="69">
        <f t="shared" si="35"/>
        <v>1.6E-2</v>
      </c>
      <c r="Z84" s="69">
        <f t="shared" si="35"/>
        <v>1.6E-2</v>
      </c>
      <c r="AA84" s="69">
        <f t="shared" si="35"/>
        <v>1.6E-2</v>
      </c>
      <c r="AB84" s="69">
        <f t="shared" si="35"/>
        <v>1.6E-2</v>
      </c>
      <c r="AC84" s="69">
        <f t="shared" si="35"/>
        <v>1.6E-2</v>
      </c>
      <c r="AD84" s="69">
        <f t="shared" si="35"/>
        <v>1.6E-2</v>
      </c>
      <c r="AE84" s="69">
        <f t="shared" si="35"/>
        <v>1.6E-2</v>
      </c>
      <c r="AF84" s="69">
        <f t="shared" si="35"/>
        <v>1.6E-2</v>
      </c>
      <c r="AG84" s="69">
        <f t="shared" si="35"/>
        <v>1.6E-2</v>
      </c>
      <c r="AH84" s="69">
        <f t="shared" si="35"/>
        <v>1.6E-2</v>
      </c>
      <c r="AI84" s="69">
        <f t="shared" si="35"/>
        <v>1.6E-2</v>
      </c>
      <c r="AJ84" s="69">
        <f t="shared" si="35"/>
        <v>1.6E-2</v>
      </c>
      <c r="AK84" s="69">
        <f t="shared" si="35"/>
        <v>1.6E-2</v>
      </c>
    </row>
    <row r="85" spans="1:37" x14ac:dyDescent="0.25">
      <c r="A85" s="1" t="s">
        <v>22</v>
      </c>
      <c r="B85" s="69">
        <f t="shared" si="4"/>
        <v>3.1E-2</v>
      </c>
      <c r="C85" s="69">
        <f t="shared" si="4"/>
        <v>3.1E-2</v>
      </c>
      <c r="D85" s="69">
        <f t="shared" si="4"/>
        <v>3.1E-2</v>
      </c>
      <c r="E85" s="69">
        <f t="shared" si="4"/>
        <v>3.1E-2</v>
      </c>
      <c r="F85" s="69">
        <f t="shared" si="4"/>
        <v>3.1E-2</v>
      </c>
      <c r="G85" s="69">
        <f t="shared" si="7"/>
        <v>2.9571428571428571E-2</v>
      </c>
      <c r="H85" s="69">
        <f t="shared" si="7"/>
        <v>2.8142857142857143E-2</v>
      </c>
      <c r="I85" s="69">
        <f t="shared" si="7"/>
        <v>2.6714285714285715E-2</v>
      </c>
      <c r="J85" s="69">
        <f t="shared" si="7"/>
        <v>2.5285714285714286E-2</v>
      </c>
      <c r="K85" s="69">
        <f t="shared" si="7"/>
        <v>2.3857142857142858E-2</v>
      </c>
      <c r="L85" s="69">
        <f t="shared" si="7"/>
        <v>2.242857142857143E-2</v>
      </c>
      <c r="M85" s="69">
        <f t="shared" si="5"/>
        <v>2.1000000000000001E-2</v>
      </c>
      <c r="N85" s="69">
        <f t="shared" ref="N85:AK85" si="36">IF($G34="",$C34,$G34)</f>
        <v>2.1000000000000001E-2</v>
      </c>
      <c r="O85" s="69">
        <f t="shared" si="36"/>
        <v>2.1000000000000001E-2</v>
      </c>
      <c r="P85" s="69">
        <f t="shared" si="36"/>
        <v>2.1000000000000001E-2</v>
      </c>
      <c r="Q85" s="69">
        <f t="shared" si="36"/>
        <v>2.1000000000000001E-2</v>
      </c>
      <c r="R85" s="69">
        <f t="shared" si="36"/>
        <v>2.1000000000000001E-2</v>
      </c>
      <c r="S85" s="69">
        <f t="shared" si="36"/>
        <v>2.1000000000000001E-2</v>
      </c>
      <c r="T85" s="69">
        <f t="shared" si="36"/>
        <v>2.1000000000000001E-2</v>
      </c>
      <c r="U85" s="69">
        <f t="shared" si="36"/>
        <v>2.1000000000000001E-2</v>
      </c>
      <c r="V85" s="69">
        <f t="shared" si="36"/>
        <v>2.1000000000000001E-2</v>
      </c>
      <c r="W85" s="69">
        <f t="shared" si="36"/>
        <v>2.1000000000000001E-2</v>
      </c>
      <c r="X85" s="69">
        <f t="shared" si="36"/>
        <v>2.1000000000000001E-2</v>
      </c>
      <c r="Y85" s="69">
        <f t="shared" si="36"/>
        <v>2.1000000000000001E-2</v>
      </c>
      <c r="Z85" s="69">
        <f t="shared" si="36"/>
        <v>2.1000000000000001E-2</v>
      </c>
      <c r="AA85" s="69">
        <f t="shared" si="36"/>
        <v>2.1000000000000001E-2</v>
      </c>
      <c r="AB85" s="69">
        <f t="shared" si="36"/>
        <v>2.1000000000000001E-2</v>
      </c>
      <c r="AC85" s="69">
        <f t="shared" si="36"/>
        <v>2.1000000000000001E-2</v>
      </c>
      <c r="AD85" s="69">
        <f t="shared" si="36"/>
        <v>2.1000000000000001E-2</v>
      </c>
      <c r="AE85" s="69">
        <f t="shared" si="36"/>
        <v>2.1000000000000001E-2</v>
      </c>
      <c r="AF85" s="69">
        <f t="shared" si="36"/>
        <v>2.1000000000000001E-2</v>
      </c>
      <c r="AG85" s="69">
        <f t="shared" si="36"/>
        <v>2.1000000000000001E-2</v>
      </c>
      <c r="AH85" s="69">
        <f t="shared" si="36"/>
        <v>2.1000000000000001E-2</v>
      </c>
      <c r="AI85" s="69">
        <f t="shared" si="36"/>
        <v>2.1000000000000001E-2</v>
      </c>
      <c r="AJ85" s="69">
        <f t="shared" si="36"/>
        <v>2.1000000000000001E-2</v>
      </c>
      <c r="AK85" s="69">
        <f t="shared" si="36"/>
        <v>2.1000000000000001E-2</v>
      </c>
    </row>
    <row r="86" spans="1:37" x14ac:dyDescent="0.25">
      <c r="A86" s="1" t="s">
        <v>23</v>
      </c>
      <c r="B86" s="69">
        <f t="shared" si="4"/>
        <v>2.2434706140993698E-2</v>
      </c>
      <c r="C86" s="69">
        <f t="shared" si="4"/>
        <v>2.2434706140993698E-2</v>
      </c>
      <c r="D86" s="69">
        <f t="shared" si="4"/>
        <v>2.2434706140993698E-2</v>
      </c>
      <c r="E86" s="69">
        <f t="shared" si="4"/>
        <v>2.2434706140993698E-2</v>
      </c>
      <c r="F86" s="69">
        <f t="shared" si="4"/>
        <v>2.2434706140993698E-2</v>
      </c>
      <c r="G86" s="69">
        <f t="shared" si="7"/>
        <v>2.300115725152601E-2</v>
      </c>
      <c r="H86" s="69">
        <f t="shared" si="7"/>
        <v>2.3567608362058325E-2</v>
      </c>
      <c r="I86" s="69">
        <f t="shared" si="7"/>
        <v>2.4134059472590636E-2</v>
      </c>
      <c r="J86" s="69">
        <f t="shared" si="7"/>
        <v>2.4700510583122951E-2</v>
      </c>
      <c r="K86" s="69">
        <f t="shared" si="7"/>
        <v>2.5266961693655263E-2</v>
      </c>
      <c r="L86" s="69">
        <f t="shared" si="7"/>
        <v>2.5833412804187578E-2</v>
      </c>
      <c r="M86" s="69">
        <f t="shared" si="5"/>
        <v>2.6399863914719889E-2</v>
      </c>
      <c r="N86" s="69">
        <f t="shared" ref="N86:AK86" si="37">IF($G35="",$C35,$G35)</f>
        <v>2.6399863914719889E-2</v>
      </c>
      <c r="O86" s="69">
        <f t="shared" si="37"/>
        <v>2.6399863914719889E-2</v>
      </c>
      <c r="P86" s="69">
        <f t="shared" si="37"/>
        <v>2.6399863914719889E-2</v>
      </c>
      <c r="Q86" s="69">
        <f t="shared" si="37"/>
        <v>2.6399863914719889E-2</v>
      </c>
      <c r="R86" s="69">
        <f t="shared" si="37"/>
        <v>2.6399863914719889E-2</v>
      </c>
      <c r="S86" s="69">
        <f t="shared" si="37"/>
        <v>2.6399863914719889E-2</v>
      </c>
      <c r="T86" s="69">
        <f t="shared" si="37"/>
        <v>2.6399863914719889E-2</v>
      </c>
      <c r="U86" s="69">
        <f t="shared" si="37"/>
        <v>2.6399863914719889E-2</v>
      </c>
      <c r="V86" s="69">
        <f t="shared" si="37"/>
        <v>2.6399863914719889E-2</v>
      </c>
      <c r="W86" s="69">
        <f t="shared" si="37"/>
        <v>2.6399863914719889E-2</v>
      </c>
      <c r="X86" s="69">
        <f t="shared" si="37"/>
        <v>2.6399863914719889E-2</v>
      </c>
      <c r="Y86" s="69">
        <f t="shared" si="37"/>
        <v>2.6399863914719889E-2</v>
      </c>
      <c r="Z86" s="69">
        <f t="shared" si="37"/>
        <v>2.6399863914719889E-2</v>
      </c>
      <c r="AA86" s="69">
        <f t="shared" si="37"/>
        <v>2.6399863914719889E-2</v>
      </c>
      <c r="AB86" s="69">
        <f t="shared" si="37"/>
        <v>2.6399863914719889E-2</v>
      </c>
      <c r="AC86" s="69">
        <f t="shared" si="37"/>
        <v>2.6399863914719889E-2</v>
      </c>
      <c r="AD86" s="69">
        <f t="shared" si="37"/>
        <v>2.6399863914719889E-2</v>
      </c>
      <c r="AE86" s="69">
        <f t="shared" si="37"/>
        <v>2.6399863914719889E-2</v>
      </c>
      <c r="AF86" s="69">
        <f t="shared" si="37"/>
        <v>2.6399863914719889E-2</v>
      </c>
      <c r="AG86" s="69">
        <f t="shared" si="37"/>
        <v>2.6399863914719889E-2</v>
      </c>
      <c r="AH86" s="69">
        <f t="shared" si="37"/>
        <v>2.6399863914719889E-2</v>
      </c>
      <c r="AI86" s="69">
        <f t="shared" si="37"/>
        <v>2.6399863914719889E-2</v>
      </c>
      <c r="AJ86" s="69">
        <f t="shared" si="37"/>
        <v>2.6399863914719889E-2</v>
      </c>
      <c r="AK86" s="69">
        <f t="shared" si="37"/>
        <v>2.6399863914719889E-2</v>
      </c>
    </row>
    <row r="87" spans="1:37" x14ac:dyDescent="0.25">
      <c r="A87" s="1" t="s">
        <v>24</v>
      </c>
      <c r="B87" s="69">
        <f t="shared" si="4"/>
        <v>3.6999999999999998E-2</v>
      </c>
      <c r="C87" s="69">
        <f t="shared" si="4"/>
        <v>3.6999999999999998E-2</v>
      </c>
      <c r="D87" s="69">
        <f t="shared" si="4"/>
        <v>3.6999999999999998E-2</v>
      </c>
      <c r="E87" s="69">
        <f t="shared" si="4"/>
        <v>3.6999999999999998E-2</v>
      </c>
      <c r="F87" s="69">
        <f t="shared" si="4"/>
        <v>3.6999999999999998E-2</v>
      </c>
      <c r="G87" s="69">
        <f t="shared" si="7"/>
        <v>3.4571428571428572E-2</v>
      </c>
      <c r="H87" s="69">
        <f t="shared" si="7"/>
        <v>3.214285714285714E-2</v>
      </c>
      <c r="I87" s="69">
        <f t="shared" si="7"/>
        <v>2.9714285714285714E-2</v>
      </c>
      <c r="J87" s="69">
        <f t="shared" si="7"/>
        <v>2.7285714285714285E-2</v>
      </c>
      <c r="K87" s="69">
        <f t="shared" si="7"/>
        <v>2.4857142857142855E-2</v>
      </c>
      <c r="L87" s="69">
        <f t="shared" si="7"/>
        <v>2.242857142857143E-2</v>
      </c>
      <c r="M87" s="69">
        <f t="shared" si="5"/>
        <v>0.02</v>
      </c>
      <c r="N87" s="69">
        <f t="shared" ref="N87:AK87" si="38">IF($G36="",$C36,$G36)</f>
        <v>0.02</v>
      </c>
      <c r="O87" s="69">
        <f t="shared" si="38"/>
        <v>0.02</v>
      </c>
      <c r="P87" s="69">
        <f t="shared" si="38"/>
        <v>0.02</v>
      </c>
      <c r="Q87" s="69">
        <f t="shared" si="38"/>
        <v>0.02</v>
      </c>
      <c r="R87" s="69">
        <f t="shared" si="38"/>
        <v>0.02</v>
      </c>
      <c r="S87" s="69">
        <f t="shared" si="38"/>
        <v>0.02</v>
      </c>
      <c r="T87" s="69">
        <f t="shared" si="38"/>
        <v>0.02</v>
      </c>
      <c r="U87" s="69">
        <f t="shared" si="38"/>
        <v>0.02</v>
      </c>
      <c r="V87" s="69">
        <f t="shared" si="38"/>
        <v>0.02</v>
      </c>
      <c r="W87" s="69">
        <f t="shared" si="38"/>
        <v>0.02</v>
      </c>
      <c r="X87" s="69">
        <f t="shared" si="38"/>
        <v>0.02</v>
      </c>
      <c r="Y87" s="69">
        <f t="shared" si="38"/>
        <v>0.02</v>
      </c>
      <c r="Z87" s="69">
        <f t="shared" si="38"/>
        <v>0.02</v>
      </c>
      <c r="AA87" s="69">
        <f t="shared" si="38"/>
        <v>0.02</v>
      </c>
      <c r="AB87" s="69">
        <f t="shared" si="38"/>
        <v>0.02</v>
      </c>
      <c r="AC87" s="69">
        <f t="shared" si="38"/>
        <v>0.02</v>
      </c>
      <c r="AD87" s="69">
        <f t="shared" si="38"/>
        <v>0.02</v>
      </c>
      <c r="AE87" s="69">
        <f t="shared" si="38"/>
        <v>0.02</v>
      </c>
      <c r="AF87" s="69">
        <f t="shared" si="38"/>
        <v>0.02</v>
      </c>
      <c r="AG87" s="69">
        <f t="shared" si="38"/>
        <v>0.02</v>
      </c>
      <c r="AH87" s="69">
        <f t="shared" si="38"/>
        <v>0.02</v>
      </c>
      <c r="AI87" s="69">
        <f t="shared" si="38"/>
        <v>0.02</v>
      </c>
      <c r="AJ87" s="69">
        <f t="shared" si="38"/>
        <v>0.02</v>
      </c>
      <c r="AK87" s="69">
        <f t="shared" si="38"/>
        <v>0.02</v>
      </c>
    </row>
    <row r="88" spans="1:37" x14ac:dyDescent="0.25">
      <c r="A88" s="1" t="s">
        <v>25</v>
      </c>
      <c r="B88" s="69">
        <f t="shared" si="4"/>
        <v>0.13241387959866222</v>
      </c>
      <c r="C88" s="69">
        <f t="shared" si="4"/>
        <v>0.13241387959866222</v>
      </c>
      <c r="D88" s="69">
        <f t="shared" si="4"/>
        <v>0.13241387959866222</v>
      </c>
      <c r="E88" s="69">
        <f t="shared" si="4"/>
        <v>0.13241387959866222</v>
      </c>
      <c r="F88" s="69">
        <f t="shared" si="4"/>
        <v>0.13241387959866222</v>
      </c>
      <c r="G88" s="69">
        <f t="shared" si="7"/>
        <v>0.11882759154925858</v>
      </c>
      <c r="H88" s="69">
        <f t="shared" si="7"/>
        <v>0.10524130349985494</v>
      </c>
      <c r="I88" s="69">
        <f t="shared" si="7"/>
        <v>9.1655015450451321E-2</v>
      </c>
      <c r="J88" s="69">
        <f t="shared" si="7"/>
        <v>7.8068727401047672E-2</v>
      </c>
      <c r="K88" s="69">
        <f t="shared" si="7"/>
        <v>6.448243935164405E-2</v>
      </c>
      <c r="L88" s="69">
        <f t="shared" si="7"/>
        <v>5.0896151302240414E-2</v>
      </c>
      <c r="M88" s="69">
        <f t="shared" si="5"/>
        <v>3.7309863252836785E-2</v>
      </c>
      <c r="N88" s="69">
        <f t="shared" ref="N88:AK88" si="39">IF($G37="",$C37,$G37)</f>
        <v>3.7309863252836785E-2</v>
      </c>
      <c r="O88" s="69">
        <f t="shared" si="39"/>
        <v>3.7309863252836785E-2</v>
      </c>
      <c r="P88" s="69">
        <f t="shared" si="39"/>
        <v>3.7309863252836785E-2</v>
      </c>
      <c r="Q88" s="69">
        <f t="shared" si="39"/>
        <v>3.7309863252836785E-2</v>
      </c>
      <c r="R88" s="69">
        <f t="shared" si="39"/>
        <v>3.7309863252836785E-2</v>
      </c>
      <c r="S88" s="69">
        <f t="shared" si="39"/>
        <v>3.7309863252836785E-2</v>
      </c>
      <c r="T88" s="69">
        <f t="shared" si="39"/>
        <v>3.7309863252836785E-2</v>
      </c>
      <c r="U88" s="69">
        <f t="shared" si="39"/>
        <v>3.7309863252836785E-2</v>
      </c>
      <c r="V88" s="69">
        <f t="shared" si="39"/>
        <v>3.7309863252836785E-2</v>
      </c>
      <c r="W88" s="69">
        <f t="shared" si="39"/>
        <v>3.7309863252836785E-2</v>
      </c>
      <c r="X88" s="69">
        <f t="shared" si="39"/>
        <v>3.7309863252836785E-2</v>
      </c>
      <c r="Y88" s="69">
        <f t="shared" si="39"/>
        <v>3.7309863252836785E-2</v>
      </c>
      <c r="Z88" s="69">
        <f t="shared" si="39"/>
        <v>3.7309863252836785E-2</v>
      </c>
      <c r="AA88" s="69">
        <f t="shared" si="39"/>
        <v>3.7309863252836785E-2</v>
      </c>
      <c r="AB88" s="69">
        <f t="shared" si="39"/>
        <v>3.7309863252836785E-2</v>
      </c>
      <c r="AC88" s="69">
        <f t="shared" si="39"/>
        <v>3.7309863252836785E-2</v>
      </c>
      <c r="AD88" s="69">
        <f t="shared" si="39"/>
        <v>3.7309863252836785E-2</v>
      </c>
      <c r="AE88" s="69">
        <f t="shared" si="39"/>
        <v>3.7309863252836785E-2</v>
      </c>
      <c r="AF88" s="69">
        <f t="shared" si="39"/>
        <v>3.7309863252836785E-2</v>
      </c>
      <c r="AG88" s="69">
        <f t="shared" si="39"/>
        <v>3.7309863252836785E-2</v>
      </c>
      <c r="AH88" s="69">
        <f t="shared" si="39"/>
        <v>3.7309863252836785E-2</v>
      </c>
      <c r="AI88" s="69">
        <f t="shared" si="39"/>
        <v>3.7309863252836785E-2</v>
      </c>
      <c r="AJ88" s="69">
        <f t="shared" si="39"/>
        <v>3.7309863252836785E-2</v>
      </c>
      <c r="AK88" s="69">
        <f t="shared" si="39"/>
        <v>3.7309863252836785E-2</v>
      </c>
    </row>
    <row r="89" spans="1:37" x14ac:dyDescent="0.25">
      <c r="A89" s="1" t="s">
        <v>26</v>
      </c>
      <c r="B89" s="69">
        <f t="shared" si="4"/>
        <v>1.1000000000000001E-2</v>
      </c>
      <c r="C89" s="69">
        <f t="shared" si="4"/>
        <v>1.1000000000000001E-2</v>
      </c>
      <c r="D89" s="69">
        <f t="shared" si="4"/>
        <v>1.1000000000000001E-2</v>
      </c>
      <c r="E89" s="69">
        <f t="shared" si="4"/>
        <v>1.1000000000000001E-2</v>
      </c>
      <c r="F89" s="69">
        <f t="shared" si="4"/>
        <v>1.1000000000000001E-2</v>
      </c>
      <c r="G89" s="69">
        <f t="shared" si="7"/>
        <v>1.1428571428571429E-2</v>
      </c>
      <c r="H89" s="69">
        <f t="shared" si="7"/>
        <v>1.1857142857142858E-2</v>
      </c>
      <c r="I89" s="69">
        <f t="shared" si="7"/>
        <v>1.2285714285714285E-2</v>
      </c>
      <c r="J89" s="69">
        <f t="shared" si="7"/>
        <v>1.2714285714285714E-2</v>
      </c>
      <c r="K89" s="69">
        <f t="shared" si="7"/>
        <v>1.3142857142857142E-2</v>
      </c>
      <c r="L89" s="69">
        <f t="shared" si="7"/>
        <v>1.3571428571428571E-2</v>
      </c>
      <c r="M89" s="69">
        <f t="shared" si="5"/>
        <v>1.3999999999999999E-2</v>
      </c>
      <c r="N89" s="69">
        <f t="shared" ref="N89:AK89" si="40">IF($G38="",$C38,$G38)</f>
        <v>1.3999999999999999E-2</v>
      </c>
      <c r="O89" s="69">
        <f t="shared" si="40"/>
        <v>1.3999999999999999E-2</v>
      </c>
      <c r="P89" s="69">
        <f t="shared" si="40"/>
        <v>1.3999999999999999E-2</v>
      </c>
      <c r="Q89" s="69">
        <f t="shared" si="40"/>
        <v>1.3999999999999999E-2</v>
      </c>
      <c r="R89" s="69">
        <f t="shared" si="40"/>
        <v>1.3999999999999999E-2</v>
      </c>
      <c r="S89" s="69">
        <f t="shared" si="40"/>
        <v>1.3999999999999999E-2</v>
      </c>
      <c r="T89" s="69">
        <f t="shared" si="40"/>
        <v>1.3999999999999999E-2</v>
      </c>
      <c r="U89" s="69">
        <f t="shared" si="40"/>
        <v>1.3999999999999999E-2</v>
      </c>
      <c r="V89" s="69">
        <f t="shared" si="40"/>
        <v>1.3999999999999999E-2</v>
      </c>
      <c r="W89" s="69">
        <f t="shared" si="40"/>
        <v>1.3999999999999999E-2</v>
      </c>
      <c r="X89" s="69">
        <f t="shared" si="40"/>
        <v>1.3999999999999999E-2</v>
      </c>
      <c r="Y89" s="69">
        <f t="shared" si="40"/>
        <v>1.3999999999999999E-2</v>
      </c>
      <c r="Z89" s="69">
        <f t="shared" si="40"/>
        <v>1.3999999999999999E-2</v>
      </c>
      <c r="AA89" s="69">
        <f t="shared" si="40"/>
        <v>1.3999999999999999E-2</v>
      </c>
      <c r="AB89" s="69">
        <f t="shared" si="40"/>
        <v>1.3999999999999999E-2</v>
      </c>
      <c r="AC89" s="69">
        <f t="shared" si="40"/>
        <v>1.3999999999999999E-2</v>
      </c>
      <c r="AD89" s="69">
        <f t="shared" si="40"/>
        <v>1.3999999999999999E-2</v>
      </c>
      <c r="AE89" s="69">
        <f t="shared" si="40"/>
        <v>1.3999999999999999E-2</v>
      </c>
      <c r="AF89" s="69">
        <f t="shared" si="40"/>
        <v>1.3999999999999999E-2</v>
      </c>
      <c r="AG89" s="69">
        <f t="shared" si="40"/>
        <v>1.3999999999999999E-2</v>
      </c>
      <c r="AH89" s="69">
        <f t="shared" si="40"/>
        <v>1.3999999999999999E-2</v>
      </c>
      <c r="AI89" s="69">
        <f t="shared" si="40"/>
        <v>1.3999999999999999E-2</v>
      </c>
      <c r="AJ89" s="69">
        <f t="shared" si="40"/>
        <v>1.3999999999999999E-2</v>
      </c>
      <c r="AK89" s="69">
        <f t="shared" si="40"/>
        <v>1.3999999999999999E-2</v>
      </c>
    </row>
    <row r="90" spans="1:37" x14ac:dyDescent="0.25">
      <c r="A90" s="1" t="s">
        <v>27</v>
      </c>
      <c r="B90" s="69">
        <f t="shared" si="4"/>
        <v>2.3E-2</v>
      </c>
      <c r="C90" s="69">
        <f t="shared" si="4"/>
        <v>2.3E-2</v>
      </c>
      <c r="D90" s="69">
        <f t="shared" si="4"/>
        <v>2.3E-2</v>
      </c>
      <c r="E90" s="69">
        <f t="shared" si="4"/>
        <v>2.3E-2</v>
      </c>
      <c r="F90" s="69">
        <f t="shared" si="4"/>
        <v>2.3E-2</v>
      </c>
      <c r="G90" s="69">
        <f t="shared" si="7"/>
        <v>2.242857142857143E-2</v>
      </c>
      <c r="H90" s="69">
        <f t="shared" si="7"/>
        <v>2.1857142857142856E-2</v>
      </c>
      <c r="I90" s="69">
        <f t="shared" si="7"/>
        <v>2.1285714285714286E-2</v>
      </c>
      <c r="J90" s="69">
        <f t="shared" si="7"/>
        <v>2.0714285714285713E-2</v>
      </c>
      <c r="K90" s="69">
        <f t="shared" si="7"/>
        <v>2.0142857142857143E-2</v>
      </c>
      <c r="L90" s="69">
        <f t="shared" si="7"/>
        <v>1.9571428571428569E-2</v>
      </c>
      <c r="M90" s="69">
        <f t="shared" si="5"/>
        <v>1.9E-2</v>
      </c>
      <c r="N90" s="69">
        <f t="shared" ref="N90:AK90" si="41">IF($G39="",$C39,$G39)</f>
        <v>1.9E-2</v>
      </c>
      <c r="O90" s="69">
        <f t="shared" si="41"/>
        <v>1.9E-2</v>
      </c>
      <c r="P90" s="69">
        <f t="shared" si="41"/>
        <v>1.9E-2</v>
      </c>
      <c r="Q90" s="69">
        <f t="shared" si="41"/>
        <v>1.9E-2</v>
      </c>
      <c r="R90" s="69">
        <f t="shared" si="41"/>
        <v>1.9E-2</v>
      </c>
      <c r="S90" s="69">
        <f t="shared" si="41"/>
        <v>1.9E-2</v>
      </c>
      <c r="T90" s="69">
        <f t="shared" si="41"/>
        <v>1.9E-2</v>
      </c>
      <c r="U90" s="69">
        <f t="shared" si="41"/>
        <v>1.9E-2</v>
      </c>
      <c r="V90" s="69">
        <f t="shared" si="41"/>
        <v>1.9E-2</v>
      </c>
      <c r="W90" s="69">
        <f t="shared" si="41"/>
        <v>1.9E-2</v>
      </c>
      <c r="X90" s="69">
        <f t="shared" si="41"/>
        <v>1.9E-2</v>
      </c>
      <c r="Y90" s="69">
        <f t="shared" si="41"/>
        <v>1.9E-2</v>
      </c>
      <c r="Z90" s="69">
        <f t="shared" si="41"/>
        <v>1.9E-2</v>
      </c>
      <c r="AA90" s="69">
        <f t="shared" si="41"/>
        <v>1.9E-2</v>
      </c>
      <c r="AB90" s="69">
        <f t="shared" si="41"/>
        <v>1.9E-2</v>
      </c>
      <c r="AC90" s="69">
        <f t="shared" si="41"/>
        <v>1.9E-2</v>
      </c>
      <c r="AD90" s="69">
        <f t="shared" si="41"/>
        <v>1.9E-2</v>
      </c>
      <c r="AE90" s="69">
        <f t="shared" si="41"/>
        <v>1.9E-2</v>
      </c>
      <c r="AF90" s="69">
        <f t="shared" si="41"/>
        <v>1.9E-2</v>
      </c>
      <c r="AG90" s="69">
        <f t="shared" si="41"/>
        <v>1.9E-2</v>
      </c>
      <c r="AH90" s="69">
        <f t="shared" si="41"/>
        <v>1.9E-2</v>
      </c>
      <c r="AI90" s="69">
        <f t="shared" si="41"/>
        <v>1.9E-2</v>
      </c>
      <c r="AJ90" s="69">
        <f t="shared" si="41"/>
        <v>1.9E-2</v>
      </c>
      <c r="AK90" s="69">
        <f t="shared" si="41"/>
        <v>1.9E-2</v>
      </c>
    </row>
    <row r="91" spans="1:37" x14ac:dyDescent="0.25">
      <c r="A91" s="1" t="s">
        <v>28</v>
      </c>
      <c r="B91" s="69">
        <f t="shared" si="4"/>
        <v>3.214028281817044E-2</v>
      </c>
      <c r="C91" s="69">
        <f t="shared" si="4"/>
        <v>3.214028281817044E-2</v>
      </c>
      <c r="D91" s="69">
        <f t="shared" si="4"/>
        <v>3.214028281817044E-2</v>
      </c>
      <c r="E91" s="69">
        <f t="shared" si="4"/>
        <v>3.214028281817044E-2</v>
      </c>
      <c r="F91" s="69">
        <f t="shared" si="4"/>
        <v>3.214028281817044E-2</v>
      </c>
      <c r="G91" s="69">
        <f t="shared" si="7"/>
        <v>3.0770724076984848E-2</v>
      </c>
      <c r="H91" s="69">
        <f t="shared" si="7"/>
        <v>2.9401165335799256E-2</v>
      </c>
      <c r="I91" s="69">
        <f t="shared" si="7"/>
        <v>2.8031606594613664E-2</v>
      </c>
      <c r="J91" s="69">
        <f t="shared" si="7"/>
        <v>2.6662047853428072E-2</v>
      </c>
      <c r="K91" s="69">
        <f t="shared" si="7"/>
        <v>2.5292489112242481E-2</v>
      </c>
      <c r="L91" s="69">
        <f t="shared" si="7"/>
        <v>2.3922930371056889E-2</v>
      </c>
      <c r="M91" s="69">
        <f t="shared" si="5"/>
        <v>2.2553371629871297E-2</v>
      </c>
      <c r="N91" s="69">
        <f t="shared" ref="N91:AK91" si="42">IF($G40="",$C40,$G40)</f>
        <v>2.2553371629871297E-2</v>
      </c>
      <c r="O91" s="69">
        <f t="shared" si="42"/>
        <v>2.2553371629871297E-2</v>
      </c>
      <c r="P91" s="69">
        <f t="shared" si="42"/>
        <v>2.2553371629871297E-2</v>
      </c>
      <c r="Q91" s="69">
        <f t="shared" si="42"/>
        <v>2.2553371629871297E-2</v>
      </c>
      <c r="R91" s="69">
        <f t="shared" si="42"/>
        <v>2.2553371629871297E-2</v>
      </c>
      <c r="S91" s="69">
        <f t="shared" si="42"/>
        <v>2.2553371629871297E-2</v>
      </c>
      <c r="T91" s="69">
        <f t="shared" si="42"/>
        <v>2.2553371629871297E-2</v>
      </c>
      <c r="U91" s="69">
        <f t="shared" si="42"/>
        <v>2.2553371629871297E-2</v>
      </c>
      <c r="V91" s="69">
        <f t="shared" si="42"/>
        <v>2.2553371629871297E-2</v>
      </c>
      <c r="W91" s="69">
        <f t="shared" si="42"/>
        <v>2.2553371629871297E-2</v>
      </c>
      <c r="X91" s="69">
        <f t="shared" si="42"/>
        <v>2.2553371629871297E-2</v>
      </c>
      <c r="Y91" s="69">
        <f t="shared" si="42"/>
        <v>2.2553371629871297E-2</v>
      </c>
      <c r="Z91" s="69">
        <f t="shared" si="42"/>
        <v>2.2553371629871297E-2</v>
      </c>
      <c r="AA91" s="69">
        <f t="shared" si="42"/>
        <v>2.2553371629871297E-2</v>
      </c>
      <c r="AB91" s="69">
        <f t="shared" si="42"/>
        <v>2.2553371629871297E-2</v>
      </c>
      <c r="AC91" s="69">
        <f t="shared" si="42"/>
        <v>2.2553371629871297E-2</v>
      </c>
      <c r="AD91" s="69">
        <f t="shared" si="42"/>
        <v>2.2553371629871297E-2</v>
      </c>
      <c r="AE91" s="69">
        <f t="shared" si="42"/>
        <v>2.2553371629871297E-2</v>
      </c>
      <c r="AF91" s="69">
        <f t="shared" si="42"/>
        <v>2.2553371629871297E-2</v>
      </c>
      <c r="AG91" s="69">
        <f t="shared" si="42"/>
        <v>2.2553371629871297E-2</v>
      </c>
      <c r="AH91" s="69">
        <f t="shared" si="42"/>
        <v>2.2553371629871297E-2</v>
      </c>
      <c r="AI91" s="69">
        <f t="shared" si="42"/>
        <v>2.2553371629871297E-2</v>
      </c>
      <c r="AJ91" s="69">
        <f t="shared" si="42"/>
        <v>2.2553371629871297E-2</v>
      </c>
      <c r="AK91" s="69">
        <f t="shared" si="42"/>
        <v>2.2553371629871297E-2</v>
      </c>
    </row>
    <row r="92" spans="1:37" x14ac:dyDescent="0.25">
      <c r="A92" s="1" t="s">
        <v>29</v>
      </c>
      <c r="B92" s="69">
        <f t="shared" si="4"/>
        <v>3.8208631291911294E-3</v>
      </c>
      <c r="C92" s="69">
        <f t="shared" si="4"/>
        <v>3.8208631291911294E-3</v>
      </c>
      <c r="D92" s="69">
        <f t="shared" si="4"/>
        <v>3.8208631291911294E-3</v>
      </c>
      <c r="E92" s="69">
        <f t="shared" si="4"/>
        <v>3.8208631291911294E-3</v>
      </c>
      <c r="F92" s="69">
        <f t="shared" si="4"/>
        <v>3.8208631291911294E-3</v>
      </c>
      <c r="G92" s="69">
        <f t="shared" si="7"/>
        <v>4.3532888504240327E-3</v>
      </c>
      <c r="H92" s="69">
        <f t="shared" si="7"/>
        <v>4.8857145716569364E-3</v>
      </c>
      <c r="I92" s="69">
        <f t="shared" si="7"/>
        <v>5.4181402928898401E-3</v>
      </c>
      <c r="J92" s="69">
        <f t="shared" si="7"/>
        <v>5.9505660141227438E-3</v>
      </c>
      <c r="K92" s="69">
        <f t="shared" si="7"/>
        <v>6.4829917353556475E-3</v>
      </c>
      <c r="L92" s="69">
        <f t="shared" si="7"/>
        <v>7.0154174565885512E-3</v>
      </c>
      <c r="M92" s="69">
        <f t="shared" si="5"/>
        <v>7.5478431778214549E-3</v>
      </c>
      <c r="N92" s="69">
        <f t="shared" ref="N92:AK92" si="43">IF($G41="",$C41,$G41)</f>
        <v>7.5478431778214549E-3</v>
      </c>
      <c r="O92" s="69">
        <f t="shared" si="43"/>
        <v>7.5478431778214549E-3</v>
      </c>
      <c r="P92" s="69">
        <f t="shared" si="43"/>
        <v>7.5478431778214549E-3</v>
      </c>
      <c r="Q92" s="69">
        <f t="shared" si="43"/>
        <v>7.5478431778214549E-3</v>
      </c>
      <c r="R92" s="69">
        <f t="shared" si="43"/>
        <v>7.5478431778214549E-3</v>
      </c>
      <c r="S92" s="69">
        <f t="shared" si="43"/>
        <v>7.5478431778214549E-3</v>
      </c>
      <c r="T92" s="69">
        <f t="shared" si="43"/>
        <v>7.5478431778214549E-3</v>
      </c>
      <c r="U92" s="69">
        <f t="shared" si="43"/>
        <v>7.5478431778214549E-3</v>
      </c>
      <c r="V92" s="69">
        <f t="shared" si="43"/>
        <v>7.5478431778214549E-3</v>
      </c>
      <c r="W92" s="69">
        <f t="shared" si="43"/>
        <v>7.5478431778214549E-3</v>
      </c>
      <c r="X92" s="69">
        <f t="shared" si="43"/>
        <v>7.5478431778214549E-3</v>
      </c>
      <c r="Y92" s="69">
        <f t="shared" si="43"/>
        <v>7.5478431778214549E-3</v>
      </c>
      <c r="Z92" s="69">
        <f t="shared" si="43"/>
        <v>7.5478431778214549E-3</v>
      </c>
      <c r="AA92" s="69">
        <f t="shared" si="43"/>
        <v>7.5478431778214549E-3</v>
      </c>
      <c r="AB92" s="69">
        <f t="shared" si="43"/>
        <v>7.5478431778214549E-3</v>
      </c>
      <c r="AC92" s="69">
        <f t="shared" si="43"/>
        <v>7.5478431778214549E-3</v>
      </c>
      <c r="AD92" s="69">
        <f t="shared" si="43"/>
        <v>7.5478431778214549E-3</v>
      </c>
      <c r="AE92" s="69">
        <f t="shared" si="43"/>
        <v>7.5478431778214549E-3</v>
      </c>
      <c r="AF92" s="69">
        <f t="shared" si="43"/>
        <v>7.5478431778214549E-3</v>
      </c>
      <c r="AG92" s="69">
        <f t="shared" si="43"/>
        <v>7.5478431778214549E-3</v>
      </c>
      <c r="AH92" s="69">
        <f t="shared" si="43"/>
        <v>7.5478431778214549E-3</v>
      </c>
      <c r="AI92" s="69">
        <f t="shared" si="43"/>
        <v>7.5478431778214549E-3</v>
      </c>
      <c r="AJ92" s="69">
        <f t="shared" si="43"/>
        <v>7.5478431778214549E-3</v>
      </c>
      <c r="AK92" s="69">
        <f t="shared" si="43"/>
        <v>7.5478431778214549E-3</v>
      </c>
    </row>
    <row r="93" spans="1:37" x14ac:dyDescent="0.25">
      <c r="A93" s="1" t="s">
        <v>30</v>
      </c>
      <c r="B93" s="69">
        <f t="shared" si="4"/>
        <v>0</v>
      </c>
      <c r="C93" s="69">
        <f t="shared" si="4"/>
        <v>0</v>
      </c>
      <c r="D93" s="69">
        <f t="shared" si="4"/>
        <v>0</v>
      </c>
      <c r="E93" s="69">
        <f t="shared" si="4"/>
        <v>0</v>
      </c>
      <c r="F93" s="69">
        <f t="shared" si="4"/>
        <v>0</v>
      </c>
      <c r="G93" s="69">
        <f t="shared" si="7"/>
        <v>2.4285714285714288E-3</v>
      </c>
      <c r="H93" s="69">
        <f t="shared" si="7"/>
        <v>4.8571428571428576E-3</v>
      </c>
      <c r="I93" s="69">
        <f t="shared" si="7"/>
        <v>7.285714285714286E-3</v>
      </c>
      <c r="J93" s="69">
        <f t="shared" si="7"/>
        <v>9.7142857142857152E-3</v>
      </c>
      <c r="K93" s="69">
        <f t="shared" si="7"/>
        <v>1.2142857142857144E-2</v>
      </c>
      <c r="L93" s="69">
        <f t="shared" si="7"/>
        <v>1.4571428571428572E-2</v>
      </c>
      <c r="M93" s="69">
        <f t="shared" si="5"/>
        <v>1.7000000000000001E-2</v>
      </c>
      <c r="N93" s="69">
        <f t="shared" ref="N93:AK93" si="44">IF($G42="",$C42,$G42)</f>
        <v>1.7000000000000001E-2</v>
      </c>
      <c r="O93" s="69">
        <f t="shared" si="44"/>
        <v>1.7000000000000001E-2</v>
      </c>
      <c r="P93" s="69">
        <f t="shared" si="44"/>
        <v>1.7000000000000001E-2</v>
      </c>
      <c r="Q93" s="69">
        <f t="shared" si="44"/>
        <v>1.7000000000000001E-2</v>
      </c>
      <c r="R93" s="69">
        <f t="shared" si="44"/>
        <v>1.7000000000000001E-2</v>
      </c>
      <c r="S93" s="69">
        <f t="shared" si="44"/>
        <v>1.7000000000000001E-2</v>
      </c>
      <c r="T93" s="69">
        <f t="shared" si="44"/>
        <v>1.7000000000000001E-2</v>
      </c>
      <c r="U93" s="69">
        <f t="shared" si="44"/>
        <v>1.7000000000000001E-2</v>
      </c>
      <c r="V93" s="69">
        <f t="shared" si="44"/>
        <v>1.7000000000000001E-2</v>
      </c>
      <c r="W93" s="69">
        <f t="shared" si="44"/>
        <v>1.7000000000000001E-2</v>
      </c>
      <c r="X93" s="69">
        <f t="shared" si="44"/>
        <v>1.7000000000000001E-2</v>
      </c>
      <c r="Y93" s="69">
        <f t="shared" si="44"/>
        <v>1.7000000000000001E-2</v>
      </c>
      <c r="Z93" s="69">
        <f t="shared" si="44"/>
        <v>1.7000000000000001E-2</v>
      </c>
      <c r="AA93" s="69">
        <f t="shared" si="44"/>
        <v>1.7000000000000001E-2</v>
      </c>
      <c r="AB93" s="69">
        <f t="shared" si="44"/>
        <v>1.7000000000000001E-2</v>
      </c>
      <c r="AC93" s="69">
        <f t="shared" si="44"/>
        <v>1.7000000000000001E-2</v>
      </c>
      <c r="AD93" s="69">
        <f t="shared" si="44"/>
        <v>1.7000000000000001E-2</v>
      </c>
      <c r="AE93" s="69">
        <f t="shared" si="44"/>
        <v>1.7000000000000001E-2</v>
      </c>
      <c r="AF93" s="69">
        <f t="shared" si="44"/>
        <v>1.7000000000000001E-2</v>
      </c>
      <c r="AG93" s="69">
        <f t="shared" si="44"/>
        <v>1.7000000000000001E-2</v>
      </c>
      <c r="AH93" s="69">
        <f t="shared" si="44"/>
        <v>1.7000000000000001E-2</v>
      </c>
      <c r="AI93" s="69">
        <f t="shared" si="44"/>
        <v>1.7000000000000001E-2</v>
      </c>
      <c r="AJ93" s="69">
        <f t="shared" si="44"/>
        <v>1.7000000000000001E-2</v>
      </c>
      <c r="AK93" s="69">
        <f t="shared" si="44"/>
        <v>1.7000000000000001E-2</v>
      </c>
    </row>
    <row r="94" spans="1:37" x14ac:dyDescent="0.25">
      <c r="A94" s="1" t="s">
        <v>31</v>
      </c>
      <c r="B94" s="69">
        <f t="shared" si="4"/>
        <v>2.7999999999999997E-2</v>
      </c>
      <c r="C94" s="69">
        <f t="shared" si="4"/>
        <v>2.7999999999999997E-2</v>
      </c>
      <c r="D94" s="69">
        <f t="shared" si="4"/>
        <v>2.7999999999999997E-2</v>
      </c>
      <c r="E94" s="69">
        <f t="shared" si="4"/>
        <v>2.7999999999999997E-2</v>
      </c>
      <c r="F94" s="69">
        <f t="shared" si="4"/>
        <v>2.7999999999999997E-2</v>
      </c>
      <c r="G94" s="69">
        <f t="shared" si="7"/>
        <v>2.814285714285714E-2</v>
      </c>
      <c r="H94" s="69">
        <f t="shared" si="7"/>
        <v>2.8285714285714282E-2</v>
      </c>
      <c r="I94" s="69">
        <f t="shared" si="7"/>
        <v>2.8428571428571425E-2</v>
      </c>
      <c r="J94" s="69">
        <f t="shared" si="7"/>
        <v>2.8571428571428571E-2</v>
      </c>
      <c r="K94" s="69">
        <f t="shared" si="7"/>
        <v>2.8714285714285713E-2</v>
      </c>
      <c r="L94" s="69">
        <f t="shared" si="7"/>
        <v>2.8857142857142856E-2</v>
      </c>
      <c r="M94" s="69">
        <f t="shared" si="5"/>
        <v>2.8999999999999998E-2</v>
      </c>
      <c r="N94" s="69">
        <f t="shared" ref="N94:AK94" si="45">IF($G43="",$C43,$G43)</f>
        <v>2.8999999999999998E-2</v>
      </c>
      <c r="O94" s="69">
        <f t="shared" si="45"/>
        <v>2.8999999999999998E-2</v>
      </c>
      <c r="P94" s="69">
        <f t="shared" si="45"/>
        <v>2.8999999999999998E-2</v>
      </c>
      <c r="Q94" s="69">
        <f t="shared" si="45"/>
        <v>2.8999999999999998E-2</v>
      </c>
      <c r="R94" s="69">
        <f t="shared" si="45"/>
        <v>2.8999999999999998E-2</v>
      </c>
      <c r="S94" s="69">
        <f t="shared" si="45"/>
        <v>2.8999999999999998E-2</v>
      </c>
      <c r="T94" s="69">
        <f t="shared" si="45"/>
        <v>2.8999999999999998E-2</v>
      </c>
      <c r="U94" s="69">
        <f t="shared" si="45"/>
        <v>2.8999999999999998E-2</v>
      </c>
      <c r="V94" s="69">
        <f t="shared" si="45"/>
        <v>2.8999999999999998E-2</v>
      </c>
      <c r="W94" s="69">
        <f t="shared" si="45"/>
        <v>2.8999999999999998E-2</v>
      </c>
      <c r="X94" s="69">
        <f t="shared" si="45"/>
        <v>2.8999999999999998E-2</v>
      </c>
      <c r="Y94" s="69">
        <f t="shared" si="45"/>
        <v>2.8999999999999998E-2</v>
      </c>
      <c r="Z94" s="69">
        <f t="shared" si="45"/>
        <v>2.8999999999999998E-2</v>
      </c>
      <c r="AA94" s="69">
        <f t="shared" si="45"/>
        <v>2.8999999999999998E-2</v>
      </c>
      <c r="AB94" s="69">
        <f t="shared" si="45"/>
        <v>2.8999999999999998E-2</v>
      </c>
      <c r="AC94" s="69">
        <f t="shared" si="45"/>
        <v>2.8999999999999998E-2</v>
      </c>
      <c r="AD94" s="69">
        <f t="shared" si="45"/>
        <v>2.8999999999999998E-2</v>
      </c>
      <c r="AE94" s="69">
        <f t="shared" si="45"/>
        <v>2.8999999999999998E-2</v>
      </c>
      <c r="AF94" s="69">
        <f t="shared" si="45"/>
        <v>2.8999999999999998E-2</v>
      </c>
      <c r="AG94" s="69">
        <f t="shared" si="45"/>
        <v>2.8999999999999998E-2</v>
      </c>
      <c r="AH94" s="69">
        <f t="shared" si="45"/>
        <v>2.8999999999999998E-2</v>
      </c>
      <c r="AI94" s="69">
        <f t="shared" si="45"/>
        <v>2.8999999999999998E-2</v>
      </c>
      <c r="AJ94" s="69">
        <f t="shared" si="45"/>
        <v>2.8999999999999998E-2</v>
      </c>
      <c r="AK94" s="69">
        <f t="shared" si="45"/>
        <v>2.8999999999999998E-2</v>
      </c>
    </row>
    <row r="95" spans="1:37" x14ac:dyDescent="0.25">
      <c r="A95" s="1" t="s">
        <v>32</v>
      </c>
      <c r="B95" s="69">
        <f t="shared" si="4"/>
        <v>2.4E-2</v>
      </c>
      <c r="C95" s="69">
        <f t="shared" si="4"/>
        <v>2.4E-2</v>
      </c>
      <c r="D95" s="69">
        <f t="shared" si="4"/>
        <v>2.4E-2</v>
      </c>
      <c r="E95" s="69">
        <f t="shared" si="4"/>
        <v>2.4E-2</v>
      </c>
      <c r="F95" s="69">
        <f t="shared" si="4"/>
        <v>2.4E-2</v>
      </c>
      <c r="G95" s="69">
        <f t="shared" si="7"/>
        <v>2.3714285714285716E-2</v>
      </c>
      <c r="H95" s="69">
        <f t="shared" si="7"/>
        <v>2.3428571428571431E-2</v>
      </c>
      <c r="I95" s="69">
        <f t="shared" si="7"/>
        <v>2.3142857142857146E-2</v>
      </c>
      <c r="J95" s="69">
        <f t="shared" si="7"/>
        <v>2.2857142857142857E-2</v>
      </c>
      <c r="K95" s="69">
        <f t="shared" si="7"/>
        <v>2.2571428571428572E-2</v>
      </c>
      <c r="L95" s="69">
        <f t="shared" si="7"/>
        <v>2.2285714285714287E-2</v>
      </c>
      <c r="M95" s="69">
        <f t="shared" si="5"/>
        <v>2.2000000000000002E-2</v>
      </c>
      <c r="N95" s="69">
        <f t="shared" ref="N95:AK95" si="46">IF($G44="",$C44,$G44)</f>
        <v>2.2000000000000002E-2</v>
      </c>
      <c r="O95" s="69">
        <f t="shared" si="46"/>
        <v>2.2000000000000002E-2</v>
      </c>
      <c r="P95" s="69">
        <f t="shared" si="46"/>
        <v>2.2000000000000002E-2</v>
      </c>
      <c r="Q95" s="69">
        <f t="shared" si="46"/>
        <v>2.2000000000000002E-2</v>
      </c>
      <c r="R95" s="69">
        <f t="shared" si="46"/>
        <v>2.2000000000000002E-2</v>
      </c>
      <c r="S95" s="69">
        <f t="shared" si="46"/>
        <v>2.2000000000000002E-2</v>
      </c>
      <c r="T95" s="69">
        <f t="shared" si="46"/>
        <v>2.2000000000000002E-2</v>
      </c>
      <c r="U95" s="69">
        <f t="shared" si="46"/>
        <v>2.2000000000000002E-2</v>
      </c>
      <c r="V95" s="69">
        <f t="shared" si="46"/>
        <v>2.2000000000000002E-2</v>
      </c>
      <c r="W95" s="69">
        <f t="shared" si="46"/>
        <v>2.2000000000000002E-2</v>
      </c>
      <c r="X95" s="69">
        <f t="shared" si="46"/>
        <v>2.2000000000000002E-2</v>
      </c>
      <c r="Y95" s="69">
        <f t="shared" si="46"/>
        <v>2.2000000000000002E-2</v>
      </c>
      <c r="Z95" s="69">
        <f t="shared" si="46"/>
        <v>2.2000000000000002E-2</v>
      </c>
      <c r="AA95" s="69">
        <f t="shared" si="46"/>
        <v>2.2000000000000002E-2</v>
      </c>
      <c r="AB95" s="69">
        <f t="shared" si="46"/>
        <v>2.2000000000000002E-2</v>
      </c>
      <c r="AC95" s="69">
        <f t="shared" si="46"/>
        <v>2.2000000000000002E-2</v>
      </c>
      <c r="AD95" s="69">
        <f t="shared" si="46"/>
        <v>2.2000000000000002E-2</v>
      </c>
      <c r="AE95" s="69">
        <f t="shared" si="46"/>
        <v>2.2000000000000002E-2</v>
      </c>
      <c r="AF95" s="69">
        <f t="shared" si="46"/>
        <v>2.2000000000000002E-2</v>
      </c>
      <c r="AG95" s="69">
        <f t="shared" si="46"/>
        <v>2.2000000000000002E-2</v>
      </c>
      <c r="AH95" s="69">
        <f t="shared" si="46"/>
        <v>2.2000000000000002E-2</v>
      </c>
      <c r="AI95" s="69">
        <f t="shared" si="46"/>
        <v>2.2000000000000002E-2</v>
      </c>
      <c r="AJ95" s="69">
        <f t="shared" si="46"/>
        <v>2.2000000000000002E-2</v>
      </c>
      <c r="AK95" s="69">
        <f t="shared" si="46"/>
        <v>2.2000000000000002E-2</v>
      </c>
    </row>
    <row r="96" spans="1:37" x14ac:dyDescent="0.25">
      <c r="A96" s="1" t="s">
        <v>33</v>
      </c>
      <c r="B96" s="69">
        <f t="shared" si="4"/>
        <v>8.0000000000000002E-3</v>
      </c>
      <c r="C96" s="69">
        <f t="shared" si="4"/>
        <v>8.0000000000000002E-3</v>
      </c>
      <c r="D96" s="69">
        <f t="shared" si="4"/>
        <v>8.0000000000000002E-3</v>
      </c>
      <c r="E96" s="69">
        <f t="shared" si="4"/>
        <v>8.0000000000000002E-3</v>
      </c>
      <c r="F96" s="69">
        <f t="shared" si="4"/>
        <v>8.0000000000000002E-3</v>
      </c>
      <c r="G96" s="69">
        <f t="shared" si="7"/>
        <v>9.285714285714286E-3</v>
      </c>
      <c r="H96" s="69">
        <f t="shared" si="7"/>
        <v>1.0571428571428572E-2</v>
      </c>
      <c r="I96" s="69">
        <f t="shared" si="7"/>
        <v>1.1857142857142858E-2</v>
      </c>
      <c r="J96" s="69">
        <f t="shared" si="7"/>
        <v>1.3142857142857144E-2</v>
      </c>
      <c r="K96" s="69">
        <f t="shared" si="7"/>
        <v>1.4428571428571429E-2</v>
      </c>
      <c r="L96" s="69">
        <f t="shared" si="7"/>
        <v>1.5714285714285715E-2</v>
      </c>
      <c r="M96" s="69">
        <f t="shared" si="5"/>
        <v>1.7000000000000001E-2</v>
      </c>
      <c r="N96" s="69">
        <f t="shared" ref="N96:AK96" si="47">IF($G45="",$C45,$G45)</f>
        <v>1.7000000000000001E-2</v>
      </c>
      <c r="O96" s="69">
        <f t="shared" si="47"/>
        <v>1.7000000000000001E-2</v>
      </c>
      <c r="P96" s="69">
        <f t="shared" si="47"/>
        <v>1.7000000000000001E-2</v>
      </c>
      <c r="Q96" s="69">
        <f t="shared" si="47"/>
        <v>1.7000000000000001E-2</v>
      </c>
      <c r="R96" s="69">
        <f t="shared" si="47"/>
        <v>1.7000000000000001E-2</v>
      </c>
      <c r="S96" s="69">
        <f t="shared" si="47"/>
        <v>1.7000000000000001E-2</v>
      </c>
      <c r="T96" s="69">
        <f t="shared" si="47"/>
        <v>1.7000000000000001E-2</v>
      </c>
      <c r="U96" s="69">
        <f t="shared" si="47"/>
        <v>1.7000000000000001E-2</v>
      </c>
      <c r="V96" s="69">
        <f t="shared" si="47"/>
        <v>1.7000000000000001E-2</v>
      </c>
      <c r="W96" s="69">
        <f t="shared" si="47"/>
        <v>1.7000000000000001E-2</v>
      </c>
      <c r="X96" s="69">
        <f t="shared" si="47"/>
        <v>1.7000000000000001E-2</v>
      </c>
      <c r="Y96" s="69">
        <f t="shared" si="47"/>
        <v>1.7000000000000001E-2</v>
      </c>
      <c r="Z96" s="69">
        <f t="shared" si="47"/>
        <v>1.7000000000000001E-2</v>
      </c>
      <c r="AA96" s="69">
        <f t="shared" si="47"/>
        <v>1.7000000000000001E-2</v>
      </c>
      <c r="AB96" s="69">
        <f t="shared" si="47"/>
        <v>1.7000000000000001E-2</v>
      </c>
      <c r="AC96" s="69">
        <f t="shared" si="47"/>
        <v>1.7000000000000001E-2</v>
      </c>
      <c r="AD96" s="69">
        <f t="shared" si="47"/>
        <v>1.7000000000000001E-2</v>
      </c>
      <c r="AE96" s="69">
        <f t="shared" si="47"/>
        <v>1.7000000000000001E-2</v>
      </c>
      <c r="AF96" s="69">
        <f t="shared" si="47"/>
        <v>1.7000000000000001E-2</v>
      </c>
      <c r="AG96" s="69">
        <f t="shared" si="47"/>
        <v>1.7000000000000001E-2</v>
      </c>
      <c r="AH96" s="69">
        <f t="shared" si="47"/>
        <v>1.7000000000000001E-2</v>
      </c>
      <c r="AI96" s="69">
        <f t="shared" si="47"/>
        <v>1.7000000000000001E-2</v>
      </c>
      <c r="AJ96" s="69">
        <f t="shared" si="47"/>
        <v>1.7000000000000001E-2</v>
      </c>
      <c r="AK96" s="69">
        <f t="shared" si="47"/>
        <v>1.7000000000000001E-2</v>
      </c>
    </row>
    <row r="99" spans="1:37" x14ac:dyDescent="0.25">
      <c r="A99" s="73" t="s">
        <v>666</v>
      </c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</row>
    <row r="100" spans="1:37" x14ac:dyDescent="0.25">
      <c r="B100">
        <v>2015</v>
      </c>
      <c r="C100">
        <v>2016</v>
      </c>
      <c r="D100">
        <v>2017</v>
      </c>
      <c r="E100">
        <v>2018</v>
      </c>
      <c r="F100">
        <v>2019</v>
      </c>
      <c r="G100">
        <v>2020</v>
      </c>
      <c r="H100">
        <v>2021</v>
      </c>
      <c r="I100">
        <v>2022</v>
      </c>
      <c r="J100">
        <v>2023</v>
      </c>
      <c r="K100">
        <v>2024</v>
      </c>
      <c r="L100">
        <v>2025</v>
      </c>
      <c r="M100">
        <v>2026</v>
      </c>
      <c r="N100">
        <v>2027</v>
      </c>
      <c r="O100">
        <v>2028</v>
      </c>
      <c r="P100">
        <v>2029</v>
      </c>
      <c r="Q100">
        <v>2030</v>
      </c>
      <c r="R100">
        <v>2031</v>
      </c>
      <c r="S100">
        <v>2032</v>
      </c>
      <c r="T100">
        <v>2033</v>
      </c>
      <c r="U100">
        <v>2034</v>
      </c>
      <c r="V100">
        <v>2035</v>
      </c>
      <c r="W100">
        <v>2036</v>
      </c>
      <c r="X100">
        <v>2037</v>
      </c>
      <c r="Y100">
        <v>2038</v>
      </c>
      <c r="Z100">
        <v>2039</v>
      </c>
      <c r="AA100">
        <v>2040</v>
      </c>
      <c r="AB100">
        <v>2041</v>
      </c>
      <c r="AC100">
        <v>2042</v>
      </c>
      <c r="AD100">
        <v>2043</v>
      </c>
      <c r="AE100">
        <v>2044</v>
      </c>
      <c r="AF100">
        <v>2045</v>
      </c>
      <c r="AG100">
        <v>2046</v>
      </c>
      <c r="AH100">
        <v>2047</v>
      </c>
      <c r="AI100">
        <v>2048</v>
      </c>
      <c r="AJ100">
        <v>2049</v>
      </c>
      <c r="AK100">
        <v>2050</v>
      </c>
    </row>
    <row r="101" spans="1:37" x14ac:dyDescent="0.25">
      <c r="A101" s="1" t="s">
        <v>3</v>
      </c>
      <c r="B101">
        <v>0</v>
      </c>
      <c r="C101" s="71">
        <f>(B101+1)*(1+B55)-1</f>
        <v>2.200000000000002E-2</v>
      </c>
      <c r="D101" s="71">
        <f t="shared" ref="D101:AK108" si="48">(C101+1)*(1+C55)-1</f>
        <v>4.4483999999999968E-2</v>
      </c>
      <c r="E101" s="71">
        <f t="shared" si="48"/>
        <v>6.7462648000000014E-2</v>
      </c>
      <c r="F101" s="71">
        <f t="shared" si="48"/>
        <v>9.0946826256000035E-2</v>
      </c>
      <c r="G101" s="71">
        <f t="shared" si="48"/>
        <v>0.11494765643363203</v>
      </c>
      <c r="H101" s="71">
        <f t="shared" si="48"/>
        <v>0.13660949661577115</v>
      </c>
      <c r="I101" s="71">
        <f t="shared" si="48"/>
        <v>0.15576948527300849</v>
      </c>
      <c r="J101" s="71">
        <f t="shared" si="48"/>
        <v>0.17228047791976575</v>
      </c>
      <c r="K101" s="71">
        <f t="shared" si="48"/>
        <v>0.18601290637539747</v>
      </c>
      <c r="L101" s="71">
        <f t="shared" si="48"/>
        <v>0.1968564529479726</v>
      </c>
      <c r="M101" s="71">
        <f t="shared" si="48"/>
        <v>0.20472150963877378</v>
      </c>
      <c r="N101" s="71">
        <f t="shared" si="48"/>
        <v>0.20954039567732896</v>
      </c>
      <c r="O101" s="71">
        <f t="shared" si="48"/>
        <v>0.21437855726003829</v>
      </c>
      <c r="P101" s="71">
        <f t="shared" si="48"/>
        <v>0.21923607148907842</v>
      </c>
      <c r="Q101" s="71">
        <f t="shared" si="48"/>
        <v>0.22411301577503484</v>
      </c>
      <c r="R101" s="71">
        <f t="shared" si="48"/>
        <v>0.22900946783813492</v>
      </c>
      <c r="S101" s="71">
        <f t="shared" si="48"/>
        <v>0.23392550570948756</v>
      </c>
      <c r="T101" s="71">
        <f t="shared" si="48"/>
        <v>0.23886120773232555</v>
      </c>
      <c r="U101" s="71">
        <f t="shared" si="48"/>
        <v>0.2438166525632548</v>
      </c>
      <c r="V101" s="71">
        <f t="shared" si="48"/>
        <v>0.24879191917350774</v>
      </c>
      <c r="W101" s="71">
        <f t="shared" si="48"/>
        <v>0.25378708685020168</v>
      </c>
      <c r="X101" s="71">
        <f t="shared" si="48"/>
        <v>0.25880223519760248</v>
      </c>
      <c r="Y101" s="71">
        <f t="shared" si="48"/>
        <v>0.26383744413839283</v>
      </c>
      <c r="Z101" s="71">
        <f t="shared" si="48"/>
        <v>0.26889279391494636</v>
      </c>
      <c r="AA101" s="71">
        <f t="shared" si="48"/>
        <v>0.27396836509060618</v>
      </c>
      <c r="AB101" s="71">
        <f t="shared" si="48"/>
        <v>0.27906423855096851</v>
      </c>
      <c r="AC101" s="71">
        <f t="shared" si="48"/>
        <v>0.28418049550517233</v>
      </c>
      <c r="AD101" s="71">
        <f t="shared" si="48"/>
        <v>0.28931721748719297</v>
      </c>
      <c r="AE101" s="71">
        <f t="shared" si="48"/>
        <v>0.2944744863571418</v>
      </c>
      <c r="AF101" s="71">
        <f t="shared" si="48"/>
        <v>0.29965238430257046</v>
      </c>
      <c r="AG101" s="71">
        <f t="shared" si="48"/>
        <v>0.30485099383978076</v>
      </c>
      <c r="AH101" s="71">
        <f t="shared" si="48"/>
        <v>0.31007039781513979</v>
      </c>
      <c r="AI101" s="71">
        <f t="shared" si="48"/>
        <v>0.31531067940640045</v>
      </c>
      <c r="AJ101" s="71">
        <f t="shared" si="48"/>
        <v>0.32057192212402597</v>
      </c>
      <c r="AK101" s="71">
        <f t="shared" si="48"/>
        <v>0.32585420981252211</v>
      </c>
    </row>
    <row r="102" spans="1:37" x14ac:dyDescent="0.25">
      <c r="A102" s="1" t="s">
        <v>40</v>
      </c>
      <c r="B102">
        <v>0</v>
      </c>
      <c r="C102" s="71">
        <f t="shared" ref="C102:R142" si="49">(B102+1)*(1+B56)-1</f>
        <v>-1.3000000000000012E-2</v>
      </c>
      <c r="D102" s="71">
        <f t="shared" si="49"/>
        <v>-2.5831000000000048E-2</v>
      </c>
      <c r="E102" s="71">
        <f t="shared" si="49"/>
        <v>-3.8495197000000037E-2</v>
      </c>
      <c r="F102" s="71">
        <f t="shared" si="49"/>
        <v>-5.0994759439000004E-2</v>
      </c>
      <c r="G102" s="71">
        <f t="shared" si="49"/>
        <v>-6.3331827566292964E-2</v>
      </c>
      <c r="H102" s="71">
        <f t="shared" si="49"/>
        <v>-7.4036606679821038E-2</v>
      </c>
      <c r="I102" s="71">
        <f t="shared" si="49"/>
        <v>-8.3163960128262882E-2</v>
      </c>
      <c r="J102" s="71">
        <f t="shared" si="49"/>
        <v>-9.0760601601485913E-2</v>
      </c>
      <c r="K102" s="71">
        <f t="shared" si="49"/>
        <v>-9.6865494705018707E-2</v>
      </c>
      <c r="L102" s="71">
        <f t="shared" si="49"/>
        <v>-0.10151018644653576</v>
      </c>
      <c r="M102" s="71">
        <f t="shared" si="49"/>
        <v>-0.10471907863779817</v>
      </c>
      <c r="N102" s="71">
        <f t="shared" si="49"/>
        <v>-0.10650964048052258</v>
      </c>
      <c r="O102" s="71">
        <f t="shared" si="49"/>
        <v>-0.10829662119956152</v>
      </c>
      <c r="P102" s="71">
        <f t="shared" si="49"/>
        <v>-0.11008002795716243</v>
      </c>
      <c r="Q102" s="71">
        <f t="shared" si="49"/>
        <v>-0.11185986790124813</v>
      </c>
      <c r="R102" s="71">
        <f t="shared" si="49"/>
        <v>-0.11363614816544565</v>
      </c>
      <c r="S102" s="71">
        <f t="shared" si="48"/>
        <v>-0.11540887586911475</v>
      </c>
      <c r="T102" s="71">
        <f t="shared" si="48"/>
        <v>-0.11717805811737647</v>
      </c>
      <c r="U102" s="71">
        <f t="shared" si="48"/>
        <v>-0.11894370200114168</v>
      </c>
      <c r="V102" s="71">
        <f t="shared" si="48"/>
        <v>-0.12070581459713936</v>
      </c>
      <c r="W102" s="71">
        <f t="shared" si="48"/>
        <v>-0.12246440296794503</v>
      </c>
      <c r="X102" s="71">
        <f t="shared" si="48"/>
        <v>-0.12421947416200918</v>
      </c>
      <c r="Y102" s="71">
        <f t="shared" si="48"/>
        <v>-0.12597103521368513</v>
      </c>
      <c r="Z102" s="71">
        <f t="shared" si="48"/>
        <v>-0.1277190931432578</v>
      </c>
      <c r="AA102" s="71">
        <f t="shared" si="48"/>
        <v>-0.12946365495697132</v>
      </c>
      <c r="AB102" s="71">
        <f t="shared" si="48"/>
        <v>-0.13120472764705737</v>
      </c>
      <c r="AC102" s="71">
        <f t="shared" si="48"/>
        <v>-0.13294231819176328</v>
      </c>
      <c r="AD102" s="71">
        <f t="shared" si="48"/>
        <v>-0.13467643355537973</v>
      </c>
      <c r="AE102" s="71">
        <f t="shared" si="48"/>
        <v>-0.13640708068826901</v>
      </c>
      <c r="AF102" s="71">
        <f t="shared" si="48"/>
        <v>-0.13813426652689242</v>
      </c>
      <c r="AG102" s="71">
        <f t="shared" si="48"/>
        <v>-0.13985799799383869</v>
      </c>
      <c r="AH102" s="71">
        <f t="shared" si="48"/>
        <v>-0.14157828199785105</v>
      </c>
      <c r="AI102" s="71">
        <f t="shared" si="48"/>
        <v>-0.14329512543385536</v>
      </c>
      <c r="AJ102" s="71">
        <f t="shared" si="48"/>
        <v>-0.14500853518298762</v>
      </c>
      <c r="AK102" s="71">
        <f t="shared" si="48"/>
        <v>-0.1467185181126216</v>
      </c>
    </row>
    <row r="103" spans="1:37" x14ac:dyDescent="0.25">
      <c r="A103" s="1" t="s">
        <v>41</v>
      </c>
      <c r="B103">
        <v>0</v>
      </c>
      <c r="C103" s="71">
        <f t="shared" si="49"/>
        <v>5.4999999999999938E-2</v>
      </c>
      <c r="D103" s="71">
        <f t="shared" si="48"/>
        <v>0.11302499999999993</v>
      </c>
      <c r="E103" s="71">
        <f t="shared" si="48"/>
        <v>0.17424137499999981</v>
      </c>
      <c r="F103" s="71">
        <f t="shared" si="48"/>
        <v>0.2388246506249998</v>
      </c>
      <c r="G103" s="71">
        <f t="shared" si="48"/>
        <v>0.30696000640937471</v>
      </c>
      <c r="H103" s="71">
        <f t="shared" si="48"/>
        <v>0.37492192674266223</v>
      </c>
      <c r="I103" s="71">
        <f t="shared" si="48"/>
        <v>0.44229310115305265</v>
      </c>
      <c r="J103" s="71">
        <f t="shared" si="48"/>
        <v>0.50863858380609317</v>
      </c>
      <c r="K103" s="71">
        <f t="shared" si="48"/>
        <v>0.57351004290975505</v>
      </c>
      <c r="L103" s="71">
        <f t="shared" si="48"/>
        <v>0.6364504446261452</v>
      </c>
      <c r="M103" s="71">
        <f t="shared" si="48"/>
        <v>0.69699911107731238</v>
      </c>
      <c r="N103" s="71">
        <f t="shared" si="48"/>
        <v>0.75469708085394105</v>
      </c>
      <c r="O103" s="71">
        <f t="shared" si="48"/>
        <v>0.81435678160297509</v>
      </c>
      <c r="P103" s="71">
        <f t="shared" si="48"/>
        <v>0.87604491217747626</v>
      </c>
      <c r="Q103" s="71">
        <f t="shared" si="48"/>
        <v>0.93983043919151044</v>
      </c>
      <c r="R103" s="71">
        <f t="shared" si="48"/>
        <v>1.0057846741240217</v>
      </c>
      <c r="S103" s="71">
        <f t="shared" si="48"/>
        <v>1.0739813530442386</v>
      </c>
      <c r="T103" s="71">
        <f t="shared" si="48"/>
        <v>1.1444967190477429</v>
      </c>
      <c r="U103" s="71">
        <f t="shared" si="48"/>
        <v>1.217409607495366</v>
      </c>
      <c r="V103" s="71">
        <f t="shared" si="48"/>
        <v>1.2928015341502084</v>
      </c>
      <c r="W103" s="71">
        <f t="shared" si="48"/>
        <v>1.3707567863113157</v>
      </c>
      <c r="X103" s="71">
        <f t="shared" si="48"/>
        <v>1.4513625170459004</v>
      </c>
      <c r="Y103" s="71">
        <f t="shared" si="48"/>
        <v>1.5347088426254611</v>
      </c>
      <c r="Z103" s="71">
        <f t="shared" si="48"/>
        <v>1.6208889432747271</v>
      </c>
      <c r="AA103" s="71">
        <f t="shared" si="48"/>
        <v>1.7099991673460679</v>
      </c>
      <c r="AB103" s="71">
        <f t="shared" si="48"/>
        <v>1.8021391390358343</v>
      </c>
      <c r="AC103" s="71">
        <f t="shared" si="48"/>
        <v>1.8974118697630526</v>
      </c>
      <c r="AD103" s="71">
        <f t="shared" si="48"/>
        <v>1.9959238733349967</v>
      </c>
      <c r="AE103" s="71">
        <f t="shared" si="48"/>
        <v>2.0977852850283867</v>
      </c>
      <c r="AF103" s="71">
        <f t="shared" si="48"/>
        <v>2.2031099847193518</v>
      </c>
      <c r="AG103" s="71">
        <f t="shared" si="48"/>
        <v>2.3120157241998101</v>
      </c>
      <c r="AH103" s="71">
        <f t="shared" si="48"/>
        <v>2.4246242588226039</v>
      </c>
      <c r="AI103" s="71">
        <f t="shared" si="48"/>
        <v>2.5410614836225727</v>
      </c>
      <c r="AJ103" s="71">
        <f t="shared" si="48"/>
        <v>2.6614575740657402</v>
      </c>
      <c r="AK103" s="71">
        <f t="shared" si="48"/>
        <v>2.7859471315839754</v>
      </c>
    </row>
    <row r="104" spans="1:37" x14ac:dyDescent="0.25">
      <c r="A104" s="1" t="s">
        <v>4</v>
      </c>
      <c r="B104">
        <v>0</v>
      </c>
      <c r="C104" s="71">
        <f t="shared" si="49"/>
        <v>-1.5439370078740189E-2</v>
      </c>
      <c r="D104" s="71">
        <f t="shared" si="48"/>
        <v>-3.0640366009052067E-2</v>
      </c>
      <c r="E104" s="71">
        <f t="shared" si="48"/>
        <v>-4.5606668137630479E-2</v>
      </c>
      <c r="F104" s="71">
        <f t="shared" si="48"/>
        <v>-6.0341899988935466E-2</v>
      </c>
      <c r="G104" s="71">
        <f t="shared" si="48"/>
        <v>-7.4849629142492158E-2</v>
      </c>
      <c r="H104" s="71">
        <f t="shared" si="48"/>
        <v>-8.5765165988158421E-2</v>
      </c>
      <c r="I104" s="71">
        <f t="shared" si="48"/>
        <v>-9.3223452271156804E-2</v>
      </c>
      <c r="J104" s="71">
        <f t="shared" si="48"/>
        <v>-9.7319585804600872E-2</v>
      </c>
      <c r="K104" s="71">
        <f t="shared" si="48"/>
        <v>-9.8110820528082177E-2</v>
      </c>
      <c r="L104" s="71">
        <f t="shared" si="48"/>
        <v>-9.5617846794198824E-2</v>
      </c>
      <c r="M104" s="71">
        <f t="shared" si="48"/>
        <v>-8.9825390962744667E-2</v>
      </c>
      <c r="N104" s="71">
        <f t="shared" si="48"/>
        <v>-8.0682155431504365E-2</v>
      </c>
      <c r="O104" s="71">
        <f t="shared" si="48"/>
        <v>-7.1447070759286468E-2</v>
      </c>
      <c r="P104" s="71">
        <f t="shared" si="48"/>
        <v>-6.211921426782574E-2</v>
      </c>
      <c r="Q104" s="71">
        <f t="shared" si="48"/>
        <v>-5.2697654010014805E-2</v>
      </c>
      <c r="R104" s="71">
        <f t="shared" si="48"/>
        <v>-4.3181448676793521E-2</v>
      </c>
      <c r="S104" s="71">
        <f t="shared" si="48"/>
        <v>-3.3569647503102318E-2</v>
      </c>
      <c r="T104" s="71">
        <f t="shared" si="48"/>
        <v>-2.3861290172891403E-2</v>
      </c>
      <c r="U104" s="71">
        <f t="shared" si="48"/>
        <v>-1.405540672317529E-2</v>
      </c>
      <c r="V104" s="71">
        <f t="shared" si="48"/>
        <v>-4.1510174471238726E-3</v>
      </c>
      <c r="W104" s="71">
        <f t="shared" si="48"/>
        <v>5.8528672038202778E-3</v>
      </c>
      <c r="X104" s="71">
        <f t="shared" si="48"/>
        <v>1.5957246718807827E-2</v>
      </c>
      <c r="Y104" s="71">
        <f t="shared" si="48"/>
        <v>2.6163130627441689E-2</v>
      </c>
      <c r="Z104" s="71">
        <f t="shared" si="48"/>
        <v>3.647153860063912E-2</v>
      </c>
      <c r="AA104" s="71">
        <f t="shared" si="48"/>
        <v>4.6883500552507673E-2</v>
      </c>
      <c r="AB104" s="71">
        <f t="shared" si="48"/>
        <v>5.7400056743243111E-2</v>
      </c>
      <c r="AC104" s="71">
        <f t="shared" si="48"/>
        <v>6.8022257883062709E-2</v>
      </c>
      <c r="AD104" s="71">
        <f t="shared" si="48"/>
        <v>7.8751165237181286E-2</v>
      </c>
      <c r="AE104" s="71">
        <f t="shared" si="48"/>
        <v>8.9587850731843055E-2</v>
      </c>
      <c r="AF104" s="71">
        <f t="shared" si="48"/>
        <v>0.10053339706141706</v>
      </c>
      <c r="AG104" s="71">
        <f t="shared" si="48"/>
        <v>0.11158889779656955</v>
      </c>
      <c r="AH104" s="71">
        <f t="shared" si="48"/>
        <v>0.12275545749352301</v>
      </c>
      <c r="AI104" s="71">
        <f t="shared" si="48"/>
        <v>0.13403419180441234</v>
      </c>
      <c r="AJ104" s="71">
        <f t="shared" si="48"/>
        <v>0.14542622758874946</v>
      </c>
      <c r="AK104" s="71">
        <f t="shared" si="48"/>
        <v>0.15693270302600837</v>
      </c>
    </row>
    <row r="105" spans="1:37" x14ac:dyDescent="0.25">
      <c r="A105" s="1" t="s">
        <v>5</v>
      </c>
      <c r="B105">
        <v>0</v>
      </c>
      <c r="C105" s="71">
        <f t="shared" si="49"/>
        <v>-1.0000000000000009E-3</v>
      </c>
      <c r="D105" s="71">
        <f t="shared" si="48"/>
        <v>-1.998999999999973E-3</v>
      </c>
      <c r="E105" s="71">
        <f t="shared" si="48"/>
        <v>-2.9970009999999991E-3</v>
      </c>
      <c r="F105" s="71">
        <f t="shared" si="48"/>
        <v>-3.9940039989999621E-3</v>
      </c>
      <c r="G105" s="71">
        <f t="shared" si="48"/>
        <v>-4.990009995000988E-3</v>
      </c>
      <c r="H105" s="71">
        <f t="shared" si="48"/>
        <v>-1.7206914564130704E-3</v>
      </c>
      <c r="I105" s="71">
        <f t="shared" si="48"/>
        <v>5.8377090225598671E-3</v>
      </c>
      <c r="J105" s="71">
        <f t="shared" si="48"/>
        <v>1.7764070429541645E-2</v>
      </c>
      <c r="K105" s="71">
        <f t="shared" si="48"/>
        <v>3.4193690423618639E-2</v>
      </c>
      <c r="L105" s="71">
        <f t="shared" si="48"/>
        <v>5.5320790099415484E-2</v>
      </c>
      <c r="M105" s="71">
        <f t="shared" si="48"/>
        <v>8.1402289626158142E-2</v>
      </c>
      <c r="N105" s="71">
        <f t="shared" si="48"/>
        <v>0.11276295602531672</v>
      </c>
      <c r="O105" s="71">
        <f t="shared" si="48"/>
        <v>0.14503308175005092</v>
      </c>
      <c r="P105" s="71">
        <f t="shared" si="48"/>
        <v>0.17823904112080236</v>
      </c>
      <c r="Q105" s="71">
        <f t="shared" si="48"/>
        <v>0.21240797331330552</v>
      </c>
      <c r="R105" s="71">
        <f t="shared" si="48"/>
        <v>0.2475678045393912</v>
      </c>
      <c r="S105" s="71">
        <f t="shared" si="48"/>
        <v>0.28374727087103335</v>
      </c>
      <c r="T105" s="71">
        <f t="shared" si="48"/>
        <v>0.32097594172629318</v>
      </c>
      <c r="U105" s="71">
        <f t="shared" si="48"/>
        <v>0.3592842440363555</v>
      </c>
      <c r="V105" s="71">
        <f t="shared" si="48"/>
        <v>0.39870348711340964</v>
      </c>
      <c r="W105" s="71">
        <f t="shared" si="48"/>
        <v>0.43926588823969848</v>
      </c>
      <c r="X105" s="71">
        <f t="shared" si="48"/>
        <v>0.48100459899864956</v>
      </c>
      <c r="Y105" s="71">
        <f t="shared" si="48"/>
        <v>0.52395373236961018</v>
      </c>
      <c r="Z105" s="71">
        <f t="shared" si="48"/>
        <v>0.56814839060832867</v>
      </c>
      <c r="AA105" s="71">
        <f t="shared" si="48"/>
        <v>0.61362469393596997</v>
      </c>
      <c r="AB105" s="71">
        <f t="shared" si="48"/>
        <v>0.66041981006011286</v>
      </c>
      <c r="AC105" s="71">
        <f t="shared" si="48"/>
        <v>0.70857198455185588</v>
      </c>
      <c r="AD105" s="71">
        <f t="shared" si="48"/>
        <v>0.75812057210385952</v>
      </c>
      <c r="AE105" s="71">
        <f t="shared" si="48"/>
        <v>0.80910606869487123</v>
      </c>
      <c r="AF105" s="71">
        <f t="shared" si="48"/>
        <v>0.86157014468702231</v>
      </c>
      <c r="AG105" s="71">
        <f t="shared" si="48"/>
        <v>0.91555567888294576</v>
      </c>
      <c r="AH105" s="71">
        <f t="shared" si="48"/>
        <v>0.97110679357055107</v>
      </c>
      <c r="AI105" s="71">
        <f t="shared" si="48"/>
        <v>1.0282688905840969</v>
      </c>
      <c r="AJ105" s="71">
        <f t="shared" si="48"/>
        <v>1.0870886884110353</v>
      </c>
      <c r="AK105" s="71">
        <f t="shared" si="48"/>
        <v>1.1476142603749553</v>
      </c>
    </row>
    <row r="106" spans="1:37" x14ac:dyDescent="0.25">
      <c r="A106" s="1" t="s">
        <v>6</v>
      </c>
      <c r="B106">
        <v>0</v>
      </c>
      <c r="C106" s="71">
        <f t="shared" si="49"/>
        <v>9.3064840918244407E-3</v>
      </c>
      <c r="D106" s="71">
        <f t="shared" si="48"/>
        <v>1.8699578829800334E-2</v>
      </c>
      <c r="E106" s="71">
        <f t="shared" si="48"/>
        <v>2.8180090254528167E-2</v>
      </c>
      <c r="F106" s="71">
        <f t="shared" si="48"/>
        <v>3.7748831908012592E-2</v>
      </c>
      <c r="G106" s="71">
        <f t="shared" si="48"/>
        <v>4.7406624903473915E-2</v>
      </c>
      <c r="H106" s="71">
        <f t="shared" si="48"/>
        <v>5.6509920857549911E-2</v>
      </c>
      <c r="I106" s="71">
        <f t="shared" si="48"/>
        <v>6.5042358438285985E-2</v>
      </c>
      <c r="J106" s="71">
        <f t="shared" si="48"/>
        <v>7.2988477644039484E-2</v>
      </c>
      <c r="K106" s="71">
        <f t="shared" si="48"/>
        <v>8.0333766236410531E-2</v>
      </c>
      <c r="L106" s="71">
        <f t="shared" si="48"/>
        <v>8.7064703689923473E-2</v>
      </c>
      <c r="M106" s="71">
        <f t="shared" si="48"/>
        <v>9.316880247311965E-2</v>
      </c>
      <c r="N106" s="71">
        <f t="shared" si="48"/>
        <v>9.8634646485485034E-2</v>
      </c>
      <c r="O106" s="71">
        <f t="shared" si="48"/>
        <v>0.1041278197179123</v>
      </c>
      <c r="P106" s="71">
        <f t="shared" si="48"/>
        <v>0.10964845881650165</v>
      </c>
      <c r="Q106" s="71">
        <f t="shared" si="48"/>
        <v>0.11519670111058411</v>
      </c>
      <c r="R106" s="71">
        <f t="shared" si="48"/>
        <v>0.12077268461613699</v>
      </c>
      <c r="S106" s="71">
        <f t="shared" si="48"/>
        <v>0.12637654803921761</v>
      </c>
      <c r="T106" s="71">
        <f t="shared" si="48"/>
        <v>0.1320084307794136</v>
      </c>
      <c r="U106" s="71">
        <f t="shared" si="48"/>
        <v>0.13766847293331064</v>
      </c>
      <c r="V106" s="71">
        <f t="shared" si="48"/>
        <v>0.14335681529797717</v>
      </c>
      <c r="W106" s="71">
        <f t="shared" si="48"/>
        <v>0.14907359937446696</v>
      </c>
      <c r="X106" s="71">
        <f t="shared" si="48"/>
        <v>0.15481896737133916</v>
      </c>
      <c r="Y106" s="71">
        <f t="shared" si="48"/>
        <v>0.16059306220819569</v>
      </c>
      <c r="Z106" s="71">
        <f t="shared" si="48"/>
        <v>0.16639602751923666</v>
      </c>
      <c r="AA106" s="71">
        <f t="shared" si="48"/>
        <v>0.17222800765683277</v>
      </c>
      <c r="AB106" s="71">
        <f t="shared" si="48"/>
        <v>0.17808914769511675</v>
      </c>
      <c r="AC106" s="71">
        <f t="shared" si="48"/>
        <v>0.18397959343359216</v>
      </c>
      <c r="AD106" s="71">
        <f t="shared" si="48"/>
        <v>0.1898994914007599</v>
      </c>
      <c r="AE106" s="71">
        <f t="shared" si="48"/>
        <v>0.19584898885776347</v>
      </c>
      <c r="AF106" s="71">
        <f t="shared" si="48"/>
        <v>0.20182823380205206</v>
      </c>
      <c r="AG106" s="71">
        <f t="shared" si="48"/>
        <v>0.20783737497106225</v>
      </c>
      <c r="AH106" s="71">
        <f t="shared" si="48"/>
        <v>0.21387656184591752</v>
      </c>
      <c r="AI106" s="71">
        <f t="shared" si="48"/>
        <v>0.21994594465514705</v>
      </c>
      <c r="AJ106" s="71">
        <f t="shared" si="48"/>
        <v>0.22604567437842271</v>
      </c>
      <c r="AK106" s="71">
        <f t="shared" si="48"/>
        <v>0.23217590275031474</v>
      </c>
    </row>
    <row r="107" spans="1:37" x14ac:dyDescent="0.25">
      <c r="A107" s="1" t="s">
        <v>7</v>
      </c>
      <c r="B107">
        <v>0</v>
      </c>
      <c r="C107" s="71">
        <f t="shared" si="49"/>
        <v>-5.2350486787204886E-3</v>
      </c>
      <c r="D107" s="71">
        <f t="shared" si="48"/>
        <v>-1.0442691622772449E-2</v>
      </c>
      <c r="E107" s="71">
        <f t="shared" si="48"/>
        <v>-1.562307230251081E-2</v>
      </c>
      <c r="F107" s="71">
        <f t="shared" si="48"/>
        <v>-2.0776333437216521E-2</v>
      </c>
      <c r="G107" s="71">
        <f t="shared" si="48"/>
        <v>-2.590261699902785E-2</v>
      </c>
      <c r="H107" s="71">
        <f t="shared" si="48"/>
        <v>-3.0691042064163288E-2</v>
      </c>
      <c r="I107" s="71">
        <f t="shared" si="48"/>
        <v>-3.5146435156332534E-2</v>
      </c>
      <c r="J107" s="71">
        <f t="shared" si="48"/>
        <v>-3.9273278528156319E-2</v>
      </c>
      <c r="K107" s="71">
        <f t="shared" si="48"/>
        <v>-4.3075717688044857E-2</v>
      </c>
      <c r="L107" s="71">
        <f t="shared" si="48"/>
        <v>-4.6557568350071299E-2</v>
      </c>
      <c r="M107" s="71">
        <f t="shared" si="48"/>
        <v>-4.9722322823177456E-2</v>
      </c>
      <c r="N107" s="71">
        <f t="shared" si="48"/>
        <v>-5.2573155854707898E-2</v>
      </c>
      <c r="O107" s="71">
        <f t="shared" si="48"/>
        <v>-5.5415436387143746E-2</v>
      </c>
      <c r="P107" s="71">
        <f t="shared" si="48"/>
        <v>-5.8249190077982349E-2</v>
      </c>
      <c r="Q107" s="71">
        <f t="shared" si="48"/>
        <v>-6.1074442507748405E-2</v>
      </c>
      <c r="R107" s="71">
        <f t="shared" si="48"/>
        <v>-6.3891219180225112E-2</v>
      </c>
      <c r="S107" s="71">
        <f t="shared" si="48"/>
        <v>-6.6699545522684422E-2</v>
      </c>
      <c r="T107" s="71">
        <f t="shared" si="48"/>
        <v>-6.9499446886116423E-2</v>
      </c>
      <c r="U107" s="71">
        <f t="shared" si="48"/>
        <v>-7.2290948545458034E-2</v>
      </c>
      <c r="V107" s="71">
        <f t="shared" si="48"/>
        <v>-7.5074075699821607E-2</v>
      </c>
      <c r="W107" s="71">
        <f t="shared" si="48"/>
        <v>-7.784885347272219E-2</v>
      </c>
      <c r="X107" s="71">
        <f t="shared" si="48"/>
        <v>-8.0615306912304008E-2</v>
      </c>
      <c r="Y107" s="71">
        <f t="shared" si="48"/>
        <v>-8.3373460991567061E-2</v>
      </c>
      <c r="Z107" s="71">
        <f t="shared" si="48"/>
        <v>-8.6123340608592391E-2</v>
      </c>
      <c r="AA107" s="71">
        <f t="shared" si="48"/>
        <v>-8.8864970586766567E-2</v>
      </c>
      <c r="AB107" s="71">
        <f t="shared" si="48"/>
        <v>-9.1598375675006283E-2</v>
      </c>
      <c r="AC107" s="71">
        <f t="shared" si="48"/>
        <v>-9.4323580547981289E-2</v>
      </c>
      <c r="AD107" s="71">
        <f t="shared" si="48"/>
        <v>-9.704060980633733E-2</v>
      </c>
      <c r="AE107" s="71">
        <f t="shared" si="48"/>
        <v>-9.9749487976918294E-2</v>
      </c>
      <c r="AF107" s="71">
        <f t="shared" si="48"/>
        <v>-0.1024502395129876</v>
      </c>
      <c r="AG107" s="71">
        <f t="shared" si="48"/>
        <v>-0.10514288879444866</v>
      </c>
      <c r="AH107" s="71">
        <f t="shared" si="48"/>
        <v>-0.10782746012806532</v>
      </c>
      <c r="AI107" s="71">
        <f t="shared" si="48"/>
        <v>-0.11050397774768117</v>
      </c>
      <c r="AJ107" s="71">
        <f t="shared" si="48"/>
        <v>-0.11317246581443818</v>
      </c>
      <c r="AK107" s="71">
        <f t="shared" si="48"/>
        <v>-0.11583294841699487</v>
      </c>
    </row>
    <row r="108" spans="1:37" x14ac:dyDescent="0.25">
      <c r="A108" s="1" t="s">
        <v>8</v>
      </c>
      <c r="B108">
        <v>0</v>
      </c>
      <c r="C108" s="71">
        <f t="shared" si="49"/>
        <v>2.4000000000000021E-2</v>
      </c>
      <c r="D108" s="71">
        <f t="shared" si="48"/>
        <v>4.8575999999999953E-2</v>
      </c>
      <c r="E108" s="71">
        <f t="shared" si="48"/>
        <v>7.3741824000000067E-2</v>
      </c>
      <c r="F108" s="71">
        <f t="shared" si="48"/>
        <v>9.95116277760002E-2</v>
      </c>
      <c r="G108" s="71">
        <f t="shared" si="48"/>
        <v>0.12589990684262431</v>
      </c>
      <c r="H108" s="71">
        <f t="shared" si="48"/>
        <v>0.14793537644797272</v>
      </c>
      <c r="I108" s="71">
        <f t="shared" si="48"/>
        <v>0.16531839786275637</v>
      </c>
      <c r="J108" s="71">
        <f t="shared" si="48"/>
        <v>0.17780395212557165</v>
      </c>
      <c r="K108" s="71">
        <f t="shared" si="48"/>
        <v>0.18520729125321811</v>
      </c>
      <c r="L108" s="71">
        <f t="shared" si="48"/>
        <v>0.18740839050840252</v>
      </c>
      <c r="M108" s="71">
        <f t="shared" si="48"/>
        <v>0.18435505464709512</v>
      </c>
      <c r="N108" s="71">
        <f t="shared" si="48"/>
        <v>0.17606456926456548</v>
      </c>
      <c r="O108" s="71">
        <f t="shared" si="48"/>
        <v>0.16783211727971348</v>
      </c>
      <c r="P108" s="71">
        <f t="shared" si="48"/>
        <v>0.15965729245875537</v>
      </c>
      <c r="Q108" s="71">
        <f t="shared" si="48"/>
        <v>0.15153969141154411</v>
      </c>
      <c r="R108" s="71">
        <f t="shared" si="48"/>
        <v>0.1434789135716632</v>
      </c>
      <c r="S108" s="71">
        <f t="shared" si="48"/>
        <v>0.13547456117666146</v>
      </c>
      <c r="T108" s="71">
        <f t="shared" si="48"/>
        <v>0.12752623924842488</v>
      </c>
      <c r="U108" s="71">
        <f t="shared" si="48"/>
        <v>0.11963355557368582</v>
      </c>
      <c r="V108" s="71">
        <f t="shared" si="48"/>
        <v>0.11179612068467004</v>
      </c>
      <c r="W108" s="71">
        <f t="shared" si="48"/>
        <v>0.10401354783987737</v>
      </c>
      <c r="X108" s="71">
        <f t="shared" si="48"/>
        <v>9.6285453004998134E-2</v>
      </c>
      <c r="Y108" s="71">
        <f t="shared" si="48"/>
        <v>8.8611454833963155E-2</v>
      </c>
      <c r="Z108" s="71">
        <f t="shared" si="48"/>
        <v>8.0991174650125508E-2</v>
      </c>
      <c r="AA108" s="71">
        <f t="shared" si="48"/>
        <v>7.3424236427574563E-2</v>
      </c>
      <c r="AB108" s="71">
        <f t="shared" si="48"/>
        <v>6.5910266772581494E-2</v>
      </c>
      <c r="AC108" s="71">
        <f t="shared" si="48"/>
        <v>5.8448894905173354E-2</v>
      </c>
      <c r="AD108" s="71">
        <f t="shared" si="48"/>
        <v>5.1039752640837044E-2</v>
      </c>
      <c r="AE108" s="71">
        <f t="shared" si="48"/>
        <v>4.3682474372351177E-2</v>
      </c>
      <c r="AF108" s="71">
        <f t="shared" si="48"/>
        <v>3.6376697051744733E-2</v>
      </c>
      <c r="AG108" s="71">
        <f t="shared" si="48"/>
        <v>2.9122060172382502E-2</v>
      </c>
      <c r="AH108" s="71">
        <f t="shared" si="48"/>
        <v>2.1918205751175757E-2</v>
      </c>
      <c r="AI108" s="71">
        <f t="shared" si="48"/>
        <v>1.4764778310917492E-2</v>
      </c>
      <c r="AJ108" s="71">
        <f t="shared" ref="D108:AK116" si="50">(AI108+1)*(1+AI62)-1</f>
        <v>7.6614248627411285E-3</v>
      </c>
      <c r="AK108" s="71">
        <f t="shared" si="50"/>
        <v>6.0779488870199572E-4</v>
      </c>
    </row>
    <row r="109" spans="1:37" x14ac:dyDescent="0.25">
      <c r="A109" s="1" t="s">
        <v>9</v>
      </c>
      <c r="B109">
        <v>0</v>
      </c>
      <c r="C109" s="71">
        <f t="shared" si="49"/>
        <v>3.9223972339597069E-4</v>
      </c>
      <c r="D109" s="71">
        <f t="shared" si="50"/>
        <v>7.8463329879263632E-4</v>
      </c>
      <c r="E109" s="71">
        <f t="shared" si="50"/>
        <v>1.1771807865366135E-3</v>
      </c>
      <c r="F109" s="71">
        <f t="shared" si="50"/>
        <v>1.5698822469987217E-3</v>
      </c>
      <c r="G109" s="71">
        <f t="shared" si="50"/>
        <v>1.962737740573095E-3</v>
      </c>
      <c r="H109" s="71">
        <f t="shared" si="50"/>
        <v>1.1545028292447856E-3</v>
      </c>
      <c r="I109" s="71">
        <f t="shared" si="50"/>
        <v>-8.5335563060318087E-4</v>
      </c>
      <c r="J109" s="71">
        <f t="shared" si="50"/>
        <v>-4.0550555522014253E-3</v>
      </c>
      <c r="K109" s="71">
        <f t="shared" si="50"/>
        <v>-8.4405256541650875E-3</v>
      </c>
      <c r="L109" s="71">
        <f t="shared" si="50"/>
        <v>-1.3995457217870322E-2</v>
      </c>
      <c r="M109" s="71">
        <f t="shared" si="50"/>
        <v>-2.0701381204215163E-2</v>
      </c>
      <c r="N109" s="71">
        <f t="shared" si="50"/>
        <v>-2.8535770154581419E-2</v>
      </c>
      <c r="O109" s="71">
        <f t="shared" si="50"/>
        <v>-3.6307483993344825E-2</v>
      </c>
      <c r="P109" s="71">
        <f t="shared" si="50"/>
        <v>-4.4017024121398074E-2</v>
      </c>
      <c r="Q109" s="71">
        <f t="shared" si="50"/>
        <v>-5.1664887928426939E-2</v>
      </c>
      <c r="R109" s="71">
        <f t="shared" si="50"/>
        <v>-5.925156882499949E-2</v>
      </c>
      <c r="S109" s="71">
        <f t="shared" si="50"/>
        <v>-6.6777556274399519E-2</v>
      </c>
      <c r="T109" s="71">
        <f t="shared" si="50"/>
        <v>-7.4243335824204282E-2</v>
      </c>
      <c r="U109" s="71">
        <f t="shared" si="50"/>
        <v>-8.1649389137610662E-2</v>
      </c>
      <c r="V109" s="71">
        <f t="shared" si="50"/>
        <v>-8.8996194024509756E-2</v>
      </c>
      <c r="W109" s="71">
        <f t="shared" si="50"/>
        <v>-9.6284224472313662E-2</v>
      </c>
      <c r="X109" s="71">
        <f t="shared" si="50"/>
        <v>-0.10351395067653513</v>
      </c>
      <c r="Y109" s="71">
        <f t="shared" si="50"/>
        <v>-0.11068583907112284</v>
      </c>
      <c r="Z109" s="71">
        <f t="shared" si="50"/>
        <v>-0.11780035235855391</v>
      </c>
      <c r="AA109" s="71">
        <f t="shared" si="50"/>
        <v>-0.12485794953968543</v>
      </c>
      <c r="AB109" s="71">
        <f t="shared" si="50"/>
        <v>-0.13185908594336793</v>
      </c>
      <c r="AC109" s="71">
        <f t="shared" si="50"/>
        <v>-0.13880421325582104</v>
      </c>
      <c r="AD109" s="71">
        <f t="shared" si="50"/>
        <v>-0.14569377954977447</v>
      </c>
      <c r="AE109" s="71">
        <f t="shared" si="50"/>
        <v>-0.15252822931337628</v>
      </c>
      <c r="AF109" s="71">
        <f t="shared" si="50"/>
        <v>-0.15930800347886931</v>
      </c>
      <c r="AG109" s="71">
        <f t="shared" si="50"/>
        <v>-0.16603353945103838</v>
      </c>
      <c r="AH109" s="71">
        <f t="shared" si="50"/>
        <v>-0.17270527113543011</v>
      </c>
      <c r="AI109" s="71">
        <f t="shared" si="50"/>
        <v>-0.17932362896634668</v>
      </c>
      <c r="AJ109" s="71">
        <f t="shared" si="50"/>
        <v>-0.18588903993461592</v>
      </c>
      <c r="AK109" s="71">
        <f t="shared" si="50"/>
        <v>-0.19240192761513897</v>
      </c>
    </row>
    <row r="110" spans="1:37" x14ac:dyDescent="0.25">
      <c r="A110" s="1" t="s">
        <v>10</v>
      </c>
      <c r="B110">
        <v>0</v>
      </c>
      <c r="C110" s="71">
        <f t="shared" si="49"/>
        <v>6.9999999999998952E-3</v>
      </c>
      <c r="D110" s="71">
        <f t="shared" si="50"/>
        <v>1.4048999999999756E-2</v>
      </c>
      <c r="E110" s="71">
        <f t="shared" si="50"/>
        <v>2.1147342999999541E-2</v>
      </c>
      <c r="F110" s="71">
        <f t="shared" si="50"/>
        <v>2.8295374400999496E-2</v>
      </c>
      <c r="G110" s="71">
        <f t="shared" si="50"/>
        <v>3.5493442021806487E-2</v>
      </c>
      <c r="H110" s="71">
        <f t="shared" si="50"/>
        <v>4.2446040846809918E-2</v>
      </c>
      <c r="I110" s="71">
        <f t="shared" si="50"/>
        <v>4.9147479680825112E-2</v>
      </c>
      <c r="J110" s="71">
        <f t="shared" si="50"/>
        <v>5.5592242770293065E-2</v>
      </c>
      <c r="K110" s="71">
        <f t="shared" si="50"/>
        <v>6.1774997335090509E-2</v>
      </c>
      <c r="L110" s="71">
        <f t="shared" si="50"/>
        <v>6.7690600891671782E-2</v>
      </c>
      <c r="M110" s="71">
        <f t="shared" si="50"/>
        <v>7.3334108353527716E-2</v>
      </c>
      <c r="N110" s="71">
        <f t="shared" si="50"/>
        <v>7.8700778895295143E-2</v>
      </c>
      <c r="O110" s="71">
        <f t="shared" si="50"/>
        <v>8.4094282789771491E-2</v>
      </c>
      <c r="P110" s="71">
        <f t="shared" si="50"/>
        <v>8.9514754203720237E-2</v>
      </c>
      <c r="Q110" s="71">
        <f t="shared" si="50"/>
        <v>9.4962327974738692E-2</v>
      </c>
      <c r="R110" s="71">
        <f t="shared" si="50"/>
        <v>0.1004371396146122</v>
      </c>
      <c r="S110" s="71">
        <f t="shared" si="50"/>
        <v>0.10593932531268524</v>
      </c>
      <c r="T110" s="71">
        <f t="shared" si="50"/>
        <v>0.11146902193924846</v>
      </c>
      <c r="U110" s="71">
        <f t="shared" si="50"/>
        <v>0.11702636704894465</v>
      </c>
      <c r="V110" s="71">
        <f t="shared" si="50"/>
        <v>0.12261149888418932</v>
      </c>
      <c r="W110" s="71">
        <f t="shared" si="50"/>
        <v>0.12822455637861019</v>
      </c>
      <c r="X110" s="71">
        <f t="shared" si="50"/>
        <v>0.13386567916050307</v>
      </c>
      <c r="Y110" s="71">
        <f t="shared" si="50"/>
        <v>0.13953500755630555</v>
      </c>
      <c r="Z110" s="71">
        <f t="shared" si="50"/>
        <v>0.14523268259408706</v>
      </c>
      <c r="AA110" s="71">
        <f t="shared" si="50"/>
        <v>0.15095884600705745</v>
      </c>
      <c r="AB110" s="71">
        <f t="shared" si="50"/>
        <v>0.15671364023709256</v>
      </c>
      <c r="AC110" s="71">
        <f t="shared" si="50"/>
        <v>0.16249720843827786</v>
      </c>
      <c r="AD110" s="71">
        <f t="shared" si="50"/>
        <v>0.16830969448046917</v>
      </c>
      <c r="AE110" s="71">
        <f t="shared" si="50"/>
        <v>0.17415124295287132</v>
      </c>
      <c r="AF110" s="71">
        <f t="shared" si="50"/>
        <v>0.1800219991676355</v>
      </c>
      <c r="AG110" s="71">
        <f t="shared" si="50"/>
        <v>0.18592210916347351</v>
      </c>
      <c r="AH110" s="71">
        <f t="shared" si="50"/>
        <v>0.19185171970929082</v>
      </c>
      <c r="AI110" s="71">
        <f t="shared" si="50"/>
        <v>0.19781097830783723</v>
      </c>
      <c r="AJ110" s="71">
        <f t="shared" si="50"/>
        <v>0.20380003319937634</v>
      </c>
      <c r="AK110" s="71">
        <f t="shared" si="50"/>
        <v>0.20981903336537311</v>
      </c>
    </row>
    <row r="111" spans="1:37" x14ac:dyDescent="0.25">
      <c r="A111" s="1" t="s">
        <v>36</v>
      </c>
      <c r="B111">
        <v>0</v>
      </c>
      <c r="C111" s="71">
        <f t="shared" si="49"/>
        <v>2.2260186694325057E-2</v>
      </c>
      <c r="D111" s="71">
        <f t="shared" si="50"/>
        <v>4.5015889300316303E-2</v>
      </c>
      <c r="E111" s="71">
        <f t="shared" si="50"/>
        <v>6.8278138094677532E-2</v>
      </c>
      <c r="F111" s="71">
        <f t="shared" si="50"/>
        <v>9.2058208890130944E-2</v>
      </c>
      <c r="G111" s="71">
        <f t="shared" si="50"/>
        <v>0.1163676285010955</v>
      </c>
      <c r="H111" s="71">
        <f t="shared" si="50"/>
        <v>0.1391034313062558</v>
      </c>
      <c r="I111" s="71">
        <f t="shared" si="50"/>
        <v>0.16014445087606011</v>
      </c>
      <c r="J111" s="71">
        <f t="shared" si="50"/>
        <v>0.17937645494023147</v>
      </c>
      <c r="K111" s="71">
        <f t="shared" si="50"/>
        <v>0.19669316530986447</v>
      </c>
      <c r="L111" s="71">
        <f t="shared" si="50"/>
        <v>0.21199722516560526</v>
      </c>
      <c r="M111" s="71">
        <f t="shared" si="50"/>
        <v>0.22520110154619588</v>
      </c>
      <c r="N111" s="71">
        <f t="shared" si="50"/>
        <v>0.23622791146011157</v>
      </c>
      <c r="O111" s="71">
        <f t="shared" si="50"/>
        <v>0.24735396266325238</v>
      </c>
      <c r="P111" s="71">
        <f t="shared" si="50"/>
        <v>0.25858014832722143</v>
      </c>
      <c r="Q111" s="71">
        <f t="shared" si="50"/>
        <v>0.26990736966216633</v>
      </c>
      <c r="R111" s="71">
        <f t="shared" si="50"/>
        <v>0.28133653598912578</v>
      </c>
      <c r="S111" s="71">
        <f t="shared" si="50"/>
        <v>0.29286856481302781</v>
      </c>
      <c r="T111" s="71">
        <f t="shared" si="50"/>
        <v>0.30450438189634488</v>
      </c>
      <c r="U111" s="71">
        <f t="shared" si="50"/>
        <v>0.31624492133341175</v>
      </c>
      <c r="V111" s="71">
        <f t="shared" si="50"/>
        <v>0.32809112562541243</v>
      </c>
      <c r="W111" s="71">
        <f t="shared" si="50"/>
        <v>0.34004394575604091</v>
      </c>
      <c r="X111" s="71">
        <f t="shared" si="50"/>
        <v>0.35210434126784507</v>
      </c>
      <c r="Y111" s="71">
        <f t="shared" si="50"/>
        <v>0.36427328033925543</v>
      </c>
      <c r="Z111" s="71">
        <f t="shared" si="50"/>
        <v>0.37655173986230861</v>
      </c>
      <c r="AA111" s="71">
        <f t="shared" si="50"/>
        <v>0.38894070552106919</v>
      </c>
      <c r="AB111" s="71">
        <f t="shared" si="50"/>
        <v>0.40144117187075867</v>
      </c>
      <c r="AC111" s="71">
        <f t="shared" si="50"/>
        <v>0.41405414241759542</v>
      </c>
      <c r="AD111" s="71">
        <f t="shared" si="50"/>
        <v>0.42678062969935371</v>
      </c>
      <c r="AE111" s="71">
        <f t="shared" si="50"/>
        <v>0.43962165536664766</v>
      </c>
      <c r="AF111" s="71">
        <f t="shared" si="50"/>
        <v>0.45257825026494736</v>
      </c>
      <c r="AG111" s="71">
        <f t="shared" si="50"/>
        <v>0.46565145451733181</v>
      </c>
      <c r="AH111" s="71">
        <f t="shared" si="50"/>
        <v>0.47884231760798768</v>
      </c>
      <c r="AI111" s="71">
        <f t="shared" si="50"/>
        <v>0.49215189846645946</v>
      </c>
      <c r="AJ111" s="71">
        <f t="shared" si="50"/>
        <v>0.50558126555265748</v>
      </c>
      <c r="AK111" s="71">
        <f t="shared" si="50"/>
        <v>0.51913149694263128</v>
      </c>
    </row>
    <row r="112" spans="1:37" x14ac:dyDescent="0.25">
      <c r="A112" s="1" t="s">
        <v>37</v>
      </c>
      <c r="B112">
        <v>0</v>
      </c>
      <c r="C112" s="71">
        <f t="shared" si="49"/>
        <v>-4.0000000000000036E-3</v>
      </c>
      <c r="D112" s="71">
        <f t="shared" si="50"/>
        <v>-7.9839999999999911E-3</v>
      </c>
      <c r="E112" s="71">
        <f t="shared" si="50"/>
        <v>-1.195206400000004E-2</v>
      </c>
      <c r="F112" s="71">
        <f t="shared" si="50"/>
        <v>-1.5904255744000007E-2</v>
      </c>
      <c r="G112" s="71">
        <f t="shared" si="50"/>
        <v>-1.984063872102404E-2</v>
      </c>
      <c r="H112" s="71">
        <f t="shared" si="50"/>
        <v>-2.0680775316405997E-2</v>
      </c>
      <c r="I112" s="71">
        <f t="shared" si="50"/>
        <v>-1.8442331374272092E-2</v>
      </c>
      <c r="J112" s="71">
        <f t="shared" si="50"/>
        <v>-1.3113875458875324E-2</v>
      </c>
      <c r="K112" s="71">
        <f t="shared" si="50"/>
        <v>-4.6548515342370589E-3</v>
      </c>
      <c r="L112" s="71">
        <f t="shared" si="50"/>
        <v>7.0049059192189844E-3</v>
      </c>
      <c r="M112" s="71">
        <f t="shared" si="50"/>
        <v>2.1966121664304561E-2</v>
      </c>
      <c r="N112" s="71">
        <f t="shared" si="50"/>
        <v>4.0361511854261956E-2</v>
      </c>
      <c r="O112" s="71">
        <f t="shared" si="50"/>
        <v>5.9088019067638609E-2</v>
      </c>
      <c r="P112" s="71">
        <f t="shared" si="50"/>
        <v>7.815160341085603E-2</v>
      </c>
      <c r="Q112" s="71">
        <f t="shared" si="50"/>
        <v>9.7558332272251524E-2</v>
      </c>
      <c r="R112" s="71">
        <f t="shared" si="50"/>
        <v>0.11731438225315216</v>
      </c>
      <c r="S112" s="71">
        <f t="shared" si="50"/>
        <v>0.13742604113370893</v>
      </c>
      <c r="T112" s="71">
        <f t="shared" si="50"/>
        <v>0.15789970987411572</v>
      </c>
      <c r="U112" s="71">
        <f t="shared" si="50"/>
        <v>0.17874190465184991</v>
      </c>
      <c r="V112" s="71">
        <f t="shared" si="50"/>
        <v>0.1999592589355832</v>
      </c>
      <c r="W112" s="71">
        <f t="shared" si="50"/>
        <v>0.22155852559642364</v>
      </c>
      <c r="X112" s="71">
        <f t="shared" si="50"/>
        <v>0.24354657905715937</v>
      </c>
      <c r="Y112" s="71">
        <f t="shared" si="50"/>
        <v>0.2659304174801882</v>
      </c>
      <c r="Z112" s="71">
        <f t="shared" si="50"/>
        <v>0.28871716499483169</v>
      </c>
      <c r="AA112" s="71">
        <f t="shared" si="50"/>
        <v>0.31191407396473858</v>
      </c>
      <c r="AB112" s="71">
        <f t="shared" si="50"/>
        <v>0.33552852729610394</v>
      </c>
      <c r="AC112" s="71">
        <f t="shared" si="50"/>
        <v>0.35956804078743376</v>
      </c>
      <c r="AD112" s="71">
        <f t="shared" si="50"/>
        <v>0.38404026552160753</v>
      </c>
      <c r="AE112" s="71">
        <f t="shared" si="50"/>
        <v>0.40895299030099652</v>
      </c>
      <c r="AF112" s="71">
        <f t="shared" si="50"/>
        <v>0.43431414412641445</v>
      </c>
      <c r="AG112" s="71">
        <f t="shared" si="50"/>
        <v>0.46013179872068988</v>
      </c>
      <c r="AH112" s="71">
        <f t="shared" si="50"/>
        <v>0.48641417109766238</v>
      </c>
      <c r="AI112" s="71">
        <f t="shared" si="50"/>
        <v>0.51316962617742035</v>
      </c>
      <c r="AJ112" s="71">
        <f t="shared" si="50"/>
        <v>0.54040667944861398</v>
      </c>
      <c r="AK112" s="71">
        <f t="shared" si="50"/>
        <v>0.56813399967868916</v>
      </c>
    </row>
    <row r="113" spans="1:37" x14ac:dyDescent="0.25">
      <c r="A113" s="1" t="s">
        <v>11</v>
      </c>
      <c r="B113">
        <v>0</v>
      </c>
      <c r="C113" s="71">
        <f t="shared" si="49"/>
        <v>1.8000000000000016E-2</v>
      </c>
      <c r="D113" s="71">
        <f t="shared" si="50"/>
        <v>3.6324000000000023E-2</v>
      </c>
      <c r="E113" s="71">
        <f t="shared" si="50"/>
        <v>5.497783200000006E-2</v>
      </c>
      <c r="F113" s="71">
        <f t="shared" si="50"/>
        <v>7.3967432976000058E-2</v>
      </c>
      <c r="G113" s="71">
        <f t="shared" si="50"/>
        <v>9.3298846769568122E-2</v>
      </c>
      <c r="H113" s="71">
        <f t="shared" si="50"/>
        <v>0.11219729826372782</v>
      </c>
      <c r="I113" s="71">
        <f t="shared" si="50"/>
        <v>0.13062799634924116</v>
      </c>
      <c r="J113" s="71">
        <f t="shared" si="50"/>
        <v>0.14855652600563629</v>
      </c>
      <c r="K113" s="71">
        <f t="shared" si="50"/>
        <v>0.16594895339943583</v>
      </c>
      <c r="L113" s="71">
        <f t="shared" si="50"/>
        <v>0.18277193115562773</v>
      </c>
      <c r="M113" s="71">
        <f t="shared" si="50"/>
        <v>0.19899280335433356</v>
      </c>
      <c r="N113" s="71">
        <f t="shared" si="50"/>
        <v>0.21457970979793983</v>
      </c>
      <c r="O113" s="71">
        <f t="shared" si="50"/>
        <v>0.23036924602531283</v>
      </c>
      <c r="P113" s="71">
        <f t="shared" si="50"/>
        <v>0.24636404622364183</v>
      </c>
      <c r="Q113" s="71">
        <f t="shared" si="50"/>
        <v>0.26256677882454915</v>
      </c>
      <c r="R113" s="71">
        <f t="shared" si="50"/>
        <v>0.27898014694926809</v>
      </c>
      <c r="S113" s="71">
        <f t="shared" si="50"/>
        <v>0.2956068888596084</v>
      </c>
      <c r="T113" s="71">
        <f t="shared" si="50"/>
        <v>0.31244977841478327</v>
      </c>
      <c r="U113" s="71">
        <f t="shared" si="50"/>
        <v>0.32951162553417523</v>
      </c>
      <c r="V113" s="71">
        <f t="shared" si="50"/>
        <v>0.34679527666611931</v>
      </c>
      <c r="W113" s="71">
        <f t="shared" si="50"/>
        <v>0.36430361526277877</v>
      </c>
      <c r="X113" s="71">
        <f t="shared" si="50"/>
        <v>0.38203956226119473</v>
      </c>
      <c r="Y113" s="71">
        <f t="shared" si="50"/>
        <v>0.40000607657059017</v>
      </c>
      <c r="Z113" s="71">
        <f t="shared" si="50"/>
        <v>0.41820615556600771</v>
      </c>
      <c r="AA113" s="71">
        <f t="shared" si="50"/>
        <v>0.43664283558836559</v>
      </c>
      <c r="AB113" s="71">
        <f t="shared" si="50"/>
        <v>0.45531919245101427</v>
      </c>
      <c r="AC113" s="71">
        <f t="shared" si="50"/>
        <v>0.47423834195287728</v>
      </c>
      <c r="AD113" s="71">
        <f t="shared" si="50"/>
        <v>0.49340344039826456</v>
      </c>
      <c r="AE113" s="71">
        <f t="shared" si="50"/>
        <v>0.51281768512344184</v>
      </c>
      <c r="AF113" s="71">
        <f t="shared" si="50"/>
        <v>0.53248431503004645</v>
      </c>
      <c r="AG113" s="71">
        <f t="shared" si="50"/>
        <v>0.55240661112543687</v>
      </c>
      <c r="AH113" s="71">
        <f t="shared" si="50"/>
        <v>0.5725878970700673</v>
      </c>
      <c r="AI113" s="71">
        <f t="shared" si="50"/>
        <v>0.59303153973197809</v>
      </c>
      <c r="AJ113" s="71">
        <f t="shared" si="50"/>
        <v>0.61374094974849358</v>
      </c>
      <c r="AK113" s="71">
        <f t="shared" si="50"/>
        <v>0.63471958209522383</v>
      </c>
    </row>
    <row r="114" spans="1:37" x14ac:dyDescent="0.25">
      <c r="A114" s="1" t="s">
        <v>42</v>
      </c>
      <c r="B114">
        <v>0</v>
      </c>
      <c r="C114" s="71">
        <f t="shared" si="49"/>
        <v>4.2999999999999927E-2</v>
      </c>
      <c r="D114" s="71">
        <f t="shared" si="50"/>
        <v>8.7848999999999844E-2</v>
      </c>
      <c r="E114" s="71">
        <f t="shared" si="50"/>
        <v>0.13462650699999967</v>
      </c>
      <c r="F114" s="71">
        <f t="shared" si="50"/>
        <v>0.18341544680099964</v>
      </c>
      <c r="G114" s="71">
        <f t="shared" si="50"/>
        <v>0.23430231101344257</v>
      </c>
      <c r="H114" s="71">
        <f t="shared" si="50"/>
        <v>0.27820820750520636</v>
      </c>
      <c r="I114" s="71">
        <f t="shared" si="50"/>
        <v>0.31418063848785294</v>
      </c>
      <c r="J114" s="71">
        <f t="shared" si="50"/>
        <v>0.34140295171367274</v>
      </c>
      <c r="K114" s="71">
        <f t="shared" si="50"/>
        <v>0.35922444807215448</v>
      </c>
      <c r="L114" s="71">
        <f t="shared" si="50"/>
        <v>0.3671856198394341</v>
      </c>
      <c r="M114" s="71">
        <f t="shared" si="50"/>
        <v>0.36503718529397222</v>
      </c>
      <c r="N114" s="71">
        <f t="shared" si="50"/>
        <v>0.35275185062632652</v>
      </c>
      <c r="O114" s="71">
        <f t="shared" si="50"/>
        <v>0.34057708397068964</v>
      </c>
      <c r="P114" s="71">
        <f t="shared" si="50"/>
        <v>0.32851189021495353</v>
      </c>
      <c r="Q114" s="71">
        <f t="shared" si="50"/>
        <v>0.31655528320301896</v>
      </c>
      <c r="R114" s="71">
        <f t="shared" si="50"/>
        <v>0.30470628565419178</v>
      </c>
      <c r="S114" s="71">
        <f t="shared" si="50"/>
        <v>0.29296392908330393</v>
      </c>
      <c r="T114" s="71">
        <f t="shared" si="50"/>
        <v>0.28132725372155409</v>
      </c>
      <c r="U114" s="71">
        <f t="shared" si="50"/>
        <v>0.26979530843805999</v>
      </c>
      <c r="V114" s="71">
        <f t="shared" si="50"/>
        <v>0.25836715066211746</v>
      </c>
      <c r="W114" s="71">
        <f t="shared" si="50"/>
        <v>0.24704184630615833</v>
      </c>
      <c r="X114" s="71">
        <f t="shared" si="50"/>
        <v>0.23581846968940279</v>
      </c>
      <c r="Y114" s="71">
        <f t="shared" si="50"/>
        <v>0.22469610346219815</v>
      </c>
      <c r="Z114" s="71">
        <f t="shared" si="50"/>
        <v>0.21367383853103838</v>
      </c>
      <c r="AA114" s="71">
        <f t="shared" si="50"/>
        <v>0.20275077398425911</v>
      </c>
      <c r="AB114" s="71">
        <f t="shared" si="50"/>
        <v>0.19192601701840073</v>
      </c>
      <c r="AC114" s="71">
        <f t="shared" si="50"/>
        <v>0.18119868286523522</v>
      </c>
      <c r="AD114" s="71">
        <f t="shared" si="50"/>
        <v>0.170567894719448</v>
      </c>
      <c r="AE114" s="71">
        <f t="shared" si="50"/>
        <v>0.16003278366697304</v>
      </c>
      <c r="AF114" s="71">
        <f t="shared" si="50"/>
        <v>0.14959248861397034</v>
      </c>
      <c r="AG114" s="71">
        <f t="shared" si="50"/>
        <v>0.13924615621644465</v>
      </c>
      <c r="AH114" s="71">
        <f t="shared" si="50"/>
        <v>0.12899294081049661</v>
      </c>
      <c r="AI114" s="71">
        <f t="shared" si="50"/>
        <v>0.11883200434320207</v>
      </c>
      <c r="AJ114" s="71">
        <f t="shared" si="50"/>
        <v>0.10876251630411327</v>
      </c>
      <c r="AK114" s="71">
        <f t="shared" si="50"/>
        <v>9.8783653657376291E-2</v>
      </c>
    </row>
    <row r="115" spans="1:37" x14ac:dyDescent="0.25">
      <c r="A115" s="1" t="s">
        <v>43</v>
      </c>
      <c r="B115">
        <v>0</v>
      </c>
      <c r="C115" s="71">
        <f t="shared" si="49"/>
        <v>2.1116883116883089E-2</v>
      </c>
      <c r="D115" s="71">
        <f t="shared" si="50"/>
        <v>4.2679688986338338E-2</v>
      </c>
      <c r="E115" s="71">
        <f t="shared" si="50"/>
        <v>6.4697834107010799E-2</v>
      </c>
      <c r="F115" s="71">
        <f t="shared" si="50"/>
        <v>8.71809338246472E-2</v>
      </c>
      <c r="G115" s="71">
        <f t="shared" si="50"/>
        <v>0.11013880653112618</v>
      </c>
      <c r="H115" s="71">
        <f t="shared" si="50"/>
        <v>0.13181843747277111</v>
      </c>
      <c r="I115" s="71">
        <f t="shared" si="50"/>
        <v>0.15212397418958323</v>
      </c>
      <c r="J115" s="71">
        <f t="shared" si="50"/>
        <v>0.17096408682132158</v>
      </c>
      <c r="K115" s="71">
        <f t="shared" si="50"/>
        <v>0.18825264378407502</v>
      </c>
      <c r="L115" s="71">
        <f t="shared" si="50"/>
        <v>0.20390936043742292</v>
      </c>
      <c r="M115" s="71">
        <f t="shared" si="50"/>
        <v>0.21786041399084066</v>
      </c>
      <c r="N115" s="71">
        <f t="shared" si="50"/>
        <v>0.23003901813074901</v>
      </c>
      <c r="O115" s="71">
        <f t="shared" si="50"/>
        <v>0.24233940831205647</v>
      </c>
      <c r="P115" s="71">
        <f t="shared" si="50"/>
        <v>0.25476280239517712</v>
      </c>
      <c r="Q115" s="71">
        <f t="shared" si="50"/>
        <v>0.26731043041912894</v>
      </c>
      <c r="R115" s="71">
        <f t="shared" si="50"/>
        <v>0.27998353472332016</v>
      </c>
      <c r="S115" s="71">
        <f t="shared" si="50"/>
        <v>0.29278337007055333</v>
      </c>
      <c r="T115" s="71">
        <f t="shared" si="50"/>
        <v>0.30571120377125882</v>
      </c>
      <c r="U115" s="71">
        <f t="shared" si="50"/>
        <v>0.31876831580897136</v>
      </c>
      <c r="V115" s="71">
        <f t="shared" si="50"/>
        <v>0.33195599896706107</v>
      </c>
      <c r="W115" s="71">
        <f t="shared" si="50"/>
        <v>0.34527555895673179</v>
      </c>
      <c r="X115" s="71">
        <f t="shared" si="50"/>
        <v>0.35872831454629917</v>
      </c>
      <c r="Y115" s="71">
        <f t="shared" si="50"/>
        <v>0.37231559769176226</v>
      </c>
      <c r="Z115" s="71">
        <f t="shared" si="50"/>
        <v>0.38603875366867979</v>
      </c>
      <c r="AA115" s="71">
        <f t="shared" si="50"/>
        <v>0.39989914120536652</v>
      </c>
      <c r="AB115" s="71">
        <f t="shared" si="50"/>
        <v>0.41389813261742026</v>
      </c>
      <c r="AC115" s="71">
        <f t="shared" si="50"/>
        <v>0.42803711394359456</v>
      </c>
      <c r="AD115" s="71">
        <f t="shared" si="50"/>
        <v>0.44231748508303048</v>
      </c>
      <c r="AE115" s="71">
        <f t="shared" si="50"/>
        <v>0.45674065993386082</v>
      </c>
      <c r="AF115" s="71">
        <f t="shared" si="50"/>
        <v>0.47130806653319945</v>
      </c>
      <c r="AG115" s="71">
        <f t="shared" si="50"/>
        <v>0.4860211471985314</v>
      </c>
      <c r="AH115" s="71">
        <f t="shared" si="50"/>
        <v>0.50088135867051675</v>
      </c>
      <c r="AI115" s="71">
        <f t="shared" si="50"/>
        <v>0.515890172257222</v>
      </c>
      <c r="AJ115" s="71">
        <f t="shared" si="50"/>
        <v>0.53104907397979417</v>
      </c>
      <c r="AK115" s="71">
        <f t="shared" si="50"/>
        <v>0.54635956471959224</v>
      </c>
    </row>
    <row r="116" spans="1:37" x14ac:dyDescent="0.25">
      <c r="A116" s="1" t="s">
        <v>44</v>
      </c>
      <c r="B116">
        <v>0</v>
      </c>
      <c r="C116" s="71">
        <f t="shared" si="49"/>
        <v>1.8000000000000016E-2</v>
      </c>
      <c r="D116" s="71">
        <f t="shared" si="50"/>
        <v>3.6324000000000023E-2</v>
      </c>
      <c r="E116" s="71">
        <f t="shared" si="50"/>
        <v>5.497783200000006E-2</v>
      </c>
      <c r="F116" s="71">
        <f t="shared" si="50"/>
        <v>7.3967432976000058E-2</v>
      </c>
      <c r="G116" s="71">
        <f t="shared" si="50"/>
        <v>9.3298846769568122E-2</v>
      </c>
      <c r="H116" s="71">
        <f t="shared" si="50"/>
        <v>0.10938595837203469</v>
      </c>
      <c r="I116" s="71">
        <f t="shared" si="50"/>
        <v>0.12206465503914354</v>
      </c>
      <c r="J116" s="71">
        <f t="shared" si="50"/>
        <v>0.13120146723017667</v>
      </c>
      <c r="K116" s="71">
        <f t="shared" si="50"/>
        <v>0.13669587435672326</v>
      </c>
      <c r="L116" s="71">
        <f t="shared" si="50"/>
        <v>0.13848211073071237</v>
      </c>
      <c r="M116" s="71">
        <f t="shared" si="50"/>
        <v>0.13653042711231689</v>
      </c>
      <c r="N116" s="71">
        <f t="shared" si="50"/>
        <v>0.13084777497675537</v>
      </c>
      <c r="O116" s="71">
        <f t="shared" si="50"/>
        <v>0.12519353610187167</v>
      </c>
      <c r="P116" s="71">
        <f t="shared" si="50"/>
        <v>0.1195675684213624</v>
      </c>
      <c r="Q116" s="71">
        <f t="shared" si="50"/>
        <v>0.11396973057925552</v>
      </c>
      <c r="R116" s="71">
        <f t="shared" si="50"/>
        <v>0.10839988192635919</v>
      </c>
      <c r="S116" s="71">
        <f t="shared" ref="D116:AK123" si="51">(R116+1)*(1+R70)-1</f>
        <v>0.10285788251672745</v>
      </c>
      <c r="T116" s="71">
        <f t="shared" si="51"/>
        <v>9.7343593104143755E-2</v>
      </c>
      <c r="U116" s="71">
        <f t="shared" si="51"/>
        <v>9.1856875138623062E-2</v>
      </c>
      <c r="V116" s="71">
        <f t="shared" si="51"/>
        <v>8.6397590762929966E-2</v>
      </c>
      <c r="W116" s="71">
        <f t="shared" si="51"/>
        <v>8.0965602809115245E-2</v>
      </c>
      <c r="X116" s="71">
        <f t="shared" si="51"/>
        <v>7.5560774795069729E-2</v>
      </c>
      <c r="Y116" s="71">
        <f t="shared" si="51"/>
        <v>7.0182970921094379E-2</v>
      </c>
      <c r="Z116" s="71">
        <f t="shared" si="51"/>
        <v>6.4832056066489008E-2</v>
      </c>
      <c r="AA116" s="71">
        <f t="shared" si="51"/>
        <v>5.9507895786156562E-2</v>
      </c>
      <c r="AB116" s="71">
        <f t="shared" si="51"/>
        <v>5.4210356307225815E-2</v>
      </c>
      <c r="AC116" s="71">
        <f t="shared" si="51"/>
        <v>4.893930452568962E-2</v>
      </c>
      <c r="AD116" s="71">
        <f t="shared" si="51"/>
        <v>4.3694608003061131E-2</v>
      </c>
      <c r="AE116" s="71">
        <f t="shared" si="51"/>
        <v>3.8476134963045805E-2</v>
      </c>
      <c r="AF116" s="71">
        <f t="shared" si="51"/>
        <v>3.3283754288230494E-2</v>
      </c>
      <c r="AG116" s="71">
        <f t="shared" si="51"/>
        <v>2.811733551678941E-2</v>
      </c>
      <c r="AH116" s="71">
        <f t="shared" si="51"/>
        <v>2.2976748839205419E-2</v>
      </c>
      <c r="AI116" s="71">
        <f t="shared" si="51"/>
        <v>1.7861865095009311E-2</v>
      </c>
      <c r="AJ116" s="71">
        <f t="shared" si="51"/>
        <v>1.2772555769534177E-2</v>
      </c>
      <c r="AK116" s="71">
        <f t="shared" si="51"/>
        <v>7.7086929906864388E-3</v>
      </c>
    </row>
    <row r="117" spans="1:37" x14ac:dyDescent="0.25">
      <c r="A117" s="1" t="s">
        <v>45</v>
      </c>
      <c r="B117">
        <v>0</v>
      </c>
      <c r="C117" s="71">
        <f t="shared" si="49"/>
        <v>1.985927505330487E-2</v>
      </c>
      <c r="D117" s="71">
        <f t="shared" si="51"/>
        <v>4.0112940912252482E-2</v>
      </c>
      <c r="E117" s="71">
        <f t="shared" si="51"/>
        <v>6.0768829892330789E-2</v>
      </c>
      <c r="F117" s="71">
        <f t="shared" si="51"/>
        <v>8.1834929853134897E-2</v>
      </c>
      <c r="G117" s="71">
        <f t="shared" si="51"/>
        <v>0.10331938728736101</v>
      </c>
      <c r="H117" s="71">
        <f t="shared" si="51"/>
        <v>0.12336128645893241</v>
      </c>
      <c r="I117" s="71">
        <f t="shared" si="51"/>
        <v>0.14186406995085443</v>
      </c>
      <c r="J117" s="71">
        <f t="shared" si="51"/>
        <v>0.1587370854127661</v>
      </c>
      <c r="K117" s="71">
        <f t="shared" si="51"/>
        <v>0.17389631715765752</v>
      </c>
      <c r="L117" s="71">
        <f t="shared" si="51"/>
        <v>0.18726507606898579</v>
      </c>
      <c r="M117" s="71">
        <f t="shared" si="51"/>
        <v>0.19877463997729272</v>
      </c>
      <c r="N117" s="71">
        <f t="shared" si="51"/>
        <v>0.20836483709711118</v>
      </c>
      <c r="O117" s="71">
        <f t="shared" si="51"/>
        <v>0.218031755793888</v>
      </c>
      <c r="P117" s="71">
        <f t="shared" si="51"/>
        <v>0.22777600984023905</v>
      </c>
      <c r="Q117" s="71">
        <f t="shared" si="51"/>
        <v>0.23759821791896107</v>
      </c>
      <c r="R117" s="71">
        <f t="shared" si="51"/>
        <v>0.24749900366231281</v>
      </c>
      <c r="S117" s="71">
        <f t="shared" si="51"/>
        <v>0.25747899569161126</v>
      </c>
      <c r="T117" s="71">
        <f t="shared" si="51"/>
        <v>0.26753882765714421</v>
      </c>
      <c r="U117" s="71">
        <f t="shared" si="51"/>
        <v>0.27767913827840141</v>
      </c>
      <c r="V117" s="71">
        <f t="shared" si="51"/>
        <v>0.28790057138462855</v>
      </c>
      <c r="W117" s="71">
        <f t="shared" si="51"/>
        <v>0.29820377595570569</v>
      </c>
      <c r="X117" s="71">
        <f t="shared" si="51"/>
        <v>0.3085894061633514</v>
      </c>
      <c r="Y117" s="71">
        <f t="shared" si="51"/>
        <v>0.31905812141265821</v>
      </c>
      <c r="Z117" s="71">
        <f t="shared" si="51"/>
        <v>0.32961058638395957</v>
      </c>
      <c r="AA117" s="71">
        <f t="shared" si="51"/>
        <v>0.34024747107503117</v>
      </c>
      <c r="AB117" s="71">
        <f t="shared" si="51"/>
        <v>0.3509694508436314</v>
      </c>
      <c r="AC117" s="71">
        <f t="shared" si="51"/>
        <v>0.36177720645038036</v>
      </c>
      <c r="AD117" s="71">
        <f t="shared" si="51"/>
        <v>0.37267142410198351</v>
      </c>
      <c r="AE117" s="71">
        <f t="shared" si="51"/>
        <v>0.38365279549479947</v>
      </c>
      <c r="AF117" s="71">
        <f t="shared" si="51"/>
        <v>0.39472201785875782</v>
      </c>
      <c r="AG117" s="71">
        <f t="shared" si="51"/>
        <v>0.40587979400162788</v>
      </c>
      <c r="AH117" s="71">
        <f t="shared" si="51"/>
        <v>0.41712683235364101</v>
      </c>
      <c r="AI117" s="71">
        <f t="shared" si="51"/>
        <v>0.4284638470124702</v>
      </c>
      <c r="AJ117" s="71">
        <f t="shared" si="51"/>
        <v>0.43989155778857003</v>
      </c>
      <c r="AK117" s="71">
        <f t="shared" si="51"/>
        <v>0.45141069025087854</v>
      </c>
    </row>
    <row r="118" spans="1:37" x14ac:dyDescent="0.25">
      <c r="A118" s="1" t="s">
        <v>12</v>
      </c>
      <c r="B118">
        <v>0</v>
      </c>
      <c r="C118" s="71">
        <f t="shared" si="49"/>
        <v>2.6999999999999913E-2</v>
      </c>
      <c r="D118" s="71">
        <f t="shared" si="51"/>
        <v>5.4728999999999806E-2</v>
      </c>
      <c r="E118" s="71">
        <f t="shared" si="51"/>
        <v>8.3206682999999781E-2</v>
      </c>
      <c r="F118" s="71">
        <f t="shared" si="51"/>
        <v>0.1124532634409996</v>
      </c>
      <c r="G118" s="71">
        <f t="shared" si="51"/>
        <v>0.14248950155390649</v>
      </c>
      <c r="H118" s="71">
        <f t="shared" si="51"/>
        <v>0.16990924959120024</v>
      </c>
      <c r="I118" s="71">
        <f t="shared" si="51"/>
        <v>0.19447734383261528</v>
      </c>
      <c r="J118" s="71">
        <f t="shared" si="51"/>
        <v>0.21597793602160231</v>
      </c>
      <c r="K118" s="71">
        <f t="shared" si="51"/>
        <v>0.23421760506192624</v>
      </c>
      <c r="L118" s="71">
        <f t="shared" si="51"/>
        <v>0.24902821632266936</v>
      </c>
      <c r="M118" s="71">
        <f t="shared" si="51"/>
        <v>0.26026947026957337</v>
      </c>
      <c r="N118" s="71">
        <f t="shared" si="51"/>
        <v>0.26783108709119086</v>
      </c>
      <c r="O118" s="71">
        <f t="shared" si="51"/>
        <v>0.27543807361373807</v>
      </c>
      <c r="P118" s="71">
        <f t="shared" si="51"/>
        <v>0.28309070205542053</v>
      </c>
      <c r="Q118" s="71">
        <f t="shared" si="51"/>
        <v>0.29078924626775304</v>
      </c>
      <c r="R118" s="71">
        <f t="shared" si="51"/>
        <v>0.29853398174535961</v>
      </c>
      <c r="S118" s="71">
        <f t="shared" si="51"/>
        <v>0.30632518563583178</v>
      </c>
      <c r="T118" s="71">
        <f t="shared" si="51"/>
        <v>0.31416313674964669</v>
      </c>
      <c r="U118" s="71">
        <f t="shared" si="51"/>
        <v>0.32204811557014468</v>
      </c>
      <c r="V118" s="71">
        <f t="shared" si="51"/>
        <v>0.32998040426356545</v>
      </c>
      <c r="W118" s="71">
        <f t="shared" si="51"/>
        <v>0.3379602866891469</v>
      </c>
      <c r="X118" s="71">
        <f t="shared" si="51"/>
        <v>0.34598804840928188</v>
      </c>
      <c r="Y118" s="71">
        <f t="shared" si="51"/>
        <v>0.35406397669973755</v>
      </c>
      <c r="Z118" s="71">
        <f t="shared" si="51"/>
        <v>0.36218836055993608</v>
      </c>
      <c r="AA118" s="71">
        <f t="shared" si="51"/>
        <v>0.37036149072329572</v>
      </c>
      <c r="AB118" s="71">
        <f t="shared" si="51"/>
        <v>0.37858365966763552</v>
      </c>
      <c r="AC118" s="71">
        <f t="shared" si="51"/>
        <v>0.38685516162564126</v>
      </c>
      <c r="AD118" s="71">
        <f t="shared" si="51"/>
        <v>0.39517629259539522</v>
      </c>
      <c r="AE118" s="71">
        <f t="shared" si="51"/>
        <v>0.40354735035096767</v>
      </c>
      <c r="AF118" s="71">
        <f t="shared" si="51"/>
        <v>0.41196863445307352</v>
      </c>
      <c r="AG118" s="71">
        <f t="shared" si="51"/>
        <v>0.42044044625979193</v>
      </c>
      <c r="AH118" s="71">
        <f t="shared" si="51"/>
        <v>0.4289630889373508</v>
      </c>
      <c r="AI118" s="71">
        <f t="shared" si="51"/>
        <v>0.43753686747097498</v>
      </c>
      <c r="AJ118" s="71">
        <f t="shared" si="51"/>
        <v>0.44616208867580087</v>
      </c>
      <c r="AK118" s="71">
        <f t="shared" si="51"/>
        <v>0.45483906120785567</v>
      </c>
    </row>
    <row r="119" spans="1:37" x14ac:dyDescent="0.25">
      <c r="A119" s="1" t="s">
        <v>13</v>
      </c>
      <c r="B119">
        <v>0</v>
      </c>
      <c r="C119" s="71">
        <f t="shared" si="49"/>
        <v>1.8999999999999906E-2</v>
      </c>
      <c r="D119" s="71">
        <f t="shared" si="51"/>
        <v>3.8360999999999867E-2</v>
      </c>
      <c r="E119" s="71">
        <f t="shared" si="51"/>
        <v>5.8089858999999855E-2</v>
      </c>
      <c r="F119" s="71">
        <f t="shared" si="51"/>
        <v>7.819356632099983E-2</v>
      </c>
      <c r="G119" s="71">
        <f t="shared" si="51"/>
        <v>9.8679244081098627E-2</v>
      </c>
      <c r="H119" s="71">
        <f t="shared" si="51"/>
        <v>0.12002501225181694</v>
      </c>
      <c r="I119" s="71">
        <f t="shared" si="51"/>
        <v>0.1422655089236744</v>
      </c>
      <c r="J119" s="71">
        <f t="shared" si="51"/>
        <v>0.16543718067612612</v>
      </c>
      <c r="K119" s="71">
        <f t="shared" si="51"/>
        <v>0.18957837941870292</v>
      </c>
      <c r="L119" s="71">
        <f t="shared" si="51"/>
        <v>0.21472946515498403</v>
      </c>
      <c r="M119" s="71">
        <f t="shared" si="51"/>
        <v>0.2409329150461843</v>
      </c>
      <c r="N119" s="71">
        <f t="shared" si="51"/>
        <v>0.26823343917720033</v>
      </c>
      <c r="O119" s="71">
        <f t="shared" si="51"/>
        <v>0.29613457483909866</v>
      </c>
      <c r="P119" s="71">
        <f t="shared" si="51"/>
        <v>0.32464953548555875</v>
      </c>
      <c r="Q119" s="71">
        <f t="shared" si="51"/>
        <v>0.35379182526624109</v>
      </c>
      <c r="R119" s="71">
        <f t="shared" si="51"/>
        <v>0.38357524542209842</v>
      </c>
      <c r="S119" s="71">
        <f t="shared" si="51"/>
        <v>0.41401390082138456</v>
      </c>
      <c r="T119" s="71">
        <f t="shared" si="51"/>
        <v>0.44512220663945512</v>
      </c>
      <c r="U119" s="71">
        <f t="shared" si="51"/>
        <v>0.4769148951855231</v>
      </c>
      <c r="V119" s="71">
        <f t="shared" si="51"/>
        <v>0.5094070228796046</v>
      </c>
      <c r="W119" s="71">
        <f t="shared" si="51"/>
        <v>0.54261397738295591</v>
      </c>
      <c r="X119" s="71">
        <f t="shared" si="51"/>
        <v>0.57655148488538099</v>
      </c>
      <c r="Y119" s="71">
        <f t="shared" si="51"/>
        <v>0.61123561755285949</v>
      </c>
      <c r="Z119" s="71">
        <f t="shared" si="51"/>
        <v>0.64668280113902243</v>
      </c>
      <c r="AA119" s="71">
        <f t="shared" si="51"/>
        <v>0.68290982276408085</v>
      </c>
      <c r="AB119" s="71">
        <f t="shared" si="51"/>
        <v>0.7199338388648906</v>
      </c>
      <c r="AC119" s="71">
        <f t="shared" si="51"/>
        <v>0.75777238331991814</v>
      </c>
      <c r="AD119" s="71">
        <f t="shared" si="51"/>
        <v>0.79644337575295632</v>
      </c>
      <c r="AE119" s="71">
        <f t="shared" si="51"/>
        <v>0.83596513001952144</v>
      </c>
      <c r="AF119" s="71">
        <f t="shared" si="51"/>
        <v>0.87635636287995089</v>
      </c>
      <c r="AG119" s="71">
        <f t="shared" si="51"/>
        <v>0.91763620286330982</v>
      </c>
      <c r="AH119" s="71">
        <f t="shared" si="51"/>
        <v>0.95982419932630259</v>
      </c>
      <c r="AI119" s="71">
        <f t="shared" si="51"/>
        <v>1.0029403317114811</v>
      </c>
      <c r="AJ119" s="71">
        <f t="shared" si="51"/>
        <v>1.0470050190091338</v>
      </c>
      <c r="AK119" s="71">
        <f t="shared" si="51"/>
        <v>1.0920391294273348</v>
      </c>
    </row>
    <row r="120" spans="1:37" x14ac:dyDescent="0.25">
      <c r="A120" s="1" t="s">
        <v>14</v>
      </c>
      <c r="B120">
        <v>0</v>
      </c>
      <c r="C120" s="71">
        <f t="shared" si="49"/>
        <v>2.2999999999999909E-2</v>
      </c>
      <c r="D120" s="71">
        <f t="shared" si="51"/>
        <v>4.6528999999999821E-2</v>
      </c>
      <c r="E120" s="71">
        <f t="shared" si="51"/>
        <v>7.0599166999999685E-2</v>
      </c>
      <c r="F120" s="71">
        <f t="shared" si="51"/>
        <v>9.5222947840999606E-2</v>
      </c>
      <c r="G120" s="71">
        <f t="shared" si="51"/>
        <v>0.1204130756413424</v>
      </c>
      <c r="H120" s="71">
        <f t="shared" si="51"/>
        <v>0.14586245835948142</v>
      </c>
      <c r="I120" s="71">
        <f t="shared" si="51"/>
        <v>0.17156251635411546</v>
      </c>
      <c r="J120" s="71">
        <f t="shared" si="51"/>
        <v>0.19750425778767089</v>
      </c>
      <c r="K120" s="71">
        <f t="shared" si="51"/>
        <v>0.22367827942217278</v>
      </c>
      <c r="L120" s="71">
        <f t="shared" si="51"/>
        <v>0.25007476802113682</v>
      </c>
      <c r="M120" s="71">
        <f t="shared" si="51"/>
        <v>0.27668350236901529</v>
      </c>
      <c r="N120" s="71">
        <f t="shared" si="51"/>
        <v>0.30349385591876454</v>
      </c>
      <c r="O120" s="71">
        <f t="shared" si="51"/>
        <v>0.33086722689305859</v>
      </c>
      <c r="P120" s="71">
        <f t="shared" si="51"/>
        <v>0.35881543865781262</v>
      </c>
      <c r="Q120" s="71">
        <f t="shared" si="51"/>
        <v>0.38735056286962655</v>
      </c>
      <c r="R120" s="71">
        <f t="shared" si="51"/>
        <v>0.41648492468988851</v>
      </c>
      <c r="S120" s="71">
        <f t="shared" si="51"/>
        <v>0.44623110810837607</v>
      </c>
      <c r="T120" s="71">
        <f t="shared" si="51"/>
        <v>0.47660196137865185</v>
      </c>
      <c r="U120" s="71">
        <f t="shared" si="51"/>
        <v>0.50761060256760349</v>
      </c>
      <c r="V120" s="71">
        <f t="shared" si="51"/>
        <v>0.53927042522152302</v>
      </c>
      <c r="W120" s="71">
        <f t="shared" si="51"/>
        <v>0.57159510415117487</v>
      </c>
      <c r="X120" s="71">
        <f t="shared" si="51"/>
        <v>0.60459860133834931</v>
      </c>
      <c r="Y120" s="71">
        <f t="shared" si="51"/>
        <v>0.63829517196645447</v>
      </c>
      <c r="Z120" s="71">
        <f t="shared" si="51"/>
        <v>0.67269937057774976</v>
      </c>
      <c r="AA120" s="71">
        <f t="shared" si="51"/>
        <v>0.70782605735988224</v>
      </c>
      <c r="AB120" s="71">
        <f t="shared" si="51"/>
        <v>0.74369040456443969</v>
      </c>
      <c r="AC120" s="71">
        <f t="shared" si="51"/>
        <v>0.78030790306029285</v>
      </c>
      <c r="AD120" s="71">
        <f t="shared" si="51"/>
        <v>0.81769436902455883</v>
      </c>
      <c r="AE120" s="71">
        <f t="shared" si="51"/>
        <v>0.85586595077407446</v>
      </c>
      <c r="AF120" s="71">
        <f t="shared" si="51"/>
        <v>0.89483913574032981</v>
      </c>
      <c r="AG120" s="71">
        <f t="shared" si="51"/>
        <v>0.93463075759087655</v>
      </c>
      <c r="AH120" s="71">
        <f t="shared" si="51"/>
        <v>0.97525800350028469</v>
      </c>
      <c r="AI120" s="71">
        <f t="shared" si="51"/>
        <v>1.0167384215737907</v>
      </c>
      <c r="AJ120" s="71">
        <f t="shared" si="51"/>
        <v>1.05908992842684</v>
      </c>
      <c r="AK120" s="71">
        <f t="shared" si="51"/>
        <v>1.1023308169238035</v>
      </c>
    </row>
    <row r="121" spans="1:37" x14ac:dyDescent="0.25">
      <c r="A121" s="1" t="s">
        <v>15</v>
      </c>
      <c r="B121">
        <v>0</v>
      </c>
      <c r="C121" s="71">
        <f t="shared" si="49"/>
        <v>2.4999999999999911E-2</v>
      </c>
      <c r="D121" s="71">
        <f t="shared" si="51"/>
        <v>5.062499999999992E-2</v>
      </c>
      <c r="E121" s="71">
        <f t="shared" si="51"/>
        <v>7.6890624999999879E-2</v>
      </c>
      <c r="F121" s="71">
        <f t="shared" si="51"/>
        <v>0.10381289062499977</v>
      </c>
      <c r="G121" s="71">
        <f t="shared" si="51"/>
        <v>0.13140821289062465</v>
      </c>
      <c r="H121" s="71">
        <f t="shared" si="51"/>
        <v>0.15775386127650637</v>
      </c>
      <c r="I121" s="71">
        <f t="shared" si="51"/>
        <v>0.18272826599832825</v>
      </c>
      <c r="J121" s="71">
        <f t="shared" si="51"/>
        <v>0.20621387013743786</v>
      </c>
      <c r="K121" s="71">
        <f t="shared" si="51"/>
        <v>0.22809803606707435</v>
      </c>
      <c r="L121" s="71">
        <f t="shared" si="51"/>
        <v>0.2482739323738905</v>
      </c>
      <c r="M121" s="71">
        <f t="shared" si="51"/>
        <v>0.26664139166453493</v>
      </c>
      <c r="N121" s="71">
        <f t="shared" si="51"/>
        <v>0.28310772975617371</v>
      </c>
      <c r="O121" s="71">
        <f t="shared" si="51"/>
        <v>0.29978813024300388</v>
      </c>
      <c r="P121" s="71">
        <f t="shared" si="51"/>
        <v>0.31668537593616275</v>
      </c>
      <c r="Q121" s="71">
        <f t="shared" si="51"/>
        <v>0.33380228582333271</v>
      </c>
      <c r="R121" s="71">
        <f t="shared" si="51"/>
        <v>0.35114171553903595</v>
      </c>
      <c r="S121" s="71">
        <f t="shared" si="51"/>
        <v>0.36870655784104334</v>
      </c>
      <c r="T121" s="71">
        <f t="shared" si="51"/>
        <v>0.38649974309297686</v>
      </c>
      <c r="U121" s="71">
        <f t="shared" si="51"/>
        <v>0.40452423975318541</v>
      </c>
      <c r="V121" s="71">
        <f t="shared" si="51"/>
        <v>0.42278305486997669</v>
      </c>
      <c r="W121" s="71">
        <f t="shared" si="51"/>
        <v>0.44127923458328633</v>
      </c>
      <c r="X121" s="71">
        <f t="shared" si="51"/>
        <v>0.46001586463286892</v>
      </c>
      <c r="Y121" s="71">
        <f t="shared" si="51"/>
        <v>0.47899607087309604</v>
      </c>
      <c r="Z121" s="71">
        <f t="shared" si="51"/>
        <v>0.49822301979444616</v>
      </c>
      <c r="AA121" s="71">
        <f t="shared" si="51"/>
        <v>0.5176999190517737</v>
      </c>
      <c r="AB121" s="71">
        <f t="shared" si="51"/>
        <v>0.53743001799944667</v>
      </c>
      <c r="AC121" s="71">
        <f t="shared" si="51"/>
        <v>0.5574166082334393</v>
      </c>
      <c r="AD121" s="71">
        <f t="shared" si="51"/>
        <v>0.57766302414047388</v>
      </c>
      <c r="AE121" s="71">
        <f t="shared" si="51"/>
        <v>0.59817264345429999</v>
      </c>
      <c r="AF121" s="71">
        <f t="shared" si="51"/>
        <v>0.61894888781920576</v>
      </c>
      <c r="AG121" s="71">
        <f t="shared" si="51"/>
        <v>0.63999522336085524</v>
      </c>
      <c r="AH121" s="71">
        <f t="shared" si="51"/>
        <v>0.66131516126454626</v>
      </c>
      <c r="AI121" s="71">
        <f t="shared" si="51"/>
        <v>0.68291225836098524</v>
      </c>
      <c r="AJ121" s="71">
        <f t="shared" si="51"/>
        <v>0.70479011771967781</v>
      </c>
      <c r="AK121" s="71">
        <f t="shared" si="51"/>
        <v>0.72695238925003336</v>
      </c>
    </row>
    <row r="122" spans="1:37" x14ac:dyDescent="0.25">
      <c r="A122" s="1" t="s">
        <v>16</v>
      </c>
      <c r="B122">
        <v>0</v>
      </c>
      <c r="C122" s="71">
        <f t="shared" si="49"/>
        <v>7.3700262322242249E-2</v>
      </c>
      <c r="D122" s="71">
        <f t="shared" si="51"/>
        <v>0.15283225331085193</v>
      </c>
      <c r="E122" s="71">
        <f t="shared" si="51"/>
        <v>0.23779629279340342</v>
      </c>
      <c r="F122" s="71">
        <f t="shared" si="51"/>
        <v>0.32902220427377626</v>
      </c>
      <c r="G122" s="71">
        <f t="shared" si="51"/>
        <v>0.42697148936083829</v>
      </c>
      <c r="H122" s="71">
        <f t="shared" si="51"/>
        <v>0.51915416842471451</v>
      </c>
      <c r="I122" s="71">
        <f t="shared" si="51"/>
        <v>0.60346750942080596</v>
      </c>
      <c r="J122" s="71">
        <f t="shared" si="51"/>
        <v>0.67786864221518406</v>
      </c>
      <c r="K122" s="71">
        <f t="shared" si="51"/>
        <v>0.74045333120220946</v>
      </c>
      <c r="L122" s="71">
        <f t="shared" si="51"/>
        <v>0.78953424558771745</v>
      </c>
      <c r="M122" s="71">
        <f t="shared" si="51"/>
        <v>0.82371441674053369</v>
      </c>
      <c r="N122" s="71">
        <f t="shared" si="51"/>
        <v>0.8419515609079391</v>
      </c>
      <c r="O122" s="71">
        <f t="shared" si="51"/>
        <v>0.8603710765170185</v>
      </c>
      <c r="P122" s="71">
        <f t="shared" si="51"/>
        <v>0.8789747872821887</v>
      </c>
      <c r="Q122" s="71">
        <f t="shared" si="51"/>
        <v>0.89776453515501053</v>
      </c>
      <c r="R122" s="71">
        <f t="shared" si="51"/>
        <v>0.91674218050656076</v>
      </c>
      <c r="S122" s="71">
        <f t="shared" si="51"/>
        <v>0.93590960231162645</v>
      </c>
      <c r="T122" s="71">
        <f t="shared" si="51"/>
        <v>0.95526869833474271</v>
      </c>
      <c r="U122" s="71">
        <f t="shared" si="51"/>
        <v>0.97482138531809004</v>
      </c>
      <c r="V122" s="71">
        <f t="shared" si="51"/>
        <v>0.99456959917127086</v>
      </c>
      <c r="W122" s="71">
        <f t="shared" si="51"/>
        <v>1.0145152951629837</v>
      </c>
      <c r="X122" s="71">
        <f t="shared" si="51"/>
        <v>1.0346604481146136</v>
      </c>
      <c r="Y122" s="71">
        <f t="shared" si="51"/>
        <v>1.0550070525957596</v>
      </c>
      <c r="Z122" s="71">
        <f t="shared" si="51"/>
        <v>1.0755571231217171</v>
      </c>
      <c r="AA122" s="71">
        <f t="shared" si="51"/>
        <v>1.0963126943529344</v>
      </c>
      <c r="AB122" s="71">
        <f t="shared" si="51"/>
        <v>1.117275821296464</v>
      </c>
      <c r="AC122" s="71">
        <f t="shared" si="51"/>
        <v>1.1384485795094288</v>
      </c>
      <c r="AD122" s="71">
        <f t="shared" si="51"/>
        <v>1.159833065304523</v>
      </c>
      <c r="AE122" s="71">
        <f t="shared" si="51"/>
        <v>1.1814313959575684</v>
      </c>
      <c r="AF122" s="71">
        <f t="shared" si="51"/>
        <v>1.2032457099171441</v>
      </c>
      <c r="AG122" s="71">
        <f t="shared" si="51"/>
        <v>1.2252781670163158</v>
      </c>
      <c r="AH122" s="71">
        <f t="shared" si="51"/>
        <v>1.247530948686479</v>
      </c>
      <c r="AI122" s="71">
        <f t="shared" si="51"/>
        <v>1.2700062581733436</v>
      </c>
      <c r="AJ122" s="71">
        <f t="shared" si="51"/>
        <v>1.2927063207550771</v>
      </c>
      <c r="AK122" s="71">
        <f t="shared" si="51"/>
        <v>1.315633383962628</v>
      </c>
    </row>
    <row r="123" spans="1:37" x14ac:dyDescent="0.25">
      <c r="A123" s="1" t="s">
        <v>17</v>
      </c>
      <c r="B123">
        <v>0</v>
      </c>
      <c r="C123" s="71">
        <f t="shared" si="49"/>
        <v>1.7897003745318329E-2</v>
      </c>
      <c r="D123" s="71">
        <f t="shared" si="51"/>
        <v>3.6114310233696489E-2</v>
      </c>
      <c r="E123" s="71">
        <f t="shared" si="51"/>
        <v>5.4657651924526762E-2</v>
      </c>
      <c r="F123" s="71">
        <f t="shared" si="51"/>
        <v>7.3532863871048626E-2</v>
      </c>
      <c r="G123" s="71">
        <f t="shared" si="51"/>
        <v>9.2745885556471119E-2</v>
      </c>
      <c r="H123" s="71">
        <f t="shared" si="51"/>
        <v>0.11106998871282503</v>
      </c>
      <c r="I123" s="71">
        <f t="shared" si="51"/>
        <v>0.12844791993007898</v>
      </c>
      <c r="J123" s="71">
        <f t="shared" si="51"/>
        <v>0.14482460338657077</v>
      </c>
      <c r="K123" s="71">
        <f t="shared" si="51"/>
        <v>0.16014742835501217</v>
      </c>
      <c r="L123" s="71">
        <f t="shared" si="51"/>
        <v>0.17436652794908847</v>
      </c>
      <c r="M123" s="71">
        <f t="shared" si="51"/>
        <v>0.18743504706709224</v>
      </c>
      <c r="N123" s="71">
        <f t="shared" si="51"/>
        <v>0.19930939753776311</v>
      </c>
      <c r="O123" s="71">
        <f t="shared" si="51"/>
        <v>0.21130249151314073</v>
      </c>
      <c r="P123" s="71">
        <f t="shared" si="51"/>
        <v>0.22341551642827207</v>
      </c>
      <c r="Q123" s="71">
        <f t="shared" si="51"/>
        <v>0.2356496715925549</v>
      </c>
      <c r="R123" s="71">
        <f t="shared" si="51"/>
        <v>0.24800616830848043</v>
      </c>
      <c r="S123" s="71">
        <f t="shared" si="51"/>
        <v>0.26048622999156534</v>
      </c>
      <c r="T123" s="71">
        <f t="shared" si="51"/>
        <v>0.2730910922914811</v>
      </c>
      <c r="U123" s="71">
        <f t="shared" si="51"/>
        <v>0.28582200321439588</v>
      </c>
      <c r="V123" s="71">
        <f t="shared" si="51"/>
        <v>0.29868022324653976</v>
      </c>
      <c r="W123" s="71">
        <f t="shared" si="51"/>
        <v>0.31166702547900527</v>
      </c>
      <c r="X123" s="71">
        <f t="shared" si="51"/>
        <v>0.32478369573379529</v>
      </c>
      <c r="Y123" s="71">
        <f t="shared" si="51"/>
        <v>0.33803153269113317</v>
      </c>
      <c r="Z123" s="71">
        <f t="shared" si="51"/>
        <v>0.35141184801804459</v>
      </c>
      <c r="AA123" s="71">
        <f t="shared" si="51"/>
        <v>0.36492596649822495</v>
      </c>
      <c r="AB123" s="71">
        <f t="shared" si="51"/>
        <v>0.37857522616320716</v>
      </c>
      <c r="AC123" s="71">
        <f t="shared" si="51"/>
        <v>0.39236097842483919</v>
      </c>
      <c r="AD123" s="71">
        <f t="shared" si="51"/>
        <v>0.40628458820908753</v>
      </c>
      <c r="AE123" s="71">
        <f t="shared" si="51"/>
        <v>0.42034743409117836</v>
      </c>
      <c r="AF123" s="71">
        <f t="shared" si="51"/>
        <v>0.43455090843209021</v>
      </c>
      <c r="AG123" s="71">
        <f t="shared" si="51"/>
        <v>0.44889641751641118</v>
      </c>
      <c r="AH123" s="71">
        <f t="shared" si="51"/>
        <v>0.46338538169157539</v>
      </c>
      <c r="AI123" s="71">
        <f t="shared" si="51"/>
        <v>0.47801923550849112</v>
      </c>
      <c r="AJ123" s="71">
        <f t="shared" ref="D123:AK131" si="52">(AI123+1)*(1+AI77)-1</f>
        <v>0.49279942786357611</v>
      </c>
      <c r="AK123" s="71">
        <f t="shared" si="52"/>
        <v>0.50772742214221189</v>
      </c>
    </row>
    <row r="124" spans="1:37" x14ac:dyDescent="0.25">
      <c r="A124" s="1" t="s">
        <v>18</v>
      </c>
      <c r="B124">
        <v>0</v>
      </c>
      <c r="C124" s="71">
        <f t="shared" si="49"/>
        <v>6.1778413736712778E-3</v>
      </c>
      <c r="D124" s="71">
        <f t="shared" si="52"/>
        <v>1.2393848471380808E-2</v>
      </c>
      <c r="E124" s="71">
        <f t="shared" si="52"/>
        <v>1.8648257074917574E-2</v>
      </c>
      <c r="F124" s="71">
        <f t="shared" si="52"/>
        <v>2.4941304422693156E-2</v>
      </c>
      <c r="G124" s="71">
        <f t="shared" si="52"/>
        <v>3.1273229218740317E-2</v>
      </c>
      <c r="H124" s="71">
        <f t="shared" si="52"/>
        <v>3.8060045447473323E-2</v>
      </c>
      <c r="I124" s="71">
        <f t="shared" si="52"/>
        <v>4.5310035776567226E-2</v>
      </c>
      <c r="J124" s="71">
        <f t="shared" si="52"/>
        <v>5.3032094250182293E-2</v>
      </c>
      <c r="K124" s="71">
        <f t="shared" si="52"/>
        <v>6.1235744409038562E-2</v>
      </c>
      <c r="L124" s="71">
        <f t="shared" si="52"/>
        <v>6.9931158791390668E-2</v>
      </c>
      <c r="M124" s="71">
        <f t="shared" si="52"/>
        <v>7.9129179870604638E-2</v>
      </c>
      <c r="N124" s="71">
        <f t="shared" si="52"/>
        <v>8.8841342489439867E-2</v>
      </c>
      <c r="O124" s="71">
        <f t="shared" si="52"/>
        <v>9.8640914571844762E-2</v>
      </c>
      <c r="P124" s="71">
        <f t="shared" si="52"/>
        <v>0.10852868280299122</v>
      </c>
      <c r="Q124" s="71">
        <f t="shared" si="52"/>
        <v>0.11850544094821802</v>
      </c>
      <c r="R124" s="71">
        <f t="shared" si="52"/>
        <v>0.12857198991675189</v>
      </c>
      <c r="S124" s="71">
        <f t="shared" si="52"/>
        <v>0.13872913782600249</v>
      </c>
      <c r="T124" s="71">
        <f t="shared" si="52"/>
        <v>0.14897770006643629</v>
      </c>
      <c r="U124" s="71">
        <f t="shared" si="52"/>
        <v>0.15931849936703402</v>
      </c>
      <c r="V124" s="71">
        <f t="shared" si="52"/>
        <v>0.16975236586133713</v>
      </c>
      <c r="W124" s="71">
        <f t="shared" si="52"/>
        <v>0.18028013715408897</v>
      </c>
      <c r="X124" s="71">
        <f t="shared" si="52"/>
        <v>0.19090265838847564</v>
      </c>
      <c r="Y124" s="71">
        <f t="shared" si="52"/>
        <v>0.20162078231397174</v>
      </c>
      <c r="Z124" s="71">
        <f t="shared" si="52"/>
        <v>0.21243536935479734</v>
      </c>
      <c r="AA124" s="71">
        <f t="shared" si="52"/>
        <v>0.22334728767899037</v>
      </c>
      <c r="AB124" s="71">
        <f t="shared" si="52"/>
        <v>0.23435741326810122</v>
      </c>
      <c r="AC124" s="71">
        <f t="shared" si="52"/>
        <v>0.2454666299875139</v>
      </c>
      <c r="AD124" s="71">
        <f t="shared" si="52"/>
        <v>0.25667582965740143</v>
      </c>
      <c r="AE124" s="71">
        <f t="shared" si="52"/>
        <v>0.26798591212431799</v>
      </c>
      <c r="AF124" s="71">
        <f t="shared" si="52"/>
        <v>0.27939778533343662</v>
      </c>
      <c r="AG124" s="71">
        <f t="shared" si="52"/>
        <v>0.29091236540143739</v>
      </c>
      <c r="AH124" s="71">
        <f t="shared" si="52"/>
        <v>0.30253057669005012</v>
      </c>
      <c r="AI124" s="71">
        <f t="shared" si="52"/>
        <v>0.31425335188026038</v>
      </c>
      <c r="AJ124" s="71">
        <f t="shared" si="52"/>
        <v>0.32608163204718266</v>
      </c>
      <c r="AK124" s="71">
        <f t="shared" si="52"/>
        <v>0.33801636673560709</v>
      </c>
    </row>
    <row r="125" spans="1:37" x14ac:dyDescent="0.25">
      <c r="A125" s="1" t="s">
        <v>46</v>
      </c>
      <c r="B125">
        <v>0</v>
      </c>
      <c r="C125" s="71">
        <f t="shared" si="49"/>
        <v>4.9999999999998934E-3</v>
      </c>
      <c r="D125" s="71">
        <f t="shared" si="52"/>
        <v>1.0024999999999729E-2</v>
      </c>
      <c r="E125" s="71">
        <f t="shared" si="52"/>
        <v>1.5075124999999634E-2</v>
      </c>
      <c r="F125" s="71">
        <f t="shared" si="52"/>
        <v>2.0150500624999568E-2</v>
      </c>
      <c r="G125" s="71">
        <f t="shared" si="52"/>
        <v>2.5251253128124374E-2</v>
      </c>
      <c r="H125" s="71">
        <f t="shared" si="52"/>
        <v>3.2135082970556006E-2</v>
      </c>
      <c r="I125" s="71">
        <f t="shared" si="52"/>
        <v>4.0834507241307882E-2</v>
      </c>
      <c r="J125" s="71">
        <f t="shared" si="52"/>
        <v>5.1391542957612613E-2</v>
      </c>
      <c r="K125" s="71">
        <f t="shared" si="52"/>
        <v>6.3858042681252725E-2</v>
      </c>
      <c r="L125" s="71">
        <f t="shared" si="52"/>
        <v>7.8296116117641201E-2</v>
      </c>
      <c r="M125" s="71">
        <f t="shared" si="52"/>
        <v>9.4778642464010909E-2</v>
      </c>
      <c r="N125" s="71">
        <f t="shared" si="52"/>
        <v>0.11338987938589895</v>
      </c>
      <c r="O125" s="71">
        <f t="shared" si="52"/>
        <v>0.13231750733545922</v>
      </c>
      <c r="P125" s="71">
        <f t="shared" si="52"/>
        <v>0.15156690496016201</v>
      </c>
      <c r="Q125" s="71">
        <f t="shared" si="52"/>
        <v>0.1711435423444847</v>
      </c>
      <c r="R125" s="71">
        <f t="shared" si="52"/>
        <v>0.19105298256434078</v>
      </c>
      <c r="S125" s="71">
        <f t="shared" si="52"/>
        <v>0.21130088326793439</v>
      </c>
      <c r="T125" s="71">
        <f t="shared" si="52"/>
        <v>0.23189299828348919</v>
      </c>
      <c r="U125" s="71">
        <f t="shared" si="52"/>
        <v>0.25283517925430843</v>
      </c>
      <c r="V125" s="71">
        <f t="shared" si="52"/>
        <v>0.27413337730163145</v>
      </c>
      <c r="W125" s="71">
        <f t="shared" si="52"/>
        <v>0.29579364471575897</v>
      </c>
      <c r="X125" s="71">
        <f t="shared" si="52"/>
        <v>0.31782213667592685</v>
      </c>
      <c r="Y125" s="71">
        <f t="shared" si="52"/>
        <v>0.34022511299941738</v>
      </c>
      <c r="Z125" s="71">
        <f t="shared" si="52"/>
        <v>0.36300893992040728</v>
      </c>
      <c r="AA125" s="71">
        <f t="shared" si="52"/>
        <v>0.38618009189905411</v>
      </c>
      <c r="AB125" s="71">
        <f t="shared" si="52"/>
        <v>0.40974515346133789</v>
      </c>
      <c r="AC125" s="71">
        <f t="shared" si="52"/>
        <v>0.43371082107018055</v>
      </c>
      <c r="AD125" s="71">
        <f t="shared" si="52"/>
        <v>0.45808390502837359</v>
      </c>
      <c r="AE125" s="71">
        <f t="shared" si="52"/>
        <v>0.48287133141385574</v>
      </c>
      <c r="AF125" s="71">
        <f t="shared" si="52"/>
        <v>0.50808014404789126</v>
      </c>
      <c r="AG125" s="71">
        <f t="shared" si="52"/>
        <v>0.53371750649670524</v>
      </c>
      <c r="AH125" s="71">
        <f t="shared" si="52"/>
        <v>0.55979070410714904</v>
      </c>
      <c r="AI125" s="71">
        <f t="shared" si="52"/>
        <v>0.58630714607697043</v>
      </c>
      <c r="AJ125" s="71">
        <f t="shared" si="52"/>
        <v>0.61327436756027875</v>
      </c>
      <c r="AK125" s="71">
        <f t="shared" si="52"/>
        <v>0.64070003180880342</v>
      </c>
    </row>
    <row r="126" spans="1:37" x14ac:dyDescent="0.25">
      <c r="A126" s="1" t="s">
        <v>47</v>
      </c>
      <c r="B126">
        <v>0</v>
      </c>
      <c r="C126" s="71">
        <f t="shared" si="49"/>
        <v>2.0000000000000018E-3</v>
      </c>
      <c r="D126" s="71">
        <f t="shared" si="52"/>
        <v>4.0039999999998965E-3</v>
      </c>
      <c r="E126" s="71">
        <f t="shared" si="52"/>
        <v>6.0120079999999021E-3</v>
      </c>
      <c r="F126" s="71">
        <f t="shared" si="52"/>
        <v>8.0240320159998824E-3</v>
      </c>
      <c r="G126" s="71">
        <f t="shared" si="52"/>
        <v>1.0040080080031988E-2</v>
      </c>
      <c r="H126" s="71">
        <f t="shared" si="52"/>
        <v>1.2925908880260684E-2</v>
      </c>
      <c r="I126" s="71">
        <f t="shared" si="52"/>
        <v>1.6688205113244647E-2</v>
      </c>
      <c r="J126" s="71">
        <f t="shared" si="52"/>
        <v>2.1335922622333969E-2</v>
      </c>
      <c r="K126" s="71">
        <f t="shared" si="52"/>
        <v>2.6880317630855188E-2</v>
      </c>
      <c r="L126" s="71">
        <f t="shared" si="52"/>
        <v>3.3334993913106237E-2</v>
      </c>
      <c r="M126" s="71">
        <f t="shared" si="52"/>
        <v>4.071595815534268E-2</v>
      </c>
      <c r="N126" s="71">
        <f t="shared" si="52"/>
        <v>4.9041685820585323E-2</v>
      </c>
      <c r="O126" s="71">
        <f t="shared" si="52"/>
        <v>5.7434019307150086E-2</v>
      </c>
      <c r="P126" s="71">
        <f t="shared" si="52"/>
        <v>6.589349146160739E-2</v>
      </c>
      <c r="Q126" s="71">
        <f t="shared" si="52"/>
        <v>7.4420639393300236E-2</v>
      </c>
      <c r="R126" s="71">
        <f t="shared" si="52"/>
        <v>8.3016004508446706E-2</v>
      </c>
      <c r="S126" s="71">
        <f t="shared" si="52"/>
        <v>9.1680132544514237E-2</v>
      </c>
      <c r="T126" s="71">
        <f t="shared" si="52"/>
        <v>0.10041357360487035</v>
      </c>
      <c r="U126" s="71">
        <f t="shared" si="52"/>
        <v>0.1092168821937094</v>
      </c>
      <c r="V126" s="71">
        <f t="shared" si="52"/>
        <v>0.11809061725125902</v>
      </c>
      <c r="W126" s="71">
        <f t="shared" si="52"/>
        <v>0.12703534218926915</v>
      </c>
      <c r="X126" s="71">
        <f t="shared" si="52"/>
        <v>0.13605162492678335</v>
      </c>
      <c r="Y126" s="71">
        <f t="shared" si="52"/>
        <v>0.14514003792619756</v>
      </c>
      <c r="Z126" s="71">
        <f t="shared" si="52"/>
        <v>0.15430115822960722</v>
      </c>
      <c r="AA126" s="71">
        <f t="shared" si="52"/>
        <v>0.16353556749544418</v>
      </c>
      <c r="AB126" s="71">
        <f t="shared" si="52"/>
        <v>0.17284385203540764</v>
      </c>
      <c r="AC126" s="71">
        <f t="shared" si="52"/>
        <v>0.18222660285169101</v>
      </c>
      <c r="AD126" s="71">
        <f t="shared" si="52"/>
        <v>0.19168441567450456</v>
      </c>
      <c r="AE126" s="71">
        <f t="shared" si="52"/>
        <v>0.20121789099990051</v>
      </c>
      <c r="AF126" s="71">
        <f t="shared" si="52"/>
        <v>0.21082763412789962</v>
      </c>
      <c r="AG126" s="71">
        <f t="shared" si="52"/>
        <v>0.22051425520092294</v>
      </c>
      <c r="AH126" s="71">
        <f t="shared" si="52"/>
        <v>0.23027836924253031</v>
      </c>
      <c r="AI126" s="71">
        <f t="shared" si="52"/>
        <v>0.24012059619647053</v>
      </c>
      <c r="AJ126" s="71">
        <f t="shared" si="52"/>
        <v>0.25004156096604224</v>
      </c>
      <c r="AK126" s="71">
        <f t="shared" si="52"/>
        <v>0.26004189345377049</v>
      </c>
    </row>
    <row r="127" spans="1:37" x14ac:dyDescent="0.25">
      <c r="A127" s="1" t="s">
        <v>48</v>
      </c>
      <c r="B127">
        <v>0</v>
      </c>
      <c r="C127" s="71">
        <f t="shared" si="49"/>
        <v>1.4653409090909175E-2</v>
      </c>
      <c r="D127" s="71">
        <f t="shared" si="52"/>
        <v>2.952154057980394E-2</v>
      </c>
      <c r="E127" s="71">
        <f t="shared" si="52"/>
        <v>4.4607540881822949E-2</v>
      </c>
      <c r="F127" s="71">
        <f t="shared" si="52"/>
        <v>5.9914602517812998E-2</v>
      </c>
      <c r="G127" s="71">
        <f t="shared" si="52"/>
        <v>7.5445964789934816E-2</v>
      </c>
      <c r="H127" s="71">
        <f t="shared" si="52"/>
        <v>9.1470278618902112E-2</v>
      </c>
      <c r="I127" s="71">
        <f t="shared" si="52"/>
        <v>0.10800267536063912</v>
      </c>
      <c r="J127" s="71">
        <f t="shared" si="52"/>
        <v>0.12505888420236122</v>
      </c>
      <c r="K127" s="71">
        <f t="shared" si="52"/>
        <v>0.14265525644742416</v>
      </c>
      <c r="L127" s="71">
        <f t="shared" si="52"/>
        <v>0.16080879092355915</v>
      </c>
      <c r="M127" s="71">
        <f t="shared" si="52"/>
        <v>0.17953716056857028</v>
      </c>
      <c r="N127" s="71">
        <f t="shared" si="52"/>
        <v>0.19885874025039985</v>
      </c>
      <c r="O127" s="71">
        <f t="shared" si="52"/>
        <v>0.21849681987295311</v>
      </c>
      <c r="P127" s="71">
        <f t="shared" si="52"/>
        <v>0.23845658390945257</v>
      </c>
      <c r="Q127" s="71">
        <f t="shared" si="52"/>
        <v>0.25874330175813687</v>
      </c>
      <c r="R127" s="71">
        <f t="shared" si="52"/>
        <v>0.27936232913338777</v>
      </c>
      <c r="S127" s="71">
        <f t="shared" si="52"/>
        <v>0.30031910947964358</v>
      </c>
      <c r="T127" s="71">
        <f t="shared" si="52"/>
        <v>0.32161917540847451</v>
      </c>
      <c r="U127" s="71">
        <f t="shared" si="52"/>
        <v>0.34326815015919765</v>
      </c>
      <c r="V127" s="71">
        <f t="shared" si="52"/>
        <v>0.36527174908341808</v>
      </c>
      <c r="W127" s="71">
        <f t="shared" si="52"/>
        <v>0.38763578115388753</v>
      </c>
      <c r="X127" s="71">
        <f t="shared" si="52"/>
        <v>0.41036615049807912</v>
      </c>
      <c r="Y127" s="71">
        <f t="shared" si="52"/>
        <v>0.43346885795688306</v>
      </c>
      <c r="Z127" s="71">
        <f t="shared" si="52"/>
        <v>0.45695000266883468</v>
      </c>
      <c r="AA127" s="71">
        <f t="shared" si="52"/>
        <v>0.48081578368029376</v>
      </c>
      <c r="AB127" s="71">
        <f t="shared" si="52"/>
        <v>0.50507250158199857</v>
      </c>
      <c r="AC127" s="71">
        <f t="shared" si="52"/>
        <v>0.52972656017242881</v>
      </c>
      <c r="AD127" s="71">
        <f t="shared" si="52"/>
        <v>0.55478446814841442</v>
      </c>
      <c r="AE127" s="71">
        <f t="shared" si="52"/>
        <v>0.58025284082343886</v>
      </c>
      <c r="AF127" s="71">
        <f t="shared" si="52"/>
        <v>0.60613840187408852</v>
      </c>
      <c r="AG127" s="71">
        <f t="shared" si="52"/>
        <v>0.63244798511510969</v>
      </c>
      <c r="AH127" s="71">
        <f t="shared" si="52"/>
        <v>0.65918853630354346</v>
      </c>
      <c r="AI127" s="71">
        <f t="shared" si="52"/>
        <v>0.68636711497241243</v>
      </c>
      <c r="AJ127" s="71">
        <f t="shared" si="52"/>
        <v>0.71399089629444434</v>
      </c>
      <c r="AK127" s="71">
        <f t="shared" si="52"/>
        <v>0.74206717297632552</v>
      </c>
    </row>
    <row r="128" spans="1:37" x14ac:dyDescent="0.25">
      <c r="A128" s="1" t="s">
        <v>19</v>
      </c>
      <c r="B128">
        <v>0</v>
      </c>
      <c r="C128" s="71">
        <f t="shared" si="49"/>
        <v>2.0000000000000018E-2</v>
      </c>
      <c r="D128" s="71">
        <f t="shared" si="52"/>
        <v>4.0399999999999991E-2</v>
      </c>
      <c r="E128" s="71">
        <f t="shared" si="52"/>
        <v>6.1207999999999929E-2</v>
      </c>
      <c r="F128" s="71">
        <f t="shared" si="52"/>
        <v>8.2432159999999977E-2</v>
      </c>
      <c r="G128" s="71">
        <f t="shared" si="52"/>
        <v>0.10408080320000002</v>
      </c>
      <c r="H128" s="71">
        <f t="shared" si="52"/>
        <v>0.12411198348662866</v>
      </c>
      <c r="I128" s="71">
        <f t="shared" si="52"/>
        <v>0.1424189500748394</v>
      </c>
      <c r="J128" s="71">
        <f t="shared" si="52"/>
        <v>0.15890242349734773</v>
      </c>
      <c r="K128" s="71">
        <f t="shared" si="52"/>
        <v>0.1734714825356003</v>
      </c>
      <c r="L128" s="71">
        <f t="shared" si="52"/>
        <v>0.18604439127705308</v>
      </c>
      <c r="M128" s="71">
        <f t="shared" si="52"/>
        <v>0.19654935588550693</v>
      </c>
      <c r="N128" s="71">
        <f t="shared" si="52"/>
        <v>0.20492520137670533</v>
      </c>
      <c r="O128" s="71">
        <f t="shared" si="52"/>
        <v>0.21335967778634224</v>
      </c>
      <c r="P128" s="71">
        <f t="shared" si="52"/>
        <v>0.22185319553084648</v>
      </c>
      <c r="Q128" s="71">
        <f t="shared" si="52"/>
        <v>0.23040616789956236</v>
      </c>
      <c r="R128" s="71">
        <f t="shared" si="52"/>
        <v>0.23901901107485912</v>
      </c>
      <c r="S128" s="71">
        <f t="shared" si="52"/>
        <v>0.24769214415238294</v>
      </c>
      <c r="T128" s="71">
        <f t="shared" si="52"/>
        <v>0.25642598916144954</v>
      </c>
      <c r="U128" s="71">
        <f t="shared" si="52"/>
        <v>0.26522097108557952</v>
      </c>
      <c r="V128" s="71">
        <f t="shared" si="52"/>
        <v>0.27407751788317847</v>
      </c>
      <c r="W128" s="71">
        <f t="shared" si="52"/>
        <v>0.28299606050836057</v>
      </c>
      <c r="X128" s="71">
        <f t="shared" si="52"/>
        <v>0.2919770329319189</v>
      </c>
      <c r="Y128" s="71">
        <f t="shared" si="52"/>
        <v>0.30102087216244211</v>
      </c>
      <c r="Z128" s="71">
        <f t="shared" si="52"/>
        <v>0.31012801826757896</v>
      </c>
      <c r="AA128" s="71">
        <f t="shared" si="52"/>
        <v>0.31929891439545188</v>
      </c>
      <c r="AB128" s="71">
        <f t="shared" si="52"/>
        <v>0.32853400679621991</v>
      </c>
      <c r="AC128" s="71">
        <f t="shared" si="52"/>
        <v>0.33783374484379336</v>
      </c>
      <c r="AD128" s="71">
        <f t="shared" si="52"/>
        <v>0.34719858105769985</v>
      </c>
      <c r="AE128" s="71">
        <f t="shared" si="52"/>
        <v>0.35662897112510361</v>
      </c>
      <c r="AF128" s="71">
        <f t="shared" si="52"/>
        <v>0.36612537392297928</v>
      </c>
      <c r="AG128" s="71">
        <f t="shared" si="52"/>
        <v>0.37568825154044005</v>
      </c>
      <c r="AH128" s="71">
        <f t="shared" si="52"/>
        <v>0.38531806930122303</v>
      </c>
      <c r="AI128" s="71">
        <f t="shared" si="52"/>
        <v>0.39501529578633154</v>
      </c>
      <c r="AJ128" s="71">
        <f t="shared" si="52"/>
        <v>0.40478040285683581</v>
      </c>
      <c r="AK128" s="71">
        <f t="shared" si="52"/>
        <v>0.41461386567683345</v>
      </c>
    </row>
    <row r="129" spans="1:37" x14ac:dyDescent="0.25">
      <c r="A129" s="1" t="s">
        <v>20</v>
      </c>
      <c r="B129">
        <v>0</v>
      </c>
      <c r="C129" s="71">
        <f t="shared" si="49"/>
        <v>4.1035167252340354E-2</v>
      </c>
      <c r="D129" s="71">
        <f t="shared" si="52"/>
        <v>8.3754219456108281E-2</v>
      </c>
      <c r="E129" s="71">
        <f t="shared" si="52"/>
        <v>0.12822625511191932</v>
      </c>
      <c r="F129" s="71">
        <f t="shared" si="52"/>
        <v>0.17452320818891853</v>
      </c>
      <c r="G129" s="71">
        <f t="shared" si="52"/>
        <v>0.22271996447870612</v>
      </c>
      <c r="H129" s="71">
        <f t="shared" si="52"/>
        <v>0.27009725685260877</v>
      </c>
      <c r="I129" s="71">
        <f t="shared" si="52"/>
        <v>0.31640468767914043</v>
      </c>
      <c r="J129" s="71">
        <f t="shared" si="52"/>
        <v>0.36138892680961088</v>
      </c>
      <c r="K129" s="71">
        <f t="shared" si="52"/>
        <v>0.40479590942311239</v>
      </c>
      <c r="L129" s="71">
        <f t="shared" si="52"/>
        <v>0.44637313246402144</v>
      </c>
      <c r="M129" s="71">
        <f t="shared" si="52"/>
        <v>0.48587202219630665</v>
      </c>
      <c r="N129" s="71">
        <f t="shared" si="52"/>
        <v>0.5230503431326059</v>
      </c>
      <c r="O129" s="71">
        <f t="shared" si="52"/>
        <v>0.56115891077050151</v>
      </c>
      <c r="P129" s="71">
        <f t="shared" si="52"/>
        <v>0.60022100101121856</v>
      </c>
      <c r="Q129" s="71">
        <f t="shared" si="52"/>
        <v>0.64026047214727377</v>
      </c>
      <c r="R129" s="71">
        <f t="shared" si="52"/>
        <v>0.6813017794346119</v>
      </c>
      <c r="S129" s="71">
        <f t="shared" si="52"/>
        <v>0.72336999002935487</v>
      </c>
      <c r="T129" s="71">
        <f t="shared" si="52"/>
        <v>0.76649079829828737</v>
      </c>
      <c r="U129" s="71">
        <f t="shared" si="52"/>
        <v>0.81069054151242836</v>
      </c>
      <c r="V129" s="71">
        <f t="shared" si="52"/>
        <v>0.8559962159332748</v>
      </c>
      <c r="W129" s="71">
        <f t="shared" si="52"/>
        <v>0.90243549330154327</v>
      </c>
      <c r="X129" s="71">
        <f t="shared" si="52"/>
        <v>0.95003673773847974</v>
      </c>
      <c r="Y129" s="71">
        <f t="shared" si="52"/>
        <v>0.9988290230700605</v>
      </c>
      <c r="Z129" s="71">
        <f t="shared" si="52"/>
        <v>1.0488421505846657</v>
      </c>
      <c r="AA129" s="71">
        <f t="shared" si="52"/>
        <v>1.100106667235071</v>
      </c>
      <c r="AB129" s="71">
        <f t="shared" si="52"/>
        <v>1.1526538842958765</v>
      </c>
      <c r="AC129" s="71">
        <f t="shared" si="52"/>
        <v>1.2065158964877649</v>
      </c>
      <c r="AD129" s="71">
        <f t="shared" si="52"/>
        <v>1.2617256015802738</v>
      </c>
      <c r="AE129" s="71">
        <f t="shared" si="52"/>
        <v>1.3183167204850528</v>
      </c>
      <c r="AF129" s="71">
        <f t="shared" si="52"/>
        <v>1.3763238178518775</v>
      </c>
      <c r="AG129" s="71">
        <f t="shared" si="52"/>
        <v>1.4357823231800011</v>
      </c>
      <c r="AH129" s="71">
        <f t="shared" si="52"/>
        <v>1.4967285524577378</v>
      </c>
      <c r="AI129" s="71">
        <f t="shared" si="52"/>
        <v>1.559199730343495</v>
      </c>
      <c r="AJ129" s="71">
        <f t="shared" si="52"/>
        <v>1.6232340129018015</v>
      </c>
      <c r="AK129" s="71">
        <f t="shared" si="52"/>
        <v>1.6888705109082189</v>
      </c>
    </row>
    <row r="130" spans="1:37" x14ac:dyDescent="0.25">
      <c r="A130" s="1" t="s">
        <v>21</v>
      </c>
      <c r="B130">
        <v>0</v>
      </c>
      <c r="C130" s="71">
        <f t="shared" si="49"/>
        <v>1.8000000000000016E-2</v>
      </c>
      <c r="D130" s="71">
        <f t="shared" si="52"/>
        <v>3.6324000000000023E-2</v>
      </c>
      <c r="E130" s="71">
        <f t="shared" si="52"/>
        <v>5.497783200000006E-2</v>
      </c>
      <c r="F130" s="71">
        <f t="shared" si="52"/>
        <v>7.3967432976000058E-2</v>
      </c>
      <c r="G130" s="71">
        <f t="shared" si="52"/>
        <v>9.3298846769568122E-2</v>
      </c>
      <c r="H130" s="71">
        <f t="shared" si="52"/>
        <v>0.11266585491234338</v>
      </c>
      <c r="I130" s="71">
        <f t="shared" si="52"/>
        <v>0.1320580312408155</v>
      </c>
      <c r="J130" s="71">
        <f t="shared" si="52"/>
        <v>0.15146474034780089</v>
      </c>
      <c r="K130" s="71">
        <f t="shared" si="52"/>
        <v>0.17087514597080666</v>
      </c>
      <c r="L130" s="71">
        <f t="shared" si="52"/>
        <v>0.19027821981832305</v>
      </c>
      <c r="M130" s="71">
        <f t="shared" si="52"/>
        <v>0.20966275082679275</v>
      </c>
      <c r="N130" s="71">
        <f t="shared" si="52"/>
        <v>0.22901735484002139</v>
      </c>
      <c r="O130" s="71">
        <f t="shared" si="52"/>
        <v>0.24868163251746167</v>
      </c>
      <c r="P130" s="71">
        <f t="shared" si="52"/>
        <v>0.26866053863774098</v>
      </c>
      <c r="Q130" s="71">
        <f t="shared" si="52"/>
        <v>0.28895910725594476</v>
      </c>
      <c r="R130" s="71">
        <f t="shared" si="52"/>
        <v>0.3095824529720399</v>
      </c>
      <c r="S130" s="71">
        <f t="shared" si="52"/>
        <v>0.33053577221959252</v>
      </c>
      <c r="T130" s="71">
        <f t="shared" si="52"/>
        <v>0.35182434457510592</v>
      </c>
      <c r="U130" s="71">
        <f t="shared" si="52"/>
        <v>0.37345353408830761</v>
      </c>
      <c r="V130" s="71">
        <f t="shared" si="52"/>
        <v>0.39542879063372061</v>
      </c>
      <c r="W130" s="71">
        <f t="shared" si="52"/>
        <v>0.41775565128386005</v>
      </c>
      <c r="X130" s="71">
        <f t="shared" si="52"/>
        <v>0.44043974170440192</v>
      </c>
      <c r="Y130" s="71">
        <f t="shared" si="52"/>
        <v>0.46348677757167245</v>
      </c>
      <c r="Z130" s="71">
        <f t="shared" si="52"/>
        <v>0.48690256601281923</v>
      </c>
      <c r="AA130" s="71">
        <f t="shared" si="52"/>
        <v>0.51069300706902432</v>
      </c>
      <c r="AB130" s="71">
        <f t="shared" si="52"/>
        <v>0.53486409518212863</v>
      </c>
      <c r="AC130" s="71">
        <f t="shared" si="52"/>
        <v>0.55942192070504282</v>
      </c>
      <c r="AD130" s="71">
        <f t="shared" si="52"/>
        <v>0.58437267143632354</v>
      </c>
      <c r="AE130" s="71">
        <f t="shared" si="52"/>
        <v>0.60972263417930472</v>
      </c>
      <c r="AF130" s="71">
        <f t="shared" si="52"/>
        <v>0.63547819632617353</v>
      </c>
      <c r="AG130" s="71">
        <f t="shared" si="52"/>
        <v>0.6616458474673923</v>
      </c>
      <c r="AH130" s="71">
        <f t="shared" si="52"/>
        <v>0.68823218102687056</v>
      </c>
      <c r="AI130" s="71">
        <f t="shared" si="52"/>
        <v>0.71524389592330051</v>
      </c>
      <c r="AJ130" s="71">
        <f t="shared" si="52"/>
        <v>0.7426877982580733</v>
      </c>
      <c r="AK130" s="71">
        <f t="shared" si="52"/>
        <v>0.77057080303020253</v>
      </c>
    </row>
    <row r="131" spans="1:37" x14ac:dyDescent="0.25">
      <c r="A131" s="1" t="s">
        <v>22</v>
      </c>
      <c r="B131">
        <v>0</v>
      </c>
      <c r="C131" s="71">
        <f t="shared" si="49"/>
        <v>3.0999999999999917E-2</v>
      </c>
      <c r="D131" s="71">
        <f t="shared" si="52"/>
        <v>6.2960999999999823E-2</v>
      </c>
      <c r="E131" s="71">
        <f t="shared" si="52"/>
        <v>9.591279099999972E-2</v>
      </c>
      <c r="F131" s="71">
        <f t="shared" si="52"/>
        <v>0.12988608752099973</v>
      </c>
      <c r="G131" s="71">
        <f t="shared" si="52"/>
        <v>0.16491255623415069</v>
      </c>
      <c r="H131" s="71">
        <f t="shared" si="52"/>
        <v>0.19936068468278911</v>
      </c>
      <c r="I131" s="71">
        <f t="shared" si="52"/>
        <v>0.23311412109457641</v>
      </c>
      <c r="J131" s="71">
        <f t="shared" si="52"/>
        <v>0.26605588404381719</v>
      </c>
      <c r="K131" s="71">
        <f t="shared" si="52"/>
        <v>0.29806901139749664</v>
      </c>
      <c r="L131" s="71">
        <f t="shared" si="52"/>
        <v>0.32903722924083678</v>
      </c>
      <c r="M131" s="71">
        <f t="shared" si="52"/>
        <v>0.35884563566809557</v>
      </c>
      <c r="N131" s="71">
        <f t="shared" si="52"/>
        <v>0.38738139401712535</v>
      </c>
      <c r="O131" s="71">
        <f t="shared" si="52"/>
        <v>0.41651640329148476</v>
      </c>
      <c r="P131" s="71">
        <f t="shared" si="52"/>
        <v>0.44626324776060589</v>
      </c>
      <c r="Q131" s="71">
        <f t="shared" si="52"/>
        <v>0.47663477596357851</v>
      </c>
      <c r="R131" s="71">
        <f t="shared" si="52"/>
        <v>0.50764410625881351</v>
      </c>
      <c r="S131" s="71">
        <f t="shared" ref="D131:AK138" si="53">(R131+1)*(1+R85)-1</f>
        <v>0.5393046324902484</v>
      </c>
      <c r="T131" s="71">
        <f t="shared" si="53"/>
        <v>0.5716300297725434</v>
      </c>
      <c r="U131" s="71">
        <f t="shared" si="53"/>
        <v>0.60463426039776658</v>
      </c>
      <c r="V131" s="71">
        <f t="shared" si="53"/>
        <v>0.63833157986611955</v>
      </c>
      <c r="W131" s="71">
        <f t="shared" si="53"/>
        <v>0.67273654304330788</v>
      </c>
      <c r="X131" s="71">
        <f t="shared" si="53"/>
        <v>0.70786401044721714</v>
      </c>
      <c r="Y131" s="71">
        <f t="shared" si="53"/>
        <v>0.74372915466660849</v>
      </c>
      <c r="Z131" s="71">
        <f t="shared" si="53"/>
        <v>0.7803474669146071</v>
      </c>
      <c r="AA131" s="71">
        <f t="shared" si="53"/>
        <v>0.8177347637198138</v>
      </c>
      <c r="AB131" s="71">
        <f t="shared" si="53"/>
        <v>0.85590719375792967</v>
      </c>
      <c r="AC131" s="71">
        <f t="shared" si="53"/>
        <v>0.89488124482684595</v>
      </c>
      <c r="AD131" s="71">
        <f t="shared" si="53"/>
        <v>0.93467375096820948</v>
      </c>
      <c r="AE131" s="71">
        <f t="shared" si="53"/>
        <v>0.97530189973854164</v>
      </c>
      <c r="AF131" s="71">
        <f t="shared" si="53"/>
        <v>1.016783239633051</v>
      </c>
      <c r="AG131" s="71">
        <f t="shared" si="53"/>
        <v>1.059135687665345</v>
      </c>
      <c r="AH131" s="71">
        <f t="shared" si="53"/>
        <v>1.1023775371063169</v>
      </c>
      <c r="AI131" s="71">
        <f t="shared" si="53"/>
        <v>1.1465274653855495</v>
      </c>
      <c r="AJ131" s="71">
        <f t="shared" si="53"/>
        <v>1.1916045421586459</v>
      </c>
      <c r="AK131" s="71">
        <f t="shared" si="53"/>
        <v>1.2376282375439773</v>
      </c>
    </row>
    <row r="132" spans="1:37" x14ac:dyDescent="0.25">
      <c r="A132" s="1" t="s">
        <v>23</v>
      </c>
      <c r="B132">
        <v>0</v>
      </c>
      <c r="C132" s="71">
        <f t="shared" si="49"/>
        <v>2.2434706140993743E-2</v>
      </c>
      <c r="D132" s="71">
        <f t="shared" si="53"/>
        <v>4.5372728321620315E-2</v>
      </c>
      <c r="E132" s="71">
        <f t="shared" si="53"/>
        <v>6.8825358289324789E-2</v>
      </c>
      <c r="F132" s="71">
        <f t="shared" si="53"/>
        <v>9.2804141118588035E-2</v>
      </c>
      <c r="G132" s="71">
        <f t="shared" si="53"/>
        <v>0.11732088089424453</v>
      </c>
      <c r="H132" s="71">
        <f t="shared" si="53"/>
        <v>0.14302055417610671</v>
      </c>
      <c r="I132" s="71">
        <f t="shared" si="53"/>
        <v>0.16995881494671217</v>
      </c>
      <c r="J132" s="71">
        <f t="shared" si="53"/>
        <v>0.19819467056711781</v>
      </c>
      <c r="K132" s="71">
        <f t="shared" si="53"/>
        <v>0.22779069070810265</v>
      </c>
      <c r="L132" s="71">
        <f t="shared" si="53"/>
        <v>0.25881323105805065</v>
      </c>
      <c r="M132" s="71">
        <f t="shared" si="53"/>
        <v>0.29133267289934639</v>
      </c>
      <c r="N132" s="71">
        <f t="shared" si="53"/>
        <v>0.32542367973252051</v>
      </c>
      <c r="O132" s="71">
        <f t="shared" si="53"/>
        <v>0.36041468450680614</v>
      </c>
      <c r="P132" s="71">
        <f t="shared" si="53"/>
        <v>0.39632944704537243</v>
      </c>
      <c r="Q132" s="71">
        <f t="shared" si="53"/>
        <v>0.43319235442748627</v>
      </c>
      <c r="R132" s="71">
        <f t="shared" si="53"/>
        <v>0.47102843754798873</v>
      </c>
      <c r="S132" s="71">
        <f t="shared" si="53"/>
        <v>0.5098633881139385</v>
      </c>
      <c r="T132" s="71">
        <f t="shared" si="53"/>
        <v>0.54972357608996436</v>
      </c>
      <c r="U132" s="71">
        <f t="shared" si="53"/>
        <v>0.59063606760417242</v>
      </c>
      <c r="V132" s="71">
        <f t="shared" si="53"/>
        <v>0.6326286433267676</v>
      </c>
      <c r="W132" s="71">
        <f t="shared" si="53"/>
        <v>0.67572981733386794</v>
      </c>
      <c r="X132" s="71">
        <f t="shared" si="53"/>
        <v>0.7199688564693203</v>
      </c>
      <c r="Y132" s="71">
        <f t="shared" si="53"/>
        <v>0.76537580021766671</v>
      </c>
      <c r="Z132" s="71">
        <f t="shared" si="53"/>
        <v>0.81198148110175272</v>
      </c>
      <c r="AA132" s="71">
        <f t="shared" si="53"/>
        <v>0.8598175456188315</v>
      </c>
      <c r="AB132" s="71">
        <f t="shared" si="53"/>
        <v>0.90891647572937684</v>
      </c>
      <c r="AC132" s="71">
        <f t="shared" si="53"/>
        <v>0.95931161091319894</v>
      </c>
      <c r="AD132" s="71">
        <f t="shared" si="53"/>
        <v>1.0110371708078381</v>
      </c>
      <c r="AE132" s="71">
        <f t="shared" si="53"/>
        <v>1.064128278444608</v>
      </c>
      <c r="AF132" s="71">
        <f t="shared" si="53"/>
        <v>1.1186209840980705</v>
      </c>
      <c r="AG132" s="71">
        <f t="shared" si="53"/>
        <v>1.1745522897651295</v>
      </c>
      <c r="AH132" s="71">
        <f t="shared" si="53"/>
        <v>1.2319601742903714</v>
      </c>
      <c r="AI132" s="71">
        <f t="shared" si="53"/>
        <v>1.2908836191547115</v>
      </c>
      <c r="AJ132" s="71">
        <f t="shared" si="53"/>
        <v>1.3513626349448566</v>
      </c>
      <c r="AK132" s="71">
        <f t="shared" si="53"/>
        <v>1.413438288521558</v>
      </c>
    </row>
    <row r="133" spans="1:37" x14ac:dyDescent="0.25">
      <c r="A133" s="1" t="s">
        <v>24</v>
      </c>
      <c r="B133">
        <v>0</v>
      </c>
      <c r="C133" s="71">
        <f t="shared" si="49"/>
        <v>3.6999999999999922E-2</v>
      </c>
      <c r="D133" s="71">
        <f t="shared" si="53"/>
        <v>7.5368999999999797E-2</v>
      </c>
      <c r="E133" s="71">
        <f t="shared" si="53"/>
        <v>0.1151576529999998</v>
      </c>
      <c r="F133" s="71">
        <f t="shared" si="53"/>
        <v>0.15641848616099963</v>
      </c>
      <c r="G133" s="71">
        <f t="shared" si="53"/>
        <v>0.19920597014895658</v>
      </c>
      <c r="H133" s="71">
        <f t="shared" si="53"/>
        <v>0.24066423368839174</v>
      </c>
      <c r="I133" s="71">
        <f t="shared" si="53"/>
        <v>0.28054272691408988</v>
      </c>
      <c r="J133" s="71">
        <f t="shared" si="53"/>
        <v>0.31859313937096578</v>
      </c>
      <c r="K133" s="71">
        <f t="shared" si="53"/>
        <v>0.35457189503094511</v>
      </c>
      <c r="L133" s="71">
        <f t="shared" si="53"/>
        <v>0.38824268213600011</v>
      </c>
      <c r="M133" s="71">
        <f t="shared" si="53"/>
        <v>0.41937898229247894</v>
      </c>
      <c r="N133" s="71">
        <f t="shared" si="53"/>
        <v>0.44776656193832864</v>
      </c>
      <c r="O133" s="71">
        <f t="shared" si="53"/>
        <v>0.47672189317709535</v>
      </c>
      <c r="P133" s="71">
        <f t="shared" si="53"/>
        <v>0.50625633104063739</v>
      </c>
      <c r="Q133" s="71">
        <f t="shared" si="53"/>
        <v>0.53638145766145007</v>
      </c>
      <c r="R133" s="71">
        <f t="shared" si="53"/>
        <v>0.56710908681467909</v>
      </c>
      <c r="S133" s="71">
        <f t="shared" si="53"/>
        <v>0.59845126855097264</v>
      </c>
      <c r="T133" s="71">
        <f t="shared" si="53"/>
        <v>0.63042029392199206</v>
      </c>
      <c r="U133" s="71">
        <f t="shared" si="53"/>
        <v>0.663028699800432</v>
      </c>
      <c r="V133" s="71">
        <f t="shared" si="53"/>
        <v>0.69628927379644057</v>
      </c>
      <c r="W133" s="71">
        <f t="shared" si="53"/>
        <v>0.73021505927236952</v>
      </c>
      <c r="X133" s="71">
        <f t="shared" si="53"/>
        <v>0.76481936045781684</v>
      </c>
      <c r="Y133" s="71">
        <f t="shared" si="53"/>
        <v>0.80011574766697313</v>
      </c>
      <c r="Z133" s="71">
        <f t="shared" si="53"/>
        <v>0.83611806262031263</v>
      </c>
      <c r="AA133" s="71">
        <f t="shared" si="53"/>
        <v>0.87284042387271898</v>
      </c>
      <c r="AB133" s="71">
        <f t="shared" si="53"/>
        <v>0.91029723235017346</v>
      </c>
      <c r="AC133" s="71">
        <f t="shared" si="53"/>
        <v>0.94850317699717701</v>
      </c>
      <c r="AD133" s="71">
        <f t="shared" si="53"/>
        <v>0.98747324053712049</v>
      </c>
      <c r="AE133" s="71">
        <f t="shared" si="53"/>
        <v>1.0272227053478629</v>
      </c>
      <c r="AF133" s="71">
        <f t="shared" si="53"/>
        <v>1.0677671594548204</v>
      </c>
      <c r="AG133" s="71">
        <f t="shared" si="53"/>
        <v>1.1091225026439169</v>
      </c>
      <c r="AH133" s="71">
        <f t="shared" si="53"/>
        <v>1.1513049526967953</v>
      </c>
      <c r="AI133" s="71">
        <f t="shared" si="53"/>
        <v>1.1943310517507313</v>
      </c>
      <c r="AJ133" s="71">
        <f t="shared" si="53"/>
        <v>1.2382176727857459</v>
      </c>
      <c r="AK133" s="71">
        <f t="shared" si="53"/>
        <v>1.2829820262414611</v>
      </c>
    </row>
    <row r="134" spans="1:37" x14ac:dyDescent="0.25">
      <c r="A134" s="1" t="s">
        <v>25</v>
      </c>
      <c r="B134">
        <v>0</v>
      </c>
      <c r="C134" s="71">
        <f t="shared" si="49"/>
        <v>0.13241387959866224</v>
      </c>
      <c r="D134" s="71">
        <f t="shared" si="53"/>
        <v>0.28236119470769361</v>
      </c>
      <c r="E134" s="71">
        <f t="shared" si="53"/>
        <v>0.45216361554571471</v>
      </c>
      <c r="F134" s="71">
        <f t="shared" si="53"/>
        <v>0.64445023369214294</v>
      </c>
      <c r="G134" s="71">
        <f t="shared" si="53"/>
        <v>0.86219826894224627</v>
      </c>
      <c r="H134" s="71">
        <f t="shared" si="53"/>
        <v>1.0834788042278518</v>
      </c>
      <c r="I134" s="71">
        <f t="shared" si="53"/>
        <v>1.3027468293991102</v>
      </c>
      <c r="J134" s="71">
        <f t="shared" si="53"/>
        <v>1.5138051256261638</v>
      </c>
      <c r="K134" s="71">
        <f t="shared" si="53"/>
        <v>1.7100546927180291</v>
      </c>
      <c r="L134" s="71">
        <f t="shared" si="53"/>
        <v>1.8848056300808578</v>
      </c>
      <c r="M134" s="71">
        <f t="shared" si="53"/>
        <v>2.0316311339070081</v>
      </c>
      <c r="N134" s="71">
        <f t="shared" si="53"/>
        <v>2.1447408769461211</v>
      </c>
      <c r="O134" s="71">
        <f t="shared" si="53"/>
        <v>2.262070729030587</v>
      </c>
      <c r="P134" s="71">
        <f t="shared" si="53"/>
        <v>2.3837781418518</v>
      </c>
      <c r="Q134" s="71">
        <f t="shared" si="53"/>
        <v>2.5100264416022289</v>
      </c>
      <c r="R134" s="71">
        <f t="shared" si="53"/>
        <v>2.6409850481522494</v>
      </c>
      <c r="S134" s="71">
        <f t="shared" si="53"/>
        <v>2.7768297024044335</v>
      </c>
      <c r="T134" s="71">
        <f t="shared" si="53"/>
        <v>2.9177427021303952</v>
      </c>
      <c r="U134" s="71">
        <f t="shared" si="53"/>
        <v>3.06391314660668</v>
      </c>
      <c r="V134" s="71">
        <f t="shared" si="53"/>
        <v>3.2155371903779812</v>
      </c>
      <c r="W134" s="71">
        <f t="shared" si="53"/>
        <v>3.3728183064882318</v>
      </c>
      <c r="X134" s="71">
        <f t="shared" si="53"/>
        <v>3.5359675595328088</v>
      </c>
      <c r="Y134" s="71">
        <f t="shared" si="53"/>
        <v>3.7052038888982821</v>
      </c>
      <c r="Z134" s="71">
        <f t="shared" si="53"/>
        <v>3.8807544025697931</v>
      </c>
      <c r="AA134" s="71">
        <f t="shared" si="53"/>
        <v>4.0628546819003537</v>
      </c>
      <c r="AB134" s="71">
        <f t="shared" si="53"/>
        <v>4.2517490977510404</v>
      </c>
      <c r="AC134" s="71">
        <f t="shared" si="53"/>
        <v>4.4476911384263405</v>
      </c>
      <c r="AD134" s="71">
        <f t="shared" si="53"/>
        <v>4.6509437498447177</v>
      </c>
      <c r="AE134" s="71">
        <f t="shared" si="53"/>
        <v>4.8617796884008966</v>
      </c>
      <c r="AF134" s="71">
        <f t="shared" si="53"/>
        <v>5.0804818869933905</v>
      </c>
      <c r="AG134" s="71">
        <f t="shared" si="53"/>
        <v>5.3073438347084654</v>
      </c>
      <c r="AH134" s="71">
        <f t="shared" si="53"/>
        <v>5.5426699706700617</v>
      </c>
      <c r="AI134" s="71">
        <f t="shared" si="53"/>
        <v>5.7867760925842031</v>
      </c>
      <c r="AJ134" s="71">
        <f t="shared" si="53"/>
        <v>6.0399897805261418</v>
      </c>
      <c r="AK134" s="71">
        <f t="shared" si="53"/>
        <v>6.3026508365389411</v>
      </c>
    </row>
    <row r="135" spans="1:37" x14ac:dyDescent="0.25">
      <c r="A135" s="1" t="s">
        <v>26</v>
      </c>
      <c r="B135">
        <v>0</v>
      </c>
      <c r="C135" s="71">
        <f t="shared" si="49"/>
        <v>1.0999999999999899E-2</v>
      </c>
      <c r="D135" s="71">
        <f t="shared" si="53"/>
        <v>2.2120999999999835E-2</v>
      </c>
      <c r="E135" s="71">
        <f t="shared" si="53"/>
        <v>3.3364330999999803E-2</v>
      </c>
      <c r="F135" s="71">
        <f t="shared" si="53"/>
        <v>4.4731338640999763E-2</v>
      </c>
      <c r="G135" s="71">
        <f t="shared" si="53"/>
        <v>5.6223383366050594E-2</v>
      </c>
      <c r="H135" s="71">
        <f t="shared" si="53"/>
        <v>6.8294507747376887E-2</v>
      </c>
      <c r="I135" s="71">
        <f t="shared" si="53"/>
        <v>8.0961428339238584E-2</v>
      </c>
      <c r="J135" s="71">
        <f t="shared" si="53"/>
        <v>9.4241811601692094E-2</v>
      </c>
      <c r="K135" s="71">
        <f t="shared" si="53"/>
        <v>0.10815431463491354</v>
      </c>
      <c r="L135" s="71">
        <f t="shared" si="53"/>
        <v>0.12271862848440085</v>
      </c>
      <c r="M135" s="71">
        <f t="shared" si="53"/>
        <v>0.13795552415668921</v>
      </c>
      <c r="N135" s="71">
        <f t="shared" si="53"/>
        <v>0.15388690149488293</v>
      </c>
      <c r="O135" s="71">
        <f t="shared" si="53"/>
        <v>0.17004131811581136</v>
      </c>
      <c r="P135" s="71">
        <f t="shared" si="53"/>
        <v>0.18642189656943264</v>
      </c>
      <c r="Q135" s="71">
        <f t="shared" si="53"/>
        <v>0.20303180312140467</v>
      </c>
      <c r="R135" s="71">
        <f t="shared" si="53"/>
        <v>0.21987424836510439</v>
      </c>
      <c r="S135" s="71">
        <f t="shared" si="53"/>
        <v>0.23695248784221579</v>
      </c>
      <c r="T135" s="71">
        <f t="shared" si="53"/>
        <v>0.25426982267200682</v>
      </c>
      <c r="U135" s="71">
        <f t="shared" si="53"/>
        <v>0.27182960018941493</v>
      </c>
      <c r="V135" s="71">
        <f t="shared" si="53"/>
        <v>0.28963521459206665</v>
      </c>
      <c r="W135" s="71">
        <f t="shared" si="53"/>
        <v>0.30769010759635562</v>
      </c>
      <c r="X135" s="71">
        <f t="shared" si="53"/>
        <v>0.32599776910270473</v>
      </c>
      <c r="Y135" s="71">
        <f t="shared" si="53"/>
        <v>0.34456173787014266</v>
      </c>
      <c r="Z135" s="71">
        <f t="shared" si="53"/>
        <v>0.36338560220032456</v>
      </c>
      <c r="AA135" s="71">
        <f t="shared" si="53"/>
        <v>0.38247300063112921</v>
      </c>
      <c r="AB135" s="71">
        <f t="shared" si="53"/>
        <v>0.40182762263996508</v>
      </c>
      <c r="AC135" s="71">
        <f t="shared" si="53"/>
        <v>0.42145320935692454</v>
      </c>
      <c r="AD135" s="71">
        <f t="shared" si="53"/>
        <v>0.44135355428792145</v>
      </c>
      <c r="AE135" s="71">
        <f t="shared" si="53"/>
        <v>0.46153250404795232</v>
      </c>
      <c r="AF135" s="71">
        <f t="shared" si="53"/>
        <v>0.48199395910462361</v>
      </c>
      <c r="AG135" s="71">
        <f t="shared" si="53"/>
        <v>0.50274187453208841</v>
      </c>
      <c r="AH135" s="71">
        <f t="shared" si="53"/>
        <v>0.52378026077553774</v>
      </c>
      <c r="AI135" s="71">
        <f t="shared" si="53"/>
        <v>0.54511318442639523</v>
      </c>
      <c r="AJ135" s="71">
        <f t="shared" si="53"/>
        <v>0.56674476900836468</v>
      </c>
      <c r="AK135" s="71">
        <f t="shared" si="53"/>
        <v>0.58867919577448191</v>
      </c>
    </row>
    <row r="136" spans="1:37" x14ac:dyDescent="0.25">
      <c r="A136" s="1" t="s">
        <v>27</v>
      </c>
      <c r="B136">
        <v>0</v>
      </c>
      <c r="C136" s="71">
        <f t="shared" si="49"/>
        <v>2.2999999999999909E-2</v>
      </c>
      <c r="D136" s="71">
        <f t="shared" si="53"/>
        <v>4.6528999999999821E-2</v>
      </c>
      <c r="E136" s="71">
        <f t="shared" si="53"/>
        <v>7.0599166999999685E-2</v>
      </c>
      <c r="F136" s="71">
        <f t="shared" si="53"/>
        <v>9.5222947840999606E-2</v>
      </c>
      <c r="G136" s="71">
        <f t="shared" si="53"/>
        <v>0.1204130756413424</v>
      </c>
      <c r="H136" s="71">
        <f t="shared" si="53"/>
        <v>0.14554234033786972</v>
      </c>
      <c r="I136" s="71">
        <f t="shared" si="53"/>
        <v>0.17058062291954035</v>
      </c>
      <c r="J136" s="71">
        <f t="shared" si="53"/>
        <v>0.19549726760739916</v>
      </c>
      <c r="K136" s="71">
        <f t="shared" si="53"/>
        <v>0.22026113957926663</v>
      </c>
      <c r="L136" s="71">
        <f t="shared" si="53"/>
        <v>0.24484068539079207</v>
      </c>
      <c r="M136" s="71">
        <f t="shared" si="53"/>
        <v>0.26920399594772615</v>
      </c>
      <c r="N136" s="71">
        <f t="shared" si="53"/>
        <v>0.29331887187073291</v>
      </c>
      <c r="O136" s="71">
        <f t="shared" si="53"/>
        <v>0.31789193043627662</v>
      </c>
      <c r="P136" s="71">
        <f t="shared" si="53"/>
        <v>0.34293187711456574</v>
      </c>
      <c r="Q136" s="71">
        <f t="shared" si="53"/>
        <v>0.36844758277974243</v>
      </c>
      <c r="R136" s="71">
        <f t="shared" si="53"/>
        <v>0.3944480868525575</v>
      </c>
      <c r="S136" s="71">
        <f t="shared" si="53"/>
        <v>0.42094260050275589</v>
      </c>
      <c r="T136" s="71">
        <f t="shared" si="53"/>
        <v>0.44794050991230816</v>
      </c>
      <c r="U136" s="71">
        <f t="shared" si="53"/>
        <v>0.47545137960064188</v>
      </c>
      <c r="V136" s="71">
        <f t="shared" si="53"/>
        <v>0.50348495581305386</v>
      </c>
      <c r="W136" s="71">
        <f t="shared" si="53"/>
        <v>0.53205116997350177</v>
      </c>
      <c r="X136" s="71">
        <f t="shared" si="53"/>
        <v>0.56116014220299815</v>
      </c>
      <c r="Y136" s="71">
        <f t="shared" si="53"/>
        <v>0.59082218490485494</v>
      </c>
      <c r="Z136" s="71">
        <f t="shared" si="53"/>
        <v>0.62104780641804713</v>
      </c>
      <c r="AA136" s="71">
        <f t="shared" si="53"/>
        <v>0.65184771473998993</v>
      </c>
      <c r="AB136" s="71">
        <f t="shared" si="53"/>
        <v>0.68323282132004959</v>
      </c>
      <c r="AC136" s="71">
        <f t="shared" si="53"/>
        <v>0.71521424492513042</v>
      </c>
      <c r="AD136" s="71">
        <f t="shared" si="53"/>
        <v>0.74780331557870783</v>
      </c>
      <c r="AE136" s="71">
        <f t="shared" si="53"/>
        <v>0.78101157857470316</v>
      </c>
      <c r="AF136" s="71">
        <f t="shared" si="53"/>
        <v>0.81485079856762233</v>
      </c>
      <c r="AG136" s="71">
        <f t="shared" si="53"/>
        <v>0.84933296374040701</v>
      </c>
      <c r="AH136" s="71">
        <f t="shared" si="53"/>
        <v>0.88447029005147448</v>
      </c>
      <c r="AI136" s="71">
        <f t="shared" si="53"/>
        <v>0.92027522556245223</v>
      </c>
      <c r="AJ136" s="71">
        <f t="shared" si="53"/>
        <v>0.95676045484813854</v>
      </c>
      <c r="AK136" s="71">
        <f t="shared" si="53"/>
        <v>0.99393890349025305</v>
      </c>
    </row>
    <row r="137" spans="1:37" x14ac:dyDescent="0.25">
      <c r="A137" s="1" t="s">
        <v>28</v>
      </c>
      <c r="B137">
        <v>0</v>
      </c>
      <c r="C137" s="71">
        <f t="shared" si="49"/>
        <v>3.2140282818170496E-2</v>
      </c>
      <c r="D137" s="71">
        <f t="shared" si="53"/>
        <v>6.5313563415972942E-2</v>
      </c>
      <c r="E137" s="71">
        <f t="shared" si="53"/>
        <v>9.9553042634195288E-2</v>
      </c>
      <c r="F137" s="71">
        <f t="shared" si="53"/>
        <v>0.13489298839803832</v>
      </c>
      <c r="G137" s="71">
        <f t="shared" si="53"/>
        <v>0.17136877001351003</v>
      </c>
      <c r="H137" s="71">
        <f t="shared" si="53"/>
        <v>0.2074126352279928</v>
      </c>
      <c r="I137" s="71">
        <f t="shared" si="53"/>
        <v>0.24291197374486417</v>
      </c>
      <c r="J137" s="71">
        <f t="shared" si="53"/>
        <v>0.27775279322461488</v>
      </c>
      <c r="K137" s="71">
        <f t="shared" si="53"/>
        <v>0.31182029934242084</v>
      </c>
      <c r="L137" s="71">
        <f t="shared" si="53"/>
        <v>0.34499949998075774</v>
      </c>
      <c r="M137" s="71">
        <f t="shared" si="53"/>
        <v>0.37717582936790373</v>
      </c>
      <c r="N137" s="71">
        <f t="shared" si="53"/>
        <v>0.40823578764731439</v>
      </c>
      <c r="O137" s="71">
        <f t="shared" si="53"/>
        <v>0.43999625270860898</v>
      </c>
      <c r="P137" s="71">
        <f t="shared" si="53"/>
        <v>0.47247302334156838</v>
      </c>
      <c r="Q137" s="71">
        <f t="shared" si="53"/>
        <v>0.50568225465195105</v>
      </c>
      <c r="R137" s="71">
        <f t="shared" si="53"/>
        <v>0.53964046609761906</v>
      </c>
      <c r="S137" s="71">
        <f t="shared" si="53"/>
        <v>0.57436454970590711</v>
      </c>
      <c r="T137" s="71">
        <f t="shared" si="53"/>
        <v>0.60987177847631946</v>
      </c>
      <c r="U137" s="71">
        <f t="shared" si="53"/>
        <v>0.6461798149727378</v>
      </c>
      <c r="V137" s="71">
        <f t="shared" si="53"/>
        <v>0.68330672010941074</v>
      </c>
      <c r="W137" s="71">
        <f t="shared" si="53"/>
        <v>0.72127096213509811</v>
      </c>
      <c r="X137" s="71">
        <f t="shared" si="53"/>
        <v>0.76009142581983724</v>
      </c>
      <c r="Y137" s="71">
        <f t="shared" si="53"/>
        <v>0.79978742184890228</v>
      </c>
      <c r="Z137" s="71">
        <f t="shared" si="53"/>
        <v>0.84037869642862861</v>
      </c>
      <c r="AA137" s="71">
        <f t="shared" si="53"/>
        <v>0.88188544110888167</v>
      </c>
      <c r="AB137" s="71">
        <f t="shared" si="53"/>
        <v>0.92432830282705458</v>
      </c>
      <c r="AC137" s="71">
        <f t="shared" si="53"/>
        <v>0.9677283941785928</v>
      </c>
      <c r="AD137" s="71">
        <f t="shared" si="53"/>
        <v>1.0121073039191528</v>
      </c>
      <c r="AE137" s="71">
        <f t="shared" si="53"/>
        <v>1.0574871077036199</v>
      </c>
      <c r="AF137" s="71">
        <f t="shared" si="53"/>
        <v>1.1038903790673289</v>
      </c>
      <c r="AG137" s="71">
        <f t="shared" si="53"/>
        <v>1.1513402006549454</v>
      </c>
      <c r="AH137" s="71">
        <f t="shared" si="53"/>
        <v>1.1998601757025984</v>
      </c>
      <c r="AI137" s="71">
        <f t="shared" si="53"/>
        <v>1.2494744397789734</v>
      </c>
      <c r="AJ137" s="71">
        <f t="shared" si="53"/>
        <v>1.3002076727912053</v>
      </c>
      <c r="AK137" s="71">
        <f t="shared" si="53"/>
        <v>1.3520851112615468</v>
      </c>
    </row>
    <row r="138" spans="1:37" x14ac:dyDescent="0.25">
      <c r="A138" s="1" t="s">
        <v>29</v>
      </c>
      <c r="B138">
        <v>0</v>
      </c>
      <c r="C138" s="71">
        <f t="shared" si="49"/>
        <v>3.8208631291911654E-3</v>
      </c>
      <c r="D138" s="71">
        <f t="shared" si="53"/>
        <v>7.6563252534342929E-3</v>
      </c>
      <c r="E138" s="71">
        <f t="shared" si="53"/>
        <v>1.1506442153491392E-2</v>
      </c>
      <c r="F138" s="71">
        <f t="shared" si="53"/>
        <v>1.5371269823255096E-2</v>
      </c>
      <c r="G138" s="71">
        <f t="shared" si="53"/>
        <v>1.9250864470562679E-2</v>
      </c>
      <c r="H138" s="71">
        <f t="shared" si="53"/>
        <v>2.3687957894647393E-2</v>
      </c>
      <c r="I138" s="71">
        <f t="shared" si="53"/>
        <v>2.868940506736295E-2</v>
      </c>
      <c r="J138" s="71">
        <f t="shared" si="53"/>
        <v>3.4262988581827303E-2</v>
      </c>
      <c r="K138" s="71">
        <f t="shared" si="53"/>
        <v>4.0417438771347403E-2</v>
      </c>
      <c r="L138" s="71">
        <f t="shared" si="53"/>
        <v>4.7162456428222033E-2</v>
      </c>
      <c r="M138" s="71">
        <f t="shared" si="53"/>
        <v>5.4508738204932738E-2</v>
      </c>
      <c r="N138" s="71">
        <f t="shared" si="53"/>
        <v>6.2468004790545928E-2</v>
      </c>
      <c r="O138" s="71">
        <f t="shared" si="53"/>
        <v>7.0487346672157836E-2</v>
      </c>
      <c r="P138" s="71">
        <f t="shared" si="53"/>
        <v>7.8567217288681546E-2</v>
      </c>
      <c r="Q138" s="71">
        <f t="shared" si="53"/>
        <v>8.670807350151577E-2</v>
      </c>
      <c r="R138" s="71">
        <f t="shared" si="53"/>
        <v>9.491037562037774E-2</v>
      </c>
      <c r="S138" s="71">
        <f t="shared" si="53"/>
        <v>0.10317458742932994</v>
      </c>
      <c r="T138" s="71">
        <f t="shared" si="53"/>
        <v>0.11150117621300448</v>
      </c>
      <c r="U138" s="71">
        <f t="shared" si="53"/>
        <v>0.11989061278302438</v>
      </c>
      <c r="V138" s="71">
        <f t="shared" si="53"/>
        <v>0.12834337150462516</v>
      </c>
      <c r="W138" s="71">
        <f t="shared" si="53"/>
        <v>0.13685993032347654</v>
      </c>
      <c r="X138" s="71">
        <f t="shared" si="53"/>
        <v>0.14544077079270723</v>
      </c>
      <c r="Y138" s="71">
        <f t="shared" si="53"/>
        <v>0.15408637810013359</v>
      </c>
      <c r="Z138" s="71">
        <f t="shared" si="53"/>
        <v>0.16279724109569349</v>
      </c>
      <c r="AA138" s="71">
        <f t="shared" si="53"/>
        <v>0.17157385231908728</v>
      </c>
      <c r="AB138" s="71">
        <f t="shared" si="53"/>
        <v>0.18041670802762799</v>
      </c>
      <c r="AC138" s="71">
        <f t="shared" si="53"/>
        <v>0.18932630822430085</v>
      </c>
      <c r="AD138" s="71">
        <f t="shared" si="53"/>
        <v>0.19830315668603538</v>
      </c>
      <c r="AE138" s="71">
        <f t="shared" si="53"/>
        <v>0.2073477609921901</v>
      </c>
      <c r="AF138" s="71">
        <f t="shared" si="53"/>
        <v>0.21646063255325321</v>
      </c>
      <c r="AG138" s="71">
        <f t="shared" si="53"/>
        <v>0.22564228663975872</v>
      </c>
      <c r="AH138" s="71">
        <f t="shared" si="53"/>
        <v>0.23489324241142229</v>
      </c>
      <c r="AI138" s="71">
        <f t="shared" si="53"/>
        <v>0.2442140229464953</v>
      </c>
      <c r="AJ138" s="71">
        <f t="shared" ref="D138:AK142" si="54">(AI138+1)*(1+AI92)-1</f>
        <v>0.25360515527134186</v>
      </c>
      <c r="AK138" s="71">
        <f t="shared" si="54"/>
        <v>0.26306717039023853</v>
      </c>
    </row>
    <row r="139" spans="1:37" x14ac:dyDescent="0.25">
      <c r="A139" s="1" t="s">
        <v>30</v>
      </c>
      <c r="B139">
        <v>0</v>
      </c>
      <c r="C139" s="71">
        <f t="shared" si="49"/>
        <v>0</v>
      </c>
      <c r="D139" s="71">
        <f t="shared" si="54"/>
        <v>0</v>
      </c>
      <c r="E139" s="71">
        <f t="shared" si="54"/>
        <v>0</v>
      </c>
      <c r="F139" s="71">
        <f t="shared" si="54"/>
        <v>0</v>
      </c>
      <c r="G139" s="71">
        <f t="shared" si="54"/>
        <v>0</v>
      </c>
      <c r="H139" s="71">
        <f t="shared" si="54"/>
        <v>2.4285714285714466E-3</v>
      </c>
      <c r="I139" s="71">
        <f t="shared" si="54"/>
        <v>7.2975102040817585E-3</v>
      </c>
      <c r="J139" s="71">
        <f t="shared" si="54"/>
        <v>1.4636392064140136E-2</v>
      </c>
      <c r="K139" s="71">
        <f t="shared" si="54"/>
        <v>2.4492859872763395E-2</v>
      </c>
      <c r="L139" s="71">
        <f t="shared" si="54"/>
        <v>3.6933130314075635E-2</v>
      </c>
      <c r="M139" s="71">
        <f t="shared" si="54"/>
        <v>5.2042727355795071E-2</v>
      </c>
      <c r="N139" s="71">
        <f t="shared" si="54"/>
        <v>6.9927453720843413E-2</v>
      </c>
      <c r="O139" s="71">
        <f t="shared" si="54"/>
        <v>8.8116220434097725E-2</v>
      </c>
      <c r="P139" s="71">
        <f t="shared" si="54"/>
        <v>0.10661419618147727</v>
      </c>
      <c r="Q139" s="71">
        <f t="shared" si="54"/>
        <v>0.12542663751656224</v>
      </c>
      <c r="R139" s="71">
        <f t="shared" si="54"/>
        <v>0.14455889035434377</v>
      </c>
      <c r="S139" s="71">
        <f t="shared" si="54"/>
        <v>0.1640163914903674</v>
      </c>
      <c r="T139" s="71">
        <f t="shared" si="54"/>
        <v>0.18380467014570345</v>
      </c>
      <c r="U139" s="71">
        <f t="shared" si="54"/>
        <v>0.2039293495381802</v>
      </c>
      <c r="V139" s="71">
        <f t="shared" si="54"/>
        <v>0.22439614848032918</v>
      </c>
      <c r="W139" s="71">
        <f t="shared" si="54"/>
        <v>0.24521088300449456</v>
      </c>
      <c r="X139" s="71">
        <f t="shared" si="54"/>
        <v>0.26637946801557089</v>
      </c>
      <c r="Y139" s="71">
        <f t="shared" si="54"/>
        <v>0.28790791897183543</v>
      </c>
      <c r="Z139" s="71">
        <f t="shared" si="54"/>
        <v>0.30980235359435659</v>
      </c>
      <c r="AA139" s="71">
        <f t="shared" si="54"/>
        <v>0.33206899360546061</v>
      </c>
      <c r="AB139" s="71">
        <f t="shared" si="54"/>
        <v>0.35471416649675325</v>
      </c>
      <c r="AC139" s="71">
        <f t="shared" si="54"/>
        <v>0.37774430732719799</v>
      </c>
      <c r="AD139" s="71">
        <f t="shared" si="54"/>
        <v>0.40116596055176013</v>
      </c>
      <c r="AE139" s="71">
        <f t="shared" si="54"/>
        <v>0.42498578188114</v>
      </c>
      <c r="AF139" s="71">
        <f t="shared" si="54"/>
        <v>0.44921054017311923</v>
      </c>
      <c r="AG139" s="71">
        <f t="shared" si="54"/>
        <v>0.47384711935606205</v>
      </c>
      <c r="AH139" s="71">
        <f t="shared" si="54"/>
        <v>0.49890252038511496</v>
      </c>
      <c r="AI139" s="71">
        <f t="shared" si="54"/>
        <v>0.52438386323166175</v>
      </c>
      <c r="AJ139" s="71">
        <f t="shared" si="54"/>
        <v>0.55029838890659977</v>
      </c>
      <c r="AK139" s="71">
        <f t="shared" si="54"/>
        <v>0.57665346151801189</v>
      </c>
    </row>
    <row r="140" spans="1:37" x14ac:dyDescent="0.25">
      <c r="A140" s="1" t="s">
        <v>31</v>
      </c>
      <c r="B140">
        <v>0</v>
      </c>
      <c r="C140" s="71">
        <f t="shared" si="49"/>
        <v>2.8000000000000025E-2</v>
      </c>
      <c r="D140" s="71">
        <f t="shared" si="54"/>
        <v>5.6783999999999946E-2</v>
      </c>
      <c r="E140" s="71">
        <f t="shared" si="54"/>
        <v>8.6373951999999976E-2</v>
      </c>
      <c r="F140" s="71">
        <f t="shared" si="54"/>
        <v>0.11679242265599998</v>
      </c>
      <c r="G140" s="71">
        <f t="shared" si="54"/>
        <v>0.14806261049036795</v>
      </c>
      <c r="H140" s="71">
        <f t="shared" si="54"/>
        <v>0.18037237252845406</v>
      </c>
      <c r="I140" s="71">
        <f t="shared" si="54"/>
        <v>0.21376004820854466</v>
      </c>
      <c r="J140" s="71">
        <f t="shared" si="54"/>
        <v>0.24826551243618766</v>
      </c>
      <c r="K140" s="71">
        <f t="shared" si="54"/>
        <v>0.28393024136293565</v>
      </c>
      <c r="L140" s="71">
        <f t="shared" si="54"/>
        <v>0.32079738115064282</v>
      </c>
      <c r="M140" s="71">
        <f t="shared" si="54"/>
        <v>0.35891181986384724</v>
      </c>
      <c r="N140" s="71">
        <f t="shared" si="54"/>
        <v>0.39832026263989873</v>
      </c>
      <c r="O140" s="71">
        <f t="shared" si="54"/>
        <v>0.43887155025645574</v>
      </c>
      <c r="P140" s="71">
        <f t="shared" si="54"/>
        <v>0.48059882521389286</v>
      </c>
      <c r="Q140" s="71">
        <f t="shared" si="54"/>
        <v>0.52353619114509553</v>
      </c>
      <c r="R140" s="71">
        <f t="shared" si="54"/>
        <v>0.56771874068830308</v>
      </c>
      <c r="S140" s="71">
        <f t="shared" si="54"/>
        <v>0.61318258416826366</v>
      </c>
      <c r="T140" s="71">
        <f t="shared" si="54"/>
        <v>0.65996487910914325</v>
      </c>
      <c r="U140" s="71">
        <f t="shared" si="54"/>
        <v>0.70810386060330832</v>
      </c>
      <c r="V140" s="71">
        <f t="shared" si="54"/>
        <v>0.75763887256080409</v>
      </c>
      <c r="W140" s="71">
        <f t="shared" si="54"/>
        <v>0.80861039986506733</v>
      </c>
      <c r="X140" s="71">
        <f t="shared" si="54"/>
        <v>0.86106010146115408</v>
      </c>
      <c r="Y140" s="71">
        <f t="shared" si="54"/>
        <v>0.91503084440352733</v>
      </c>
      <c r="Z140" s="71">
        <f t="shared" si="54"/>
        <v>0.97056673889122935</v>
      </c>
      <c r="AA140" s="71">
        <f t="shared" si="54"/>
        <v>1.0277131743190751</v>
      </c>
      <c r="AB140" s="71">
        <f t="shared" si="54"/>
        <v>1.0865168563743279</v>
      </c>
      <c r="AC140" s="71">
        <f t="shared" si="54"/>
        <v>1.1470258452091833</v>
      </c>
      <c r="AD140" s="71">
        <f t="shared" si="54"/>
        <v>1.2092895947202495</v>
      </c>
      <c r="AE140" s="71">
        <f t="shared" si="54"/>
        <v>1.2733589929671365</v>
      </c>
      <c r="AF140" s="71">
        <f t="shared" si="54"/>
        <v>1.3392864037631833</v>
      </c>
      <c r="AG140" s="71">
        <f t="shared" si="54"/>
        <v>1.4071257094723153</v>
      </c>
      <c r="AH140" s="71">
        <f t="shared" si="54"/>
        <v>1.4769323550470124</v>
      </c>
      <c r="AI140" s="71">
        <f t="shared" si="54"/>
        <v>1.5487633933433753</v>
      </c>
      <c r="AJ140" s="71">
        <f t="shared" si="54"/>
        <v>1.622677531750333</v>
      </c>
      <c r="AK140" s="71">
        <f t="shared" si="54"/>
        <v>1.6987351801710924</v>
      </c>
    </row>
    <row r="141" spans="1:37" x14ac:dyDescent="0.25">
      <c r="A141" s="1" t="s">
        <v>32</v>
      </c>
      <c r="B141">
        <v>0</v>
      </c>
      <c r="C141" s="71">
        <f t="shared" si="49"/>
        <v>2.4000000000000021E-2</v>
      </c>
      <c r="D141" s="71">
        <f t="shared" si="54"/>
        <v>4.8575999999999953E-2</v>
      </c>
      <c r="E141" s="71">
        <f t="shared" si="54"/>
        <v>7.3741824000000067E-2</v>
      </c>
      <c r="F141" s="71">
        <f t="shared" si="54"/>
        <v>9.95116277760002E-2</v>
      </c>
      <c r="G141" s="71">
        <f t="shared" si="54"/>
        <v>0.12589990684262431</v>
      </c>
      <c r="H141" s="71">
        <f t="shared" si="54"/>
        <v>0.15259981891917818</v>
      </c>
      <c r="I141" s="71">
        <f t="shared" si="54"/>
        <v>0.17960358610528449</v>
      </c>
      <c r="J141" s="71">
        <f t="shared" si="54"/>
        <v>0.20690298338372104</v>
      </c>
      <c r="K141" s="71">
        <f t="shared" si="54"/>
        <v>0.23448933728963484</v>
      </c>
      <c r="L141" s="71">
        <f t="shared" si="54"/>
        <v>0.26235352518845789</v>
      </c>
      <c r="M141" s="71">
        <f t="shared" si="54"/>
        <v>0.29048597517837194</v>
      </c>
      <c r="N141" s="71">
        <f t="shared" si="54"/>
        <v>0.31887666663229619</v>
      </c>
      <c r="O141" s="71">
        <f t="shared" si="54"/>
        <v>0.34789195329820677</v>
      </c>
      <c r="P141" s="71">
        <f t="shared" si="54"/>
        <v>0.37754557627076735</v>
      </c>
      <c r="Q141" s="71">
        <f t="shared" si="54"/>
        <v>0.40785157894872426</v>
      </c>
      <c r="R141" s="71">
        <f t="shared" si="54"/>
        <v>0.43882431368559627</v>
      </c>
      <c r="S141" s="71">
        <f t="shared" si="54"/>
        <v>0.47047844858667931</v>
      </c>
      <c r="T141" s="71">
        <f t="shared" si="54"/>
        <v>0.50282897445558628</v>
      </c>
      <c r="U141" s="71">
        <f t="shared" si="54"/>
        <v>0.53589121189360922</v>
      </c>
      <c r="V141" s="71">
        <f t="shared" si="54"/>
        <v>0.56968081855526864</v>
      </c>
      <c r="W141" s="71">
        <f t="shared" si="54"/>
        <v>0.60421379656348462</v>
      </c>
      <c r="X141" s="71">
        <f t="shared" si="54"/>
        <v>0.63950650008788124</v>
      </c>
      <c r="Y141" s="71">
        <f t="shared" si="54"/>
        <v>0.67557564308981455</v>
      </c>
      <c r="Z141" s="71">
        <f t="shared" si="54"/>
        <v>0.71243830723779045</v>
      </c>
      <c r="AA141" s="71">
        <f t="shared" si="54"/>
        <v>0.75011194999702191</v>
      </c>
      <c r="AB141" s="71">
        <f t="shared" si="54"/>
        <v>0.78861441289695633</v>
      </c>
      <c r="AC141" s="71">
        <f t="shared" si="54"/>
        <v>0.82796392998068935</v>
      </c>
      <c r="AD141" s="71">
        <f t="shared" si="54"/>
        <v>0.86817913644026445</v>
      </c>
      <c r="AE141" s="71">
        <f t="shared" si="54"/>
        <v>0.90927907744195036</v>
      </c>
      <c r="AF141" s="71">
        <f t="shared" si="54"/>
        <v>0.95128321714567332</v>
      </c>
      <c r="AG141" s="71">
        <f t="shared" si="54"/>
        <v>0.99421144792287808</v>
      </c>
      <c r="AH141" s="71">
        <f t="shared" si="54"/>
        <v>1.0380840997771816</v>
      </c>
      <c r="AI141" s="71">
        <f t="shared" si="54"/>
        <v>1.0829219499722798</v>
      </c>
      <c r="AJ141" s="71">
        <f t="shared" si="54"/>
        <v>1.12874623287167</v>
      </c>
      <c r="AK141" s="71">
        <f t="shared" si="54"/>
        <v>1.1755786499948466</v>
      </c>
    </row>
    <row r="142" spans="1:37" x14ac:dyDescent="0.25">
      <c r="A142" s="1" t="s">
        <v>33</v>
      </c>
      <c r="B142">
        <v>0</v>
      </c>
      <c r="C142" s="71">
        <f t="shared" si="49"/>
        <v>8.0000000000000071E-3</v>
      </c>
      <c r="D142" s="71">
        <f t="shared" si="54"/>
        <v>1.6064000000000078E-2</v>
      </c>
      <c r="E142" s="71">
        <f t="shared" si="54"/>
        <v>2.4192512000000166E-2</v>
      </c>
      <c r="F142" s="71">
        <f t="shared" si="54"/>
        <v>3.2386052096000206E-2</v>
      </c>
      <c r="G142" s="71">
        <f t="shared" si="54"/>
        <v>4.064514051276813E-2</v>
      </c>
      <c r="H142" s="71">
        <f t="shared" si="54"/>
        <v>5.030827396038684E-2</v>
      </c>
      <c r="I142" s="71">
        <f t="shared" si="54"/>
        <v>6.1411532856539663E-2</v>
      </c>
      <c r="J142" s="71">
        <f t="shared" si="54"/>
        <v>7.3996841031838567E-2</v>
      </c>
      <c r="K142" s="71">
        <f t="shared" si="54"/>
        <v>8.8112228085399869E-2</v>
      </c>
      <c r="L142" s="71">
        <f t="shared" si="54"/>
        <v>0.10381213309063209</v>
      </c>
      <c r="M142" s="71">
        <f t="shared" si="54"/>
        <v>0.12115775232491344</v>
      </c>
      <c r="N142" s="71">
        <f t="shared" si="54"/>
        <v>0.14021743411443688</v>
      </c>
      <c r="O142" s="71">
        <f t="shared" si="54"/>
        <v>0.15960113049438229</v>
      </c>
      <c r="P142" s="71">
        <f t="shared" si="54"/>
        <v>0.1793143497127867</v>
      </c>
      <c r="Q142" s="71">
        <f t="shared" si="54"/>
        <v>0.19936269365790404</v>
      </c>
      <c r="R142" s="71">
        <f t="shared" si="54"/>
        <v>0.21975185945008824</v>
      </c>
      <c r="S142" s="71">
        <f t="shared" si="54"/>
        <v>0.24048764106073972</v>
      </c>
      <c r="T142" s="71">
        <f t="shared" si="54"/>
        <v>0.26157593095877218</v>
      </c>
      <c r="U142" s="71">
        <f t="shared" si="54"/>
        <v>0.28302272178507115</v>
      </c>
      <c r="V142" s="71">
        <f t="shared" si="54"/>
        <v>0.30483410805541733</v>
      </c>
      <c r="W142" s="71">
        <f t="shared" si="54"/>
        <v>0.32701628789235926</v>
      </c>
      <c r="X142" s="71">
        <f t="shared" si="54"/>
        <v>0.34957556478652929</v>
      </c>
      <c r="Y142" s="71">
        <f t="shared" si="54"/>
        <v>0.37251834938790007</v>
      </c>
      <c r="Z142" s="71">
        <f t="shared" si="54"/>
        <v>0.39585116132749421</v>
      </c>
      <c r="AA142" s="71">
        <f t="shared" si="54"/>
        <v>0.41958063107006138</v>
      </c>
      <c r="AB142" s="71">
        <f t="shared" si="54"/>
        <v>0.44371350179825231</v>
      </c>
      <c r="AC142" s="71">
        <f t="shared" si="54"/>
        <v>0.46825663132882256</v>
      </c>
      <c r="AD142" s="71">
        <f t="shared" si="54"/>
        <v>0.49321699406141239</v>
      </c>
      <c r="AE142" s="71">
        <f t="shared" si="54"/>
        <v>0.51860168296045628</v>
      </c>
      <c r="AF142" s="71">
        <f t="shared" si="54"/>
        <v>0.5444179115707839</v>
      </c>
      <c r="AG142" s="71">
        <f t="shared" si="54"/>
        <v>0.5706730160674871</v>
      </c>
      <c r="AH142" s="71">
        <f t="shared" si="54"/>
        <v>0.59737445734063432</v>
      </c>
      <c r="AI142" s="71">
        <f t="shared" si="54"/>
        <v>0.62452982311542504</v>
      </c>
      <c r="AJ142" s="71">
        <f t="shared" si="54"/>
        <v>0.65214683010838703</v>
      </c>
      <c r="AK142" s="71">
        <f t="shared" si="54"/>
        <v>0.68023332622022936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1850-4823-47EF-9EC2-7B7534AD36E4}">
  <dimension ref="A1:AQ2"/>
  <sheetViews>
    <sheetView workbookViewId="0"/>
  </sheetViews>
  <sheetFormatPr defaultRowHeight="15" x14ac:dyDescent="0.25"/>
  <cols>
    <col min="1" max="1" width="17.28515625" customWidth="1"/>
  </cols>
  <sheetData>
    <row r="1" spans="1:43" x14ac:dyDescent="0.25">
      <c r="A1" t="s">
        <v>34</v>
      </c>
      <c r="B1" t="s">
        <v>3</v>
      </c>
      <c r="C1" t="s">
        <v>40</v>
      </c>
      <c r="D1" t="s">
        <v>41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  <c r="M1" t="s">
        <v>37</v>
      </c>
      <c r="N1" t="s">
        <v>11</v>
      </c>
      <c r="O1" t="s">
        <v>42</v>
      </c>
      <c r="P1" t="s">
        <v>43</v>
      </c>
      <c r="Q1" t="s">
        <v>44</v>
      </c>
      <c r="R1" t="s">
        <v>45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46</v>
      </c>
      <c r="AA1" t="s">
        <v>47</v>
      </c>
      <c r="AB1" t="s">
        <v>48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</row>
    <row r="2" spans="1:43" x14ac:dyDescent="0.25">
      <c r="A2" t="s">
        <v>39</v>
      </c>
      <c r="B2">
        <v>187808079924.22485</v>
      </c>
      <c r="C2">
        <v>23194951866.592281</v>
      </c>
      <c r="D2">
        <v>194233182542.33197</v>
      </c>
      <c r="E2">
        <v>39890016504.301384</v>
      </c>
      <c r="F2">
        <v>50276704653.252724</v>
      </c>
      <c r="G2">
        <v>240666320965.16284</v>
      </c>
      <c r="H2">
        <v>26767287257.032196</v>
      </c>
      <c r="I2">
        <v>28192508452.980167</v>
      </c>
      <c r="J2">
        <v>93611546561.639038</v>
      </c>
      <c r="K2">
        <v>153507743559.32275</v>
      </c>
      <c r="L2">
        <v>239208645625.53159</v>
      </c>
      <c r="M2">
        <v>125000513774.84894</v>
      </c>
      <c r="N2">
        <v>77354066881.278564</v>
      </c>
      <c r="O2">
        <v>10821226552.481733</v>
      </c>
      <c r="P2">
        <v>38974140227.960175</v>
      </c>
      <c r="Q2">
        <v>30145257379.80682</v>
      </c>
      <c r="R2">
        <v>23754994427.447514</v>
      </c>
      <c r="S2">
        <v>142184049726.39093</v>
      </c>
      <c r="T2">
        <v>269789441803.75247</v>
      </c>
      <c r="U2">
        <v>54554596208.71077</v>
      </c>
      <c r="V2">
        <v>142599614120.50613</v>
      </c>
      <c r="W2">
        <v>155492087758.26208</v>
      </c>
      <c r="X2">
        <v>129947470380.60561</v>
      </c>
      <c r="Y2">
        <v>109595276829.93204</v>
      </c>
      <c r="Z2">
        <v>202754893622.36157</v>
      </c>
      <c r="AA2">
        <v>42222754048.031776</v>
      </c>
      <c r="AB2">
        <v>51188121508.188766</v>
      </c>
      <c r="AC2">
        <v>716740765589.81006</v>
      </c>
      <c r="AD2">
        <v>1787046914342.0093</v>
      </c>
      <c r="AE2">
        <v>559984354644.60352</v>
      </c>
      <c r="AF2">
        <v>469674946691.58752</v>
      </c>
      <c r="AG2">
        <v>421477904503.89636</v>
      </c>
      <c r="AH2">
        <v>272421059028.67728</v>
      </c>
      <c r="AI2">
        <v>362447611962.85498</v>
      </c>
      <c r="AJ2">
        <v>1288879555382.9473</v>
      </c>
      <c r="AK2">
        <v>2108227238342.3972</v>
      </c>
      <c r="AL2">
        <v>1972988054273.7441</v>
      </c>
      <c r="AM2">
        <v>1502139065517.6633</v>
      </c>
      <c r="AN2">
        <v>937194286282.41858</v>
      </c>
      <c r="AO2">
        <v>1243976514878.6797</v>
      </c>
      <c r="AP2">
        <v>452986694316.44147</v>
      </c>
      <c r="AQ2">
        <v>20682998307.294415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AF25-ECAC-4472-9089-144EADE28E6C}">
  <dimension ref="A1:I48"/>
  <sheetViews>
    <sheetView workbookViewId="0"/>
  </sheetViews>
  <sheetFormatPr defaultRowHeight="15" x14ac:dyDescent="0.25"/>
  <cols>
    <col min="1" max="1" width="13.140625" customWidth="1"/>
    <col min="2" max="2" width="21" customWidth="1"/>
    <col min="3" max="3" width="10.85546875" customWidth="1"/>
    <col min="4" max="4" width="13" customWidth="1"/>
    <col min="5" max="5" width="13.28515625" customWidth="1"/>
    <col min="7" max="7" width="17.140625" customWidth="1"/>
    <col min="9" max="9" width="21.28515625" customWidth="1"/>
  </cols>
  <sheetData>
    <row r="1" spans="1:9" x14ac:dyDescent="0.25">
      <c r="A1" t="s">
        <v>709</v>
      </c>
      <c r="B1" t="s">
        <v>710</v>
      </c>
      <c r="C1" t="s">
        <v>711</v>
      </c>
      <c r="D1" t="s">
        <v>712</v>
      </c>
      <c r="E1" t="s">
        <v>713</v>
      </c>
      <c r="F1" s="4" t="s">
        <v>714</v>
      </c>
      <c r="G1" s="4" t="s">
        <v>715</v>
      </c>
      <c r="I1" s="80" t="s">
        <v>727</v>
      </c>
    </row>
    <row r="2" spans="1:9" x14ac:dyDescent="0.25">
      <c r="A2" t="s">
        <v>716</v>
      </c>
      <c r="B2" t="s">
        <v>717</v>
      </c>
      <c r="C2" t="s">
        <v>718</v>
      </c>
      <c r="D2" t="s">
        <v>719</v>
      </c>
      <c r="E2" t="s">
        <v>720</v>
      </c>
      <c r="F2">
        <v>2014</v>
      </c>
      <c r="G2">
        <v>16208167.451801199</v>
      </c>
      <c r="I2">
        <f>G2*About!$A$62*About!$A$63</f>
        <v>17065790429654.971</v>
      </c>
    </row>
    <row r="3" spans="1:9" x14ac:dyDescent="0.25">
      <c r="A3" t="s">
        <v>716</v>
      </c>
      <c r="B3" t="s">
        <v>717</v>
      </c>
      <c r="C3" t="s">
        <v>718</v>
      </c>
      <c r="D3" t="s">
        <v>719</v>
      </c>
      <c r="E3" t="s">
        <v>720</v>
      </c>
      <c r="F3">
        <v>2015</v>
      </c>
      <c r="G3" s="78">
        <v>16671978.001079099</v>
      </c>
      <c r="I3">
        <f>G3*About!$A$62*About!$A$63</f>
        <v>17554142592635.627</v>
      </c>
    </row>
    <row r="4" spans="1:9" x14ac:dyDescent="0.25">
      <c r="A4" t="s">
        <v>716</v>
      </c>
      <c r="B4" t="s">
        <v>717</v>
      </c>
      <c r="C4" t="s">
        <v>718</v>
      </c>
      <c r="D4" t="s">
        <v>719</v>
      </c>
      <c r="E4" t="s">
        <v>720</v>
      </c>
      <c r="F4">
        <v>2016</v>
      </c>
      <c r="G4">
        <v>16919603.417713501</v>
      </c>
      <c r="I4">
        <f>G4*About!$A$62*About!$A$63</f>
        <v>17814870616201.863</v>
      </c>
    </row>
    <row r="5" spans="1:9" x14ac:dyDescent="0.25">
      <c r="A5" t="s">
        <v>716</v>
      </c>
      <c r="B5" t="s">
        <v>717</v>
      </c>
      <c r="C5" t="s">
        <v>718</v>
      </c>
      <c r="D5" t="s">
        <v>719</v>
      </c>
      <c r="E5" t="s">
        <v>720</v>
      </c>
      <c r="F5">
        <v>2017</v>
      </c>
      <c r="G5">
        <v>17304243.025623702</v>
      </c>
      <c r="I5">
        <f>G5*About!$A$62*About!$A$63</f>
        <v>18219862664751.477</v>
      </c>
    </row>
    <row r="6" spans="1:9" x14ac:dyDescent="0.25">
      <c r="A6" t="s">
        <v>716</v>
      </c>
      <c r="B6" t="s">
        <v>717</v>
      </c>
      <c r="C6" t="s">
        <v>718</v>
      </c>
      <c r="D6" t="s">
        <v>719</v>
      </c>
      <c r="E6" t="s">
        <v>720</v>
      </c>
      <c r="F6">
        <v>2018</v>
      </c>
      <c r="G6">
        <v>17798638.6604435</v>
      </c>
      <c r="I6">
        <f>G6*About!$A$62*About!$A$63</f>
        <v>18740418262308.145</v>
      </c>
    </row>
    <row r="7" spans="1:9" x14ac:dyDescent="0.25">
      <c r="A7" t="s">
        <v>716</v>
      </c>
      <c r="B7" t="s">
        <v>717</v>
      </c>
      <c r="C7" t="s">
        <v>718</v>
      </c>
      <c r="D7" t="s">
        <v>719</v>
      </c>
      <c r="E7" t="s">
        <v>720</v>
      </c>
      <c r="F7">
        <v>2019</v>
      </c>
      <c r="G7">
        <v>18292645.569375802</v>
      </c>
      <c r="I7">
        <f>G7*About!$A$62*About!$A$63</f>
        <v>19260564565319.313</v>
      </c>
    </row>
    <row r="8" spans="1:9" x14ac:dyDescent="0.25">
      <c r="A8" t="s">
        <v>716</v>
      </c>
      <c r="B8" t="s">
        <v>717</v>
      </c>
      <c r="C8" t="s">
        <v>718</v>
      </c>
      <c r="D8" t="s">
        <v>719</v>
      </c>
      <c r="E8" t="s">
        <v>720</v>
      </c>
      <c r="F8">
        <v>2020</v>
      </c>
      <c r="G8">
        <v>18587190</v>
      </c>
      <c r="I8">
        <f>G8*About!$A$62*About!$A$63</f>
        <v>19570694229280.551</v>
      </c>
    </row>
    <row r="9" spans="1:9" x14ac:dyDescent="0.25">
      <c r="A9" t="s">
        <v>716</v>
      </c>
      <c r="B9" t="s">
        <v>717</v>
      </c>
      <c r="C9" t="s">
        <v>718</v>
      </c>
      <c r="D9" t="s">
        <v>719</v>
      </c>
      <c r="E9" t="s">
        <v>720</v>
      </c>
      <c r="F9">
        <v>2021</v>
      </c>
      <c r="G9">
        <v>18849540</v>
      </c>
      <c r="I9">
        <f>G9*About!$A$62*About!$A$63</f>
        <v>19846925958285.945</v>
      </c>
    </row>
    <row r="10" spans="1:9" x14ac:dyDescent="0.25">
      <c r="A10" t="s">
        <v>716</v>
      </c>
      <c r="B10" t="s">
        <v>717</v>
      </c>
      <c r="C10" t="s">
        <v>718</v>
      </c>
      <c r="D10" t="s">
        <v>719</v>
      </c>
      <c r="E10" t="s">
        <v>720</v>
      </c>
      <c r="F10">
        <v>2022</v>
      </c>
      <c r="G10">
        <v>19124900</v>
      </c>
      <c r="I10">
        <f>G10*About!$A$62*About!$A$63</f>
        <v>20136856085592.691</v>
      </c>
    </row>
    <row r="11" spans="1:9" x14ac:dyDescent="0.25">
      <c r="A11" t="s">
        <v>716</v>
      </c>
      <c r="B11" t="s">
        <v>717</v>
      </c>
      <c r="C11" t="s">
        <v>718</v>
      </c>
      <c r="D11" t="s">
        <v>719</v>
      </c>
      <c r="E11" t="s">
        <v>720</v>
      </c>
      <c r="F11">
        <v>2023</v>
      </c>
      <c r="G11">
        <v>19422190</v>
      </c>
      <c r="I11">
        <f>G11*About!$A$62*About!$A$63</f>
        <v>20449876595278.277</v>
      </c>
    </row>
    <row r="12" spans="1:9" x14ac:dyDescent="0.25">
      <c r="A12" t="s">
        <v>716</v>
      </c>
      <c r="B12" t="s">
        <v>717</v>
      </c>
      <c r="C12" t="s">
        <v>718</v>
      </c>
      <c r="D12" t="s">
        <v>719</v>
      </c>
      <c r="E12" t="s">
        <v>720</v>
      </c>
      <c r="F12">
        <v>2024</v>
      </c>
      <c r="G12">
        <v>19740540</v>
      </c>
      <c r="I12">
        <f>G12*About!$A$62*About!$A$63</f>
        <v>20785071453021.242</v>
      </c>
    </row>
    <row r="13" spans="1:9" x14ac:dyDescent="0.25">
      <c r="A13" t="s">
        <v>716</v>
      </c>
      <c r="B13" t="s">
        <v>717</v>
      </c>
      <c r="C13" t="s">
        <v>718</v>
      </c>
      <c r="D13" t="s">
        <v>719</v>
      </c>
      <c r="E13" t="s">
        <v>720</v>
      </c>
      <c r="F13">
        <v>2025</v>
      </c>
      <c r="G13">
        <v>20075600</v>
      </c>
      <c r="I13">
        <f>G13*About!$A$62*About!$A$63</f>
        <v>21137860487214.293</v>
      </c>
    </row>
    <row r="14" spans="1:9" x14ac:dyDescent="0.25">
      <c r="A14" t="s">
        <v>716</v>
      </c>
      <c r="B14" t="s">
        <v>717</v>
      </c>
      <c r="C14" t="s">
        <v>718</v>
      </c>
      <c r="D14" t="s">
        <v>719</v>
      </c>
      <c r="E14" t="s">
        <v>720</v>
      </c>
      <c r="F14">
        <v>2026</v>
      </c>
      <c r="G14">
        <v>20424180</v>
      </c>
      <c r="I14">
        <f>G14*About!$A$62*About!$A$63</f>
        <v>21504884905345.414</v>
      </c>
    </row>
    <row r="15" spans="1:9" x14ac:dyDescent="0.25">
      <c r="A15" t="s">
        <v>716</v>
      </c>
      <c r="B15" t="s">
        <v>717</v>
      </c>
      <c r="C15" t="s">
        <v>718</v>
      </c>
      <c r="D15" t="s">
        <v>719</v>
      </c>
      <c r="E15" t="s">
        <v>720</v>
      </c>
      <c r="F15">
        <v>2027</v>
      </c>
      <c r="G15">
        <v>20784020</v>
      </c>
      <c r="I15">
        <f>G15*About!$A$62*About!$A$63</f>
        <v>21883765124004.84</v>
      </c>
    </row>
    <row r="16" spans="1:9" x14ac:dyDescent="0.25">
      <c r="A16" t="s">
        <v>716</v>
      </c>
      <c r="B16" t="s">
        <v>717</v>
      </c>
      <c r="C16" t="s">
        <v>718</v>
      </c>
      <c r="D16" t="s">
        <v>719</v>
      </c>
      <c r="E16" t="s">
        <v>720</v>
      </c>
      <c r="F16">
        <v>2028</v>
      </c>
      <c r="G16">
        <v>21153450</v>
      </c>
      <c r="I16">
        <f>G16*About!$A$62*About!$A$63</f>
        <v>22272742778460.578</v>
      </c>
    </row>
    <row r="17" spans="1:9" x14ac:dyDescent="0.25">
      <c r="A17" t="s">
        <v>716</v>
      </c>
      <c r="B17" t="s">
        <v>717</v>
      </c>
      <c r="C17" t="s">
        <v>718</v>
      </c>
      <c r="D17" t="s">
        <v>719</v>
      </c>
      <c r="E17" t="s">
        <v>720</v>
      </c>
      <c r="F17">
        <v>2029</v>
      </c>
      <c r="G17">
        <v>21531180</v>
      </c>
      <c r="I17">
        <f>G17*About!$A$62*About!$A$63</f>
        <v>22670459610925.633</v>
      </c>
    </row>
    <row r="18" spans="1:9" x14ac:dyDescent="0.25">
      <c r="A18" t="s">
        <v>716</v>
      </c>
      <c r="B18" t="s">
        <v>717</v>
      </c>
      <c r="C18" t="s">
        <v>718</v>
      </c>
      <c r="D18" t="s">
        <v>719</v>
      </c>
      <c r="E18" t="s">
        <v>720</v>
      </c>
      <c r="F18">
        <v>2030</v>
      </c>
      <c r="G18">
        <v>21916430</v>
      </c>
      <c r="I18">
        <f>G18*About!$A$62*About!$A$63</f>
        <v>23076094349249.734</v>
      </c>
    </row>
    <row r="19" spans="1:9" x14ac:dyDescent="0.25">
      <c r="A19" t="s">
        <v>716</v>
      </c>
      <c r="B19" t="s">
        <v>717</v>
      </c>
      <c r="C19" t="s">
        <v>718</v>
      </c>
      <c r="D19" t="s">
        <v>719</v>
      </c>
      <c r="E19" t="s">
        <v>720</v>
      </c>
      <c r="F19">
        <v>2031</v>
      </c>
      <c r="G19">
        <v>22309050</v>
      </c>
      <c r="I19">
        <f>G19*About!$A$62*About!$A$63</f>
        <v>23489489056480.902</v>
      </c>
    </row>
    <row r="20" spans="1:9" x14ac:dyDescent="0.25">
      <c r="A20" t="s">
        <v>716</v>
      </c>
      <c r="B20" t="s">
        <v>717</v>
      </c>
      <c r="C20" t="s">
        <v>718</v>
      </c>
      <c r="D20" t="s">
        <v>719</v>
      </c>
      <c r="E20" t="s">
        <v>720</v>
      </c>
      <c r="F20">
        <v>2032</v>
      </c>
      <c r="G20">
        <v>22709530</v>
      </c>
      <c r="I20">
        <f>G20*About!$A$62*About!$A$63</f>
        <v>23911159659995.598</v>
      </c>
    </row>
    <row r="21" spans="1:9" x14ac:dyDescent="0.25">
      <c r="A21" t="s">
        <v>716</v>
      </c>
      <c r="B21" t="s">
        <v>717</v>
      </c>
      <c r="C21" t="s">
        <v>718</v>
      </c>
      <c r="D21" t="s">
        <v>719</v>
      </c>
      <c r="E21" t="s">
        <v>720</v>
      </c>
      <c r="F21">
        <v>2033</v>
      </c>
      <c r="G21">
        <v>23118740</v>
      </c>
      <c r="I21">
        <f>G21*About!$A$62*About!$A$63</f>
        <v>24342022194115.273</v>
      </c>
    </row>
    <row r="22" spans="1:9" x14ac:dyDescent="0.25">
      <c r="A22" t="s">
        <v>716</v>
      </c>
      <c r="B22" t="s">
        <v>717</v>
      </c>
      <c r="C22" t="s">
        <v>718</v>
      </c>
      <c r="D22" t="s">
        <v>719</v>
      </c>
      <c r="E22" t="s">
        <v>720</v>
      </c>
      <c r="F22">
        <v>2034</v>
      </c>
      <c r="G22">
        <v>23537610</v>
      </c>
      <c r="I22">
        <f>G22*About!$A$62*About!$A$63</f>
        <v>24783055867942.18</v>
      </c>
    </row>
    <row r="23" spans="1:9" x14ac:dyDescent="0.25">
      <c r="A23" t="s">
        <v>716</v>
      </c>
      <c r="B23" t="s">
        <v>717</v>
      </c>
      <c r="C23" t="s">
        <v>718</v>
      </c>
      <c r="D23" t="s">
        <v>719</v>
      </c>
      <c r="E23" t="s">
        <v>720</v>
      </c>
      <c r="F23">
        <v>2035</v>
      </c>
      <c r="G23">
        <v>23967030</v>
      </c>
      <c r="I23">
        <f>G23*About!$A$62*About!$A$63</f>
        <v>25235197774058.039</v>
      </c>
    </row>
    <row r="24" spans="1:9" x14ac:dyDescent="0.25">
      <c r="A24" t="s">
        <v>716</v>
      </c>
      <c r="B24" t="s">
        <v>717</v>
      </c>
      <c r="C24" t="s">
        <v>718</v>
      </c>
      <c r="D24" t="s">
        <v>719</v>
      </c>
      <c r="E24" t="s">
        <v>720</v>
      </c>
      <c r="F24">
        <v>2036</v>
      </c>
      <c r="G24">
        <v>24407860</v>
      </c>
      <c r="I24">
        <f>G24*About!$A$62*About!$A$63</f>
        <v>25699353417654.18</v>
      </c>
    </row>
    <row r="25" spans="1:9" x14ac:dyDescent="0.25">
      <c r="A25" t="s">
        <v>716</v>
      </c>
      <c r="B25" t="s">
        <v>717</v>
      </c>
      <c r="C25" t="s">
        <v>718</v>
      </c>
      <c r="D25" t="s">
        <v>719</v>
      </c>
      <c r="E25" t="s">
        <v>720</v>
      </c>
      <c r="F25">
        <v>2037</v>
      </c>
      <c r="G25">
        <v>24861010</v>
      </c>
      <c r="I25">
        <f>G25*About!$A$62*About!$A$63</f>
        <v>26176480949572.586</v>
      </c>
    </row>
    <row r="26" spans="1:9" x14ac:dyDescent="0.25">
      <c r="A26" t="s">
        <v>716</v>
      </c>
      <c r="B26" t="s">
        <v>717</v>
      </c>
      <c r="C26" t="s">
        <v>718</v>
      </c>
      <c r="D26" t="s">
        <v>719</v>
      </c>
      <c r="E26" t="s">
        <v>720</v>
      </c>
      <c r="F26">
        <v>2038</v>
      </c>
      <c r="G26">
        <v>25327180</v>
      </c>
      <c r="I26">
        <f>G26*About!$A$62*About!$A$63</f>
        <v>26667317408922.48</v>
      </c>
    </row>
    <row r="27" spans="1:9" x14ac:dyDescent="0.25">
      <c r="A27" t="s">
        <v>716</v>
      </c>
      <c r="B27" t="s">
        <v>717</v>
      </c>
      <c r="C27" t="s">
        <v>718</v>
      </c>
      <c r="D27" t="s">
        <v>719</v>
      </c>
      <c r="E27" t="s">
        <v>720</v>
      </c>
      <c r="F27">
        <v>2039</v>
      </c>
      <c r="G27">
        <v>25806800</v>
      </c>
      <c r="I27">
        <f>G27*About!$A$62*About!$A$63</f>
        <v>27172315548299.516</v>
      </c>
    </row>
    <row r="28" spans="1:9" x14ac:dyDescent="0.25">
      <c r="A28" t="s">
        <v>716</v>
      </c>
      <c r="B28" t="s">
        <v>717</v>
      </c>
      <c r="C28" t="s">
        <v>718</v>
      </c>
      <c r="D28" t="s">
        <v>719</v>
      </c>
      <c r="E28" t="s">
        <v>720</v>
      </c>
      <c r="F28">
        <v>2040</v>
      </c>
      <c r="G28">
        <v>26300140</v>
      </c>
      <c r="I28">
        <f>G28*About!$A$62*About!$A$63</f>
        <v>27691759654217.266</v>
      </c>
    </row>
    <row r="29" spans="1:9" x14ac:dyDescent="0.25">
      <c r="A29" t="s">
        <v>716</v>
      </c>
      <c r="B29" t="s">
        <v>717</v>
      </c>
      <c r="C29" t="s">
        <v>718</v>
      </c>
      <c r="D29" t="s">
        <v>719</v>
      </c>
      <c r="E29" t="s">
        <v>720</v>
      </c>
      <c r="F29">
        <v>2041</v>
      </c>
      <c r="G29">
        <v>26807420</v>
      </c>
      <c r="I29">
        <f>G29*About!$A$62*About!$A$63</f>
        <v>28225881367538.613</v>
      </c>
    </row>
    <row r="30" spans="1:9" x14ac:dyDescent="0.25">
      <c r="A30" t="s">
        <v>716</v>
      </c>
      <c r="B30" t="s">
        <v>717</v>
      </c>
      <c r="C30" t="s">
        <v>718</v>
      </c>
      <c r="D30" t="s">
        <v>719</v>
      </c>
      <c r="E30" t="s">
        <v>720</v>
      </c>
      <c r="F30">
        <v>2042</v>
      </c>
      <c r="G30">
        <v>27328940</v>
      </c>
      <c r="I30">
        <f>G30*About!$A$62*About!$A$63</f>
        <v>28774996562167.52</v>
      </c>
    </row>
    <row r="31" spans="1:9" x14ac:dyDescent="0.25">
      <c r="A31" t="s">
        <v>716</v>
      </c>
      <c r="B31" t="s">
        <v>717</v>
      </c>
      <c r="C31" t="s">
        <v>718</v>
      </c>
      <c r="D31" t="s">
        <v>719</v>
      </c>
      <c r="E31" t="s">
        <v>720</v>
      </c>
      <c r="F31">
        <v>2043</v>
      </c>
      <c r="G31">
        <v>27864750</v>
      </c>
      <c r="I31">
        <f>G31*About!$A$62*About!$A$63</f>
        <v>29339157883754.633</v>
      </c>
    </row>
    <row r="32" spans="1:9" x14ac:dyDescent="0.25">
      <c r="A32" t="s">
        <v>716</v>
      </c>
      <c r="B32" t="s">
        <v>717</v>
      </c>
      <c r="C32" t="s">
        <v>718</v>
      </c>
      <c r="D32" t="s">
        <v>719</v>
      </c>
      <c r="E32" t="s">
        <v>720</v>
      </c>
      <c r="F32">
        <v>2044</v>
      </c>
      <c r="G32">
        <v>28414590</v>
      </c>
      <c r="I32">
        <f>G32*About!$A$62*About!$A$63</f>
        <v>29918091574916.535</v>
      </c>
    </row>
    <row r="33" spans="1:9" x14ac:dyDescent="0.25">
      <c r="A33" t="s">
        <v>716</v>
      </c>
      <c r="B33" t="s">
        <v>717</v>
      </c>
      <c r="C33" t="s">
        <v>718</v>
      </c>
      <c r="D33" t="s">
        <v>719</v>
      </c>
      <c r="E33" t="s">
        <v>720</v>
      </c>
      <c r="F33">
        <v>2045</v>
      </c>
      <c r="G33">
        <v>28978050</v>
      </c>
      <c r="I33">
        <f>G33*About!$A$62*About!$A$63</f>
        <v>30511365941317.828</v>
      </c>
    </row>
    <row r="34" spans="1:9" x14ac:dyDescent="0.25">
      <c r="A34" t="s">
        <v>716</v>
      </c>
      <c r="B34" t="s">
        <v>717</v>
      </c>
      <c r="C34" t="s">
        <v>718</v>
      </c>
      <c r="D34" t="s">
        <v>719</v>
      </c>
      <c r="E34" t="s">
        <v>720</v>
      </c>
      <c r="F34">
        <v>2046</v>
      </c>
      <c r="G34">
        <v>29554850</v>
      </c>
      <c r="I34">
        <f>G34*About!$A$62*About!$A$63</f>
        <v>31118686167314.816</v>
      </c>
    </row>
    <row r="35" spans="1:9" x14ac:dyDescent="0.25">
      <c r="A35" t="s">
        <v>716</v>
      </c>
      <c r="B35" t="s">
        <v>717</v>
      </c>
      <c r="C35" t="s">
        <v>718</v>
      </c>
      <c r="D35" t="s">
        <v>719</v>
      </c>
      <c r="E35" t="s">
        <v>720</v>
      </c>
      <c r="F35">
        <v>2047</v>
      </c>
      <c r="G35">
        <v>30144870</v>
      </c>
      <c r="I35">
        <f>G35*About!$A$62*About!$A$63</f>
        <v>31739925903345.926</v>
      </c>
    </row>
    <row r="36" spans="1:9" x14ac:dyDescent="0.25">
      <c r="A36" t="s">
        <v>716</v>
      </c>
      <c r="B36" t="s">
        <v>717</v>
      </c>
      <c r="C36" t="s">
        <v>718</v>
      </c>
      <c r="D36" t="s">
        <v>719</v>
      </c>
      <c r="E36" t="s">
        <v>720</v>
      </c>
      <c r="F36">
        <v>2048</v>
      </c>
      <c r="G36">
        <v>30747840</v>
      </c>
      <c r="I36">
        <f>G36*About!$A$62*About!$A$63</f>
        <v>32374800862897.605</v>
      </c>
    </row>
    <row r="37" spans="1:9" x14ac:dyDescent="0.25">
      <c r="A37" t="s">
        <v>716</v>
      </c>
      <c r="B37" t="s">
        <v>717</v>
      </c>
      <c r="C37" t="s">
        <v>718</v>
      </c>
      <c r="D37" t="s">
        <v>719</v>
      </c>
      <c r="E37" t="s">
        <v>720</v>
      </c>
      <c r="F37">
        <v>2049</v>
      </c>
      <c r="G37">
        <v>31363330</v>
      </c>
      <c r="I37">
        <f>G37*About!$A$62*About!$A$63</f>
        <v>33022858293374.176</v>
      </c>
    </row>
    <row r="38" spans="1:9" x14ac:dyDescent="0.25">
      <c r="A38" t="s">
        <v>716</v>
      </c>
      <c r="B38" t="s">
        <v>717</v>
      </c>
      <c r="C38" t="s">
        <v>718</v>
      </c>
      <c r="D38" t="s">
        <v>719</v>
      </c>
      <c r="E38" t="s">
        <v>720</v>
      </c>
      <c r="F38">
        <v>2050</v>
      </c>
      <c r="G38">
        <v>31990910</v>
      </c>
      <c r="I38">
        <f>G38*About!$A$62*About!$A$63</f>
        <v>33683645442179.992</v>
      </c>
    </row>
    <row r="39" spans="1:9" x14ac:dyDescent="0.25">
      <c r="A39" t="s">
        <v>716</v>
      </c>
      <c r="B39" t="s">
        <v>717</v>
      </c>
      <c r="C39" t="s">
        <v>718</v>
      </c>
      <c r="D39" t="s">
        <v>719</v>
      </c>
      <c r="E39" t="s">
        <v>720</v>
      </c>
      <c r="F39">
        <v>2051</v>
      </c>
      <c r="G39">
        <v>32630430</v>
      </c>
      <c r="I39">
        <f>G39*About!$A$62*About!$A$63</f>
        <v>34357004372363.063</v>
      </c>
    </row>
    <row r="40" spans="1:9" x14ac:dyDescent="0.25">
      <c r="A40" t="s">
        <v>716</v>
      </c>
      <c r="B40" t="s">
        <v>717</v>
      </c>
      <c r="C40" t="s">
        <v>718</v>
      </c>
      <c r="D40" t="s">
        <v>719</v>
      </c>
      <c r="E40" t="s">
        <v>720</v>
      </c>
      <c r="F40">
        <v>2052</v>
      </c>
      <c r="G40">
        <v>33282110</v>
      </c>
      <c r="I40">
        <f>G40*About!$A$62*About!$A$63</f>
        <v>35043166724786.297</v>
      </c>
    </row>
    <row r="41" spans="1:9" x14ac:dyDescent="0.25">
      <c r="A41" t="s">
        <v>716</v>
      </c>
      <c r="B41" t="s">
        <v>717</v>
      </c>
      <c r="C41" t="s">
        <v>718</v>
      </c>
      <c r="D41" t="s">
        <v>719</v>
      </c>
      <c r="E41" t="s">
        <v>720</v>
      </c>
      <c r="F41">
        <v>2053</v>
      </c>
      <c r="G41">
        <v>33946130</v>
      </c>
      <c r="I41">
        <f>G41*About!$A$62*About!$A$63</f>
        <v>35742322023792.047</v>
      </c>
    </row>
    <row r="42" spans="1:9" x14ac:dyDescent="0.25">
      <c r="A42" t="s">
        <v>716</v>
      </c>
      <c r="B42" t="s">
        <v>717</v>
      </c>
      <c r="C42" t="s">
        <v>718</v>
      </c>
      <c r="D42" t="s">
        <v>719</v>
      </c>
      <c r="E42" t="s">
        <v>720</v>
      </c>
      <c r="F42">
        <v>2054</v>
      </c>
      <c r="G42">
        <v>34622620</v>
      </c>
      <c r="I42">
        <f>G42*About!$A$62*About!$A$63</f>
        <v>36454607148072.055</v>
      </c>
    </row>
    <row r="43" spans="1:9" x14ac:dyDescent="0.25">
      <c r="A43" t="s">
        <v>716</v>
      </c>
      <c r="B43" t="s">
        <v>717</v>
      </c>
      <c r="C43" t="s">
        <v>718</v>
      </c>
      <c r="D43" t="s">
        <v>719</v>
      </c>
      <c r="E43" t="s">
        <v>720</v>
      </c>
      <c r="F43">
        <v>2055</v>
      </c>
      <c r="G43">
        <v>35311770</v>
      </c>
      <c r="I43">
        <f>G43*About!$A$62*About!$A$63</f>
        <v>37180222151098.805</v>
      </c>
    </row>
    <row r="44" spans="1:9" x14ac:dyDescent="0.25">
      <c r="A44" t="s">
        <v>716</v>
      </c>
      <c r="B44" t="s">
        <v>717</v>
      </c>
      <c r="C44" t="s">
        <v>718</v>
      </c>
      <c r="D44" t="s">
        <v>719</v>
      </c>
      <c r="E44" t="s">
        <v>720</v>
      </c>
      <c r="F44">
        <v>2056</v>
      </c>
      <c r="G44">
        <v>36014100</v>
      </c>
      <c r="I44">
        <f>G44*About!$A$62*About!$A$63</f>
        <v>37919714547639.141</v>
      </c>
    </row>
    <row r="45" spans="1:9" x14ac:dyDescent="0.25">
      <c r="A45" t="s">
        <v>716</v>
      </c>
      <c r="B45" t="s">
        <v>717</v>
      </c>
      <c r="C45" t="s">
        <v>718</v>
      </c>
      <c r="D45" t="s">
        <v>719</v>
      </c>
      <c r="E45" t="s">
        <v>720</v>
      </c>
      <c r="F45">
        <v>2057</v>
      </c>
      <c r="G45">
        <v>36730540</v>
      </c>
      <c r="I45">
        <f>G45*About!$A$62*About!$A$63</f>
        <v>38674063546795.313</v>
      </c>
    </row>
    <row r="46" spans="1:9" x14ac:dyDescent="0.25">
      <c r="A46" t="s">
        <v>716</v>
      </c>
      <c r="B46" t="s">
        <v>717</v>
      </c>
      <c r="C46" t="s">
        <v>718</v>
      </c>
      <c r="D46" t="s">
        <v>719</v>
      </c>
      <c r="E46" t="s">
        <v>720</v>
      </c>
      <c r="F46">
        <v>2058</v>
      </c>
      <c r="G46">
        <v>37462060</v>
      </c>
      <c r="I46">
        <f>G46*About!$A$62*About!$A$63</f>
        <v>39444290474190.117</v>
      </c>
    </row>
    <row r="47" spans="1:9" x14ac:dyDescent="0.25">
      <c r="A47" t="s">
        <v>716</v>
      </c>
      <c r="B47" t="s">
        <v>717</v>
      </c>
      <c r="C47" t="s">
        <v>718</v>
      </c>
      <c r="D47" t="s">
        <v>719</v>
      </c>
      <c r="E47" t="s">
        <v>720</v>
      </c>
      <c r="F47">
        <v>2059</v>
      </c>
      <c r="G47">
        <v>38209630</v>
      </c>
      <c r="I47">
        <f>G47*About!$A$62*About!$A$63</f>
        <v>40231416655446.305</v>
      </c>
    </row>
    <row r="48" spans="1:9" x14ac:dyDescent="0.25">
      <c r="A48" t="s">
        <v>716</v>
      </c>
      <c r="B48" t="s">
        <v>717</v>
      </c>
      <c r="C48" t="s">
        <v>718</v>
      </c>
      <c r="D48" t="s">
        <v>719</v>
      </c>
      <c r="E48" t="s">
        <v>720</v>
      </c>
      <c r="F48">
        <v>2060</v>
      </c>
      <c r="G48">
        <v>38974320</v>
      </c>
      <c r="I48">
        <f>G48*About!$A$62*About!$A$63</f>
        <v>41036568707487.984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FE70-F863-4AE1-83A0-BF9DD1AEC782}">
  <sheetPr>
    <tabColor rgb="FF92D050"/>
  </sheetPr>
  <dimension ref="A1:AK101"/>
  <sheetViews>
    <sheetView zoomScaleNormal="100" workbookViewId="0"/>
  </sheetViews>
  <sheetFormatPr defaultRowHeight="15" x14ac:dyDescent="0.25"/>
  <cols>
    <col min="1" max="1" width="13.28515625" customWidth="1"/>
    <col min="2" max="2" width="22" customWidth="1"/>
    <col min="3" max="3" width="14.7109375" customWidth="1"/>
    <col min="4" max="4" width="17.28515625" customWidth="1"/>
    <col min="6" max="6" width="11.7109375" customWidth="1"/>
    <col min="7" max="7" width="13.85546875" customWidth="1"/>
  </cols>
  <sheetData>
    <row r="1" spans="1:7" x14ac:dyDescent="0.25">
      <c r="A1" t="s">
        <v>668</v>
      </c>
    </row>
    <row r="2" spans="1:7" x14ac:dyDescent="0.25">
      <c r="A2" t="s">
        <v>669</v>
      </c>
    </row>
    <row r="4" spans="1:7" s="8" customFormat="1" ht="30" x14ac:dyDescent="0.25">
      <c r="B4" s="75" t="s">
        <v>670</v>
      </c>
      <c r="C4" s="75" t="s">
        <v>671</v>
      </c>
      <c r="D4" s="75" t="s">
        <v>672</v>
      </c>
      <c r="F4" s="75" t="s">
        <v>677</v>
      </c>
      <c r="G4" s="75" t="s">
        <v>678</v>
      </c>
    </row>
    <row r="5" spans="1:7" x14ac:dyDescent="0.25">
      <c r="A5" s="1" t="s">
        <v>3</v>
      </c>
      <c r="B5">
        <f t="array" ref="B5:B46">TRANSPOSE('Data from BVAbIC'!B2:AQ2)</f>
        <v>187808079924.22485</v>
      </c>
      <c r="C5" s="72">
        <f>'Growth Rates'!AK101</f>
        <v>0.32585420981252211</v>
      </c>
      <c r="D5">
        <f>$B5*(1+C5)</f>
        <v>249006133404.34015</v>
      </c>
      <c r="F5">
        <f>C5*$D$54</f>
        <v>0.27231715326089012</v>
      </c>
      <c r="G5">
        <f>$B5*(1+F5)</f>
        <v>238951441608.5835</v>
      </c>
    </row>
    <row r="6" spans="1:7" x14ac:dyDescent="0.25">
      <c r="A6" s="1" t="s">
        <v>40</v>
      </c>
      <c r="B6">
        <v>23194951866.592281</v>
      </c>
      <c r="C6" s="72">
        <f>'Growth Rates'!AK102</f>
        <v>-0.1467185181126216</v>
      </c>
      <c r="D6">
        <f t="shared" ref="D6:D46" si="0">$B6*(1+C6)</f>
        <v>19791822901.032276</v>
      </c>
      <c r="F6">
        <f t="shared" ref="F6:F46" si="1">C6*$D$54</f>
        <v>-0.12261302134495267</v>
      </c>
      <c r="G6">
        <f t="shared" ref="G6:G46" si="2">$B6*(1+F6)</f>
        <v>20350948738.278652</v>
      </c>
    </row>
    <row r="7" spans="1:7" x14ac:dyDescent="0.25">
      <c r="A7" s="1" t="s">
        <v>41</v>
      </c>
      <c r="B7">
        <v>194233182542.33197</v>
      </c>
      <c r="C7" s="72">
        <f>'Growth Rates'!AK103</f>
        <v>2.7859471315839754</v>
      </c>
      <c r="D7">
        <f t="shared" si="0"/>
        <v>735356560304.56836</v>
      </c>
      <c r="F7">
        <f t="shared" si="1"/>
        <v>2.3282227731376586</v>
      </c>
      <c r="G7">
        <f t="shared" si="2"/>
        <v>646451301436.39319</v>
      </c>
    </row>
    <row r="8" spans="1:7" x14ac:dyDescent="0.25">
      <c r="A8" s="1" t="s">
        <v>4</v>
      </c>
      <c r="B8">
        <v>39890016504.301384</v>
      </c>
      <c r="C8" s="72">
        <f>'Growth Rates'!AK104</f>
        <v>0.15693270302600837</v>
      </c>
      <c r="D8">
        <f t="shared" si="0"/>
        <v>46150064618.073486</v>
      </c>
      <c r="F8">
        <f t="shared" si="1"/>
        <v>0.13114904044408945</v>
      </c>
      <c r="G8">
        <f t="shared" si="2"/>
        <v>45121553892.139397</v>
      </c>
    </row>
    <row r="9" spans="1:7" x14ac:dyDescent="0.25">
      <c r="A9" s="1" t="s">
        <v>5</v>
      </c>
      <c r="B9">
        <v>50276704653.252724</v>
      </c>
      <c r="C9" s="72">
        <f>'Growth Rates'!AK105</f>
        <v>1.1476142603749553</v>
      </c>
      <c r="D9">
        <f t="shared" si="0"/>
        <v>107974967877.98543</v>
      </c>
      <c r="F9">
        <f t="shared" si="1"/>
        <v>0.95906402009264524</v>
      </c>
      <c r="G9">
        <f t="shared" si="2"/>
        <v>98495283135.011887</v>
      </c>
    </row>
    <row r="10" spans="1:7" x14ac:dyDescent="0.25">
      <c r="A10" s="1" t="s">
        <v>6</v>
      </c>
      <c r="B10">
        <v>240666320965.16284</v>
      </c>
      <c r="C10" s="72">
        <f>'Growth Rates'!AK106</f>
        <v>0.23217590275031474</v>
      </c>
      <c r="D10">
        <f t="shared" si="0"/>
        <v>296543241296.8465</v>
      </c>
      <c r="F10">
        <f t="shared" si="1"/>
        <v>0.19402996490092703</v>
      </c>
      <c r="G10">
        <f t="shared" si="2"/>
        <v>287362798774.86859</v>
      </c>
    </row>
    <row r="11" spans="1:7" x14ac:dyDescent="0.25">
      <c r="A11" s="1" t="s">
        <v>7</v>
      </c>
      <c r="B11">
        <v>26767287257.032196</v>
      </c>
      <c r="C11" s="72">
        <f>'Growth Rates'!AK107</f>
        <v>-0.11583294841699487</v>
      </c>
      <c r="D11">
        <f t="shared" si="0"/>
        <v>23666753452.925503</v>
      </c>
      <c r="F11">
        <f t="shared" si="1"/>
        <v>-9.6801875860004341E-2</v>
      </c>
      <c r="G11">
        <f t="shared" si="2"/>
        <v>24176163638.867889</v>
      </c>
    </row>
    <row r="12" spans="1:7" x14ac:dyDescent="0.25">
      <c r="A12" s="1" t="s">
        <v>8</v>
      </c>
      <c r="B12">
        <v>28192508452.980167</v>
      </c>
      <c r="C12" s="72">
        <f>'Growth Rates'!AK108</f>
        <v>6.0779488870199572E-4</v>
      </c>
      <c r="D12">
        <f t="shared" si="0"/>
        <v>28209643715.517578</v>
      </c>
      <c r="F12">
        <f t="shared" si="1"/>
        <v>5.0793566224930384E-4</v>
      </c>
      <c r="G12">
        <f t="shared" si="2"/>
        <v>28206828433.431702</v>
      </c>
    </row>
    <row r="13" spans="1:7" x14ac:dyDescent="0.25">
      <c r="A13" s="1" t="s">
        <v>9</v>
      </c>
      <c r="B13">
        <v>93611546561.639038</v>
      </c>
      <c r="C13" s="72">
        <f>'Growth Rates'!AK109</f>
        <v>-0.19240192761513897</v>
      </c>
      <c r="D13">
        <f t="shared" si="0"/>
        <v>75600504556.145355</v>
      </c>
      <c r="F13">
        <f t="shared" si="1"/>
        <v>-0.16079075743783453</v>
      </c>
      <c r="G13">
        <f t="shared" si="2"/>
        <v>78559675085.065979</v>
      </c>
    </row>
    <row r="14" spans="1:7" x14ac:dyDescent="0.25">
      <c r="A14" s="1" t="s">
        <v>10</v>
      </c>
      <c r="B14">
        <v>153507743559.32275</v>
      </c>
      <c r="C14" s="72">
        <f>'Growth Rates'!AK110</f>
        <v>0.20981903336537311</v>
      </c>
      <c r="D14">
        <f t="shared" si="0"/>
        <v>185716589927.03943</v>
      </c>
      <c r="F14">
        <f t="shared" si="1"/>
        <v>0.1753462749457301</v>
      </c>
      <c r="G14">
        <f t="shared" si="2"/>
        <v>180424754567.77441</v>
      </c>
    </row>
    <row r="15" spans="1:7" x14ac:dyDescent="0.25">
      <c r="A15" s="1" t="s">
        <v>36</v>
      </c>
      <c r="B15">
        <v>239208645625.53159</v>
      </c>
      <c r="C15" s="72">
        <f>'Growth Rates'!AK111</f>
        <v>0.51913149694263128</v>
      </c>
      <c r="D15">
        <f t="shared" si="0"/>
        <v>363389387910.73322</v>
      </c>
      <c r="F15">
        <f t="shared" si="1"/>
        <v>0.43383945076792818</v>
      </c>
      <c r="G15">
        <f t="shared" si="2"/>
        <v>342986793062.65216</v>
      </c>
    </row>
    <row r="16" spans="1:7" x14ac:dyDescent="0.25">
      <c r="A16" s="1" t="s">
        <v>37</v>
      </c>
      <c r="B16">
        <v>125000513774.84894</v>
      </c>
      <c r="C16" s="72">
        <f>'Growth Rates'!AK112</f>
        <v>0.56813399967868916</v>
      </c>
      <c r="D16">
        <f t="shared" si="0"/>
        <v>196017555627.64496</v>
      </c>
      <c r="F16">
        <f t="shared" si="1"/>
        <v>0.47479096112410796</v>
      </c>
      <c r="G16">
        <f t="shared" si="2"/>
        <v>184349627851.01675</v>
      </c>
    </row>
    <row r="17" spans="1:7" x14ac:dyDescent="0.25">
      <c r="A17" s="1" t="s">
        <v>11</v>
      </c>
      <c r="B17">
        <v>77354066881.278564</v>
      </c>
      <c r="C17" s="72">
        <f>'Growth Rates'!AK113</f>
        <v>0.63471958209522383</v>
      </c>
      <c r="D17">
        <f t="shared" si="0"/>
        <v>126452207885.52969</v>
      </c>
      <c r="F17">
        <f t="shared" si="1"/>
        <v>0.53043669380413516</v>
      </c>
      <c r="G17">
        <f t="shared" si="2"/>
        <v>118385502370.08792</v>
      </c>
    </row>
    <row r="18" spans="1:7" x14ac:dyDescent="0.25">
      <c r="A18" s="1" t="s">
        <v>42</v>
      </c>
      <c r="B18">
        <v>10821226552.481733</v>
      </c>
      <c r="C18" s="72">
        <f>'Growth Rates'!AK114</f>
        <v>9.8783653657376291E-2</v>
      </c>
      <c r="D18">
        <f t="shared" si="0"/>
        <v>11890186848.390093</v>
      </c>
      <c r="F18">
        <f t="shared" si="1"/>
        <v>8.2553738888822184E-2</v>
      </c>
      <c r="G18">
        <f t="shared" si="2"/>
        <v>11714559263.7521</v>
      </c>
    </row>
    <row r="19" spans="1:7" x14ac:dyDescent="0.25">
      <c r="A19" s="1" t="s">
        <v>43</v>
      </c>
      <c r="B19">
        <v>38974140227.960175</v>
      </c>
      <c r="C19" s="72">
        <f>'Growth Rates'!AK115</f>
        <v>0.54635956471959224</v>
      </c>
      <c r="D19">
        <f t="shared" si="0"/>
        <v>60268034518.228844</v>
      </c>
      <c r="F19">
        <f t="shared" si="1"/>
        <v>0.45659401303085728</v>
      </c>
      <c r="G19">
        <f t="shared" si="2"/>
        <v>56769499319.071877</v>
      </c>
    </row>
    <row r="20" spans="1:7" x14ac:dyDescent="0.25">
      <c r="A20" s="1" t="s">
        <v>44</v>
      </c>
      <c r="B20">
        <v>30145257379.80682</v>
      </c>
      <c r="C20" s="72">
        <f>'Growth Rates'!AK116</f>
        <v>7.7086929906864388E-3</v>
      </c>
      <c r="D20">
        <f t="shared" si="0"/>
        <v>30377637914.072975</v>
      </c>
      <c r="F20">
        <f t="shared" si="1"/>
        <v>6.4421734241017587E-3</v>
      </c>
      <c r="G20">
        <f t="shared" si="2"/>
        <v>30339458355.761719</v>
      </c>
    </row>
    <row r="21" spans="1:7" x14ac:dyDescent="0.25">
      <c r="A21" s="1" t="s">
        <v>45</v>
      </c>
      <c r="B21">
        <v>23754994427.447514</v>
      </c>
      <c r="C21" s="72">
        <f>'Growth Rates'!AK117</f>
        <v>0.45141069025087854</v>
      </c>
      <c r="D21">
        <f t="shared" si="0"/>
        <v>34478252858.847366</v>
      </c>
      <c r="F21">
        <f t="shared" si="1"/>
        <v>0.37724500840844682</v>
      </c>
      <c r="G21">
        <f t="shared" si="2"/>
        <v>32716447499.972561</v>
      </c>
    </row>
    <row r="22" spans="1:7" x14ac:dyDescent="0.25">
      <c r="A22" s="1" t="s">
        <v>12</v>
      </c>
      <c r="B22">
        <v>142184049726.39093</v>
      </c>
      <c r="C22" s="72">
        <f>'Growth Rates'!AK118</f>
        <v>0.45483906120785567</v>
      </c>
      <c r="D22">
        <f t="shared" si="0"/>
        <v>206854909422.67365</v>
      </c>
      <c r="F22">
        <f t="shared" si="1"/>
        <v>0.38011010633019365</v>
      </c>
      <c r="G22">
        <f t="shared" si="2"/>
        <v>196229643986.34692</v>
      </c>
    </row>
    <row r="23" spans="1:7" x14ac:dyDescent="0.25">
      <c r="A23" s="1" t="s">
        <v>13</v>
      </c>
      <c r="B23">
        <v>269789441803.75247</v>
      </c>
      <c r="C23" s="72">
        <f>'Growth Rates'!AK119</f>
        <v>1.0920391294273348</v>
      </c>
      <c r="D23">
        <f t="shared" si="0"/>
        <v>564410068959.80896</v>
      </c>
      <c r="F23">
        <f t="shared" si="1"/>
        <v>0.91261974840297011</v>
      </c>
      <c r="G23">
        <f t="shared" si="2"/>
        <v>516004614304.47083</v>
      </c>
    </row>
    <row r="24" spans="1:7" x14ac:dyDescent="0.25">
      <c r="A24" s="1" t="s">
        <v>14</v>
      </c>
      <c r="B24">
        <v>54554596208.71077</v>
      </c>
      <c r="C24" s="72">
        <f>'Growth Rates'!AK120</f>
        <v>1.1023308169238035</v>
      </c>
      <c r="D24">
        <f t="shared" si="0"/>
        <v>114691808814.40715</v>
      </c>
      <c r="F24">
        <f t="shared" si="1"/>
        <v>0.92122053659871417</v>
      </c>
      <c r="G24">
        <f t="shared" si="2"/>
        <v>104811410602.02548</v>
      </c>
    </row>
    <row r="25" spans="1:7" x14ac:dyDescent="0.25">
      <c r="A25" s="1" t="s">
        <v>15</v>
      </c>
      <c r="B25">
        <v>142599614120.50613</v>
      </c>
      <c r="C25" s="72">
        <f>'Growth Rates'!AK121</f>
        <v>0.72695238925003336</v>
      </c>
      <c r="D25">
        <f t="shared" si="0"/>
        <v>246262744311.54086</v>
      </c>
      <c r="F25">
        <f t="shared" si="1"/>
        <v>0.60751587438648524</v>
      </c>
      <c r="G25">
        <f t="shared" si="2"/>
        <v>229231143380.1008</v>
      </c>
    </row>
    <row r="26" spans="1:7" x14ac:dyDescent="0.25">
      <c r="A26" s="1" t="s">
        <v>16</v>
      </c>
      <c r="B26">
        <v>155492087758.26208</v>
      </c>
      <c r="C26" s="72">
        <f>'Growth Rates'!AK122</f>
        <v>1.315633383962628</v>
      </c>
      <c r="D26">
        <f t="shared" si="0"/>
        <v>360062669355.07837</v>
      </c>
      <c r="F26">
        <f t="shared" si="1"/>
        <v>1.0994780090821055</v>
      </c>
      <c r="G26">
        <f t="shared" si="2"/>
        <v>326452218834.73608</v>
      </c>
    </row>
    <row r="27" spans="1:7" x14ac:dyDescent="0.25">
      <c r="A27" s="1" t="s">
        <v>17</v>
      </c>
      <c r="B27">
        <v>129947470380.60561</v>
      </c>
      <c r="C27" s="72">
        <f>'Growth Rates'!AK123</f>
        <v>0.50772742214221189</v>
      </c>
      <c r="D27">
        <f t="shared" si="0"/>
        <v>195925364530.85193</v>
      </c>
      <c r="F27">
        <f t="shared" si="1"/>
        <v>0.42430903780499241</v>
      </c>
      <c r="G27">
        <f t="shared" si="2"/>
        <v>185085356502.99313</v>
      </c>
    </row>
    <row r="28" spans="1:7" x14ac:dyDescent="0.25">
      <c r="A28" s="1" t="s">
        <v>18</v>
      </c>
      <c r="B28">
        <v>109595276829.93204</v>
      </c>
      <c r="C28" s="72">
        <f>'Growth Rates'!AK124</f>
        <v>0.33801636673560709</v>
      </c>
      <c r="D28">
        <f t="shared" si="0"/>
        <v>146640274115.36871</v>
      </c>
      <c r="F28">
        <f t="shared" si="1"/>
        <v>0.28248109729191012</v>
      </c>
      <c r="G28">
        <f t="shared" si="2"/>
        <v>140553870886.86188</v>
      </c>
    </row>
    <row r="29" spans="1:7" x14ac:dyDescent="0.25">
      <c r="A29" s="1" t="s">
        <v>46</v>
      </c>
      <c r="B29">
        <v>202754893622.36157</v>
      </c>
      <c r="C29" s="72">
        <f>'Growth Rates'!AK125</f>
        <v>0.64070003180880342</v>
      </c>
      <c r="D29">
        <f t="shared" si="0"/>
        <v>332659960415.59918</v>
      </c>
      <c r="F29">
        <f t="shared" si="1"/>
        <v>0.53543457013097129</v>
      </c>
      <c r="G29">
        <f t="shared" si="2"/>
        <v>311316872931.00153</v>
      </c>
    </row>
    <row r="30" spans="1:7" x14ac:dyDescent="0.25">
      <c r="A30" s="1" t="s">
        <v>47</v>
      </c>
      <c r="B30">
        <v>42222754048.031776</v>
      </c>
      <c r="C30" s="72">
        <f>'Growth Rates'!AK126</f>
        <v>0.26004189345377049</v>
      </c>
      <c r="D30">
        <f t="shared" si="0"/>
        <v>53202438957.514809</v>
      </c>
      <c r="F30">
        <f t="shared" si="1"/>
        <v>0.21731764090034231</v>
      </c>
      <c r="G30">
        <f t="shared" si="2"/>
        <v>51398503350.065422</v>
      </c>
    </row>
    <row r="31" spans="1:7" x14ac:dyDescent="0.25">
      <c r="A31" s="1" t="s">
        <v>48</v>
      </c>
      <c r="B31">
        <v>51188121508.188766</v>
      </c>
      <c r="C31" s="72">
        <f>'Growth Rates'!AK127</f>
        <v>0.74206717297632552</v>
      </c>
      <c r="D31">
        <f t="shared" si="0"/>
        <v>89173146125.739044</v>
      </c>
      <c r="F31">
        <f t="shared" si="1"/>
        <v>0.62014733579637782</v>
      </c>
      <c r="G31">
        <f t="shared" si="2"/>
        <v>82932298685.9133</v>
      </c>
    </row>
    <row r="32" spans="1:7" x14ac:dyDescent="0.25">
      <c r="A32" s="1" t="s">
        <v>19</v>
      </c>
      <c r="B32">
        <v>716740765589.81006</v>
      </c>
      <c r="C32" s="72">
        <f>'Growth Rates'!AK128</f>
        <v>0.41461386567683345</v>
      </c>
      <c r="D32">
        <f t="shared" si="0"/>
        <v>1013911425099.1743</v>
      </c>
      <c r="F32">
        <f t="shared" si="1"/>
        <v>0.34649381288818792</v>
      </c>
      <c r="G32">
        <f t="shared" si="2"/>
        <v>965087006311.42236</v>
      </c>
    </row>
    <row r="33" spans="1:7" x14ac:dyDescent="0.25">
      <c r="A33" s="1" t="s">
        <v>20</v>
      </c>
      <c r="B33">
        <v>1787046914342.0093</v>
      </c>
      <c r="C33" s="72">
        <f>'Growth Rates'!AK129</f>
        <v>1.6888705109082189</v>
      </c>
      <c r="D33">
        <f t="shared" si="0"/>
        <v>4805137749583.7549</v>
      </c>
      <c r="F33">
        <f t="shared" si="1"/>
        <v>1.4113931810836395</v>
      </c>
      <c r="G33">
        <f t="shared" si="2"/>
        <v>4309272743520.8799</v>
      </c>
    </row>
    <row r="34" spans="1:7" x14ac:dyDescent="0.25">
      <c r="A34" s="1" t="s">
        <v>21</v>
      </c>
      <c r="B34">
        <v>559984354644.60352</v>
      </c>
      <c r="C34" s="72">
        <f>'Growth Rates'!AK130</f>
        <v>0.77057080303020253</v>
      </c>
      <c r="D34">
        <f t="shared" si="0"/>
        <v>991491948487.44531</v>
      </c>
      <c r="F34">
        <f t="shared" si="1"/>
        <v>0.64396788854706699</v>
      </c>
      <c r="G34">
        <f t="shared" si="2"/>
        <v>920596297124.48083</v>
      </c>
    </row>
    <row r="35" spans="1:7" x14ac:dyDescent="0.25">
      <c r="A35" s="1" t="s">
        <v>22</v>
      </c>
      <c r="B35">
        <v>469674946691.58752</v>
      </c>
      <c r="C35" s="72">
        <f>'Growth Rates'!AK131</f>
        <v>1.2376282375439773</v>
      </c>
      <c r="D35">
        <f t="shared" si="0"/>
        <v>1050957923184.0585</v>
      </c>
      <c r="F35">
        <f t="shared" si="1"/>
        <v>1.034288919075727</v>
      </c>
      <c r="G35">
        <f t="shared" si="2"/>
        <v>955454539622.1792</v>
      </c>
    </row>
    <row r="36" spans="1:7" x14ac:dyDescent="0.25">
      <c r="A36" s="1" t="s">
        <v>23</v>
      </c>
      <c r="B36">
        <v>421477904503.89636</v>
      </c>
      <c r="C36" s="72">
        <f>'Growth Rates'!AK132</f>
        <v>1.413438288521558</v>
      </c>
      <c r="D36">
        <f t="shared" si="0"/>
        <v>1017210912495.5363</v>
      </c>
      <c r="F36">
        <f t="shared" si="1"/>
        <v>1.1812138049761174</v>
      </c>
      <c r="G36">
        <f t="shared" si="2"/>
        <v>919333423796.30444</v>
      </c>
    </row>
    <row r="37" spans="1:7" x14ac:dyDescent="0.25">
      <c r="A37" s="1" t="s">
        <v>24</v>
      </c>
      <c r="B37">
        <v>272421059028.67728</v>
      </c>
      <c r="C37" s="72">
        <f>'Growth Rates'!AK133</f>
        <v>1.2829820262414611</v>
      </c>
      <c r="D37">
        <f t="shared" si="0"/>
        <v>621932381332.13428</v>
      </c>
      <c r="F37">
        <f t="shared" si="1"/>
        <v>1.0721911902625885</v>
      </c>
      <c r="G37">
        <f t="shared" si="2"/>
        <v>564508518561.22961</v>
      </c>
    </row>
    <row r="38" spans="1:7" x14ac:dyDescent="0.25">
      <c r="A38" s="1" t="s">
        <v>25</v>
      </c>
      <c r="B38">
        <v>362447611962.85498</v>
      </c>
      <c r="C38" s="72">
        <f>'Growth Rates'!AK134</f>
        <v>6.3026508365389411</v>
      </c>
      <c r="D38">
        <f t="shared" si="0"/>
        <v>2646828356702.0845</v>
      </c>
      <c r="F38">
        <f t="shared" si="1"/>
        <v>5.2671405865559464</v>
      </c>
      <c r="G38">
        <f t="shared" si="2"/>
        <v>2271510139432.689</v>
      </c>
    </row>
    <row r="39" spans="1:7" x14ac:dyDescent="0.25">
      <c r="A39" s="1" t="s">
        <v>26</v>
      </c>
      <c r="B39">
        <v>1288879555382.9473</v>
      </c>
      <c r="C39" s="72">
        <f>'Growth Rates'!AK135</f>
        <v>0.58867919577448191</v>
      </c>
      <c r="D39">
        <f t="shared" si="0"/>
        <v>2047616135495.9524</v>
      </c>
      <c r="F39">
        <f t="shared" si="1"/>
        <v>0.49196063131867734</v>
      </c>
      <c r="G39">
        <f t="shared" si="2"/>
        <v>1922957555142.8782</v>
      </c>
    </row>
    <row r="40" spans="1:7" x14ac:dyDescent="0.25">
      <c r="A40" s="1" t="s">
        <v>27</v>
      </c>
      <c r="B40">
        <v>2108227238342.3972</v>
      </c>
      <c r="C40" s="72">
        <f>'Growth Rates'!AK136</f>
        <v>0.99393890349025305</v>
      </c>
      <c r="D40">
        <f t="shared" si="0"/>
        <v>4203676307928.7236</v>
      </c>
      <c r="F40">
        <f t="shared" si="1"/>
        <v>0.83063715171715113</v>
      </c>
      <c r="G40">
        <f t="shared" si="2"/>
        <v>3859399106771.6416</v>
      </c>
    </row>
    <row r="41" spans="1:7" x14ac:dyDescent="0.25">
      <c r="A41" s="1" t="s">
        <v>28</v>
      </c>
      <c r="B41">
        <v>1972988054273.7441</v>
      </c>
      <c r="C41" s="72">
        <f>'Growth Rates'!AK137</f>
        <v>1.3520851112615468</v>
      </c>
      <c r="D41">
        <f t="shared" si="0"/>
        <v>4640635827154.1621</v>
      </c>
      <c r="F41">
        <f t="shared" si="1"/>
        <v>1.1299408059727607</v>
      </c>
      <c r="G41">
        <f t="shared" si="2"/>
        <v>4202347766494.4478</v>
      </c>
    </row>
    <row r="42" spans="1:7" x14ac:dyDescent="0.25">
      <c r="A42" s="1" t="s">
        <v>29</v>
      </c>
      <c r="B42">
        <v>1502139065517.6633</v>
      </c>
      <c r="C42" s="72">
        <f>'Growth Rates'!AK138</f>
        <v>0.26306717039023853</v>
      </c>
      <c r="D42">
        <f t="shared" si="0"/>
        <v>1897302539016.0322</v>
      </c>
      <c r="F42">
        <f t="shared" si="1"/>
        <v>0.21984587217174062</v>
      </c>
      <c r="G42">
        <f t="shared" si="2"/>
        <v>1832378138499.6375</v>
      </c>
    </row>
    <row r="43" spans="1:7" x14ac:dyDescent="0.25">
      <c r="A43" s="1" t="s">
        <v>30</v>
      </c>
      <c r="B43">
        <v>937194286282.41858</v>
      </c>
      <c r="C43" s="72">
        <f>'Growth Rates'!AK139</f>
        <v>0.57665346151801189</v>
      </c>
      <c r="D43">
        <f t="shared" si="0"/>
        <v>1477630615582.0779</v>
      </c>
      <c r="F43">
        <f t="shared" si="1"/>
        <v>0.48191069604094067</v>
      </c>
      <c r="G43">
        <f t="shared" si="2"/>
        <v>1388838237110.3716</v>
      </c>
    </row>
    <row r="44" spans="1:7" x14ac:dyDescent="0.25">
      <c r="A44" s="1" t="s">
        <v>31</v>
      </c>
      <c r="B44">
        <v>1243976514878.6797</v>
      </c>
      <c r="C44" s="72">
        <f>'Growth Rates'!AK140</f>
        <v>1.6987351801710924</v>
      </c>
      <c r="D44">
        <f t="shared" si="0"/>
        <v>3357163184009.7212</v>
      </c>
      <c r="F44">
        <f t="shared" si="1"/>
        <v>1.4196371091061482</v>
      </c>
      <c r="G44">
        <f t="shared" si="2"/>
        <v>3009971738256.9897</v>
      </c>
    </row>
    <row r="45" spans="1:7" x14ac:dyDescent="0.25">
      <c r="A45" s="1" t="s">
        <v>32</v>
      </c>
      <c r="B45">
        <v>452986694316.44147</v>
      </c>
      <c r="C45" s="72">
        <f>'Growth Rates'!AK141</f>
        <v>1.1755786499948466</v>
      </c>
      <c r="D45">
        <f t="shared" si="0"/>
        <v>985508180886.59204</v>
      </c>
      <c r="F45">
        <f t="shared" si="1"/>
        <v>0.98243392830512022</v>
      </c>
      <c r="G45">
        <f t="shared" si="2"/>
        <v>898016191883.69373</v>
      </c>
    </row>
    <row r="46" spans="1:7" x14ac:dyDescent="0.25">
      <c r="A46" s="1" t="s">
        <v>33</v>
      </c>
      <c r="B46">
        <v>20682998307.294415</v>
      </c>
      <c r="C46" s="72">
        <f>'Growth Rates'!AK142</f>
        <v>0.68023332622022936</v>
      </c>
      <c r="D46">
        <f t="shared" si="0"/>
        <v>34752263042.07267</v>
      </c>
      <c r="F46">
        <f t="shared" si="1"/>
        <v>0.56847264012963139</v>
      </c>
      <c r="G46">
        <f t="shared" si="2"/>
        <v>32440716960.838768</v>
      </c>
    </row>
    <row r="48" spans="1:7" x14ac:dyDescent="0.25">
      <c r="A48" s="1" t="s">
        <v>673</v>
      </c>
      <c r="B48">
        <f>SUM(B5:B46)</f>
        <v>17000603457227.963</v>
      </c>
      <c r="D48">
        <f>SUM(D5:D46)</f>
        <v>35692528680626.023</v>
      </c>
      <c r="G48">
        <f>SUM(G5:G46)</f>
        <v>32621490689986.934</v>
      </c>
    </row>
    <row r="50" spans="1:37" x14ac:dyDescent="0.25">
      <c r="A50" s="1" t="s">
        <v>674</v>
      </c>
      <c r="D50" s="71">
        <f>(D48-B48)/B48</f>
        <v>1.099485984154934</v>
      </c>
    </row>
    <row r="52" spans="1:37" x14ac:dyDescent="0.25">
      <c r="A52" s="1" t="s">
        <v>675</v>
      </c>
      <c r="D52" s="61">
        <f>('OECD GDP Data'!I38-'OECD GDP Data'!I3)/'OECD GDP Data'!I3</f>
        <v>0.91884310295571303</v>
      </c>
    </row>
    <row r="54" spans="1:37" x14ac:dyDescent="0.25">
      <c r="A54" s="1" t="s">
        <v>676</v>
      </c>
      <c r="D54" s="10">
        <f>D52/D50</f>
        <v>0.835702424767094</v>
      </c>
    </row>
    <row r="56" spans="1:37" x14ac:dyDescent="0.25">
      <c r="A56" s="1" t="s">
        <v>679</v>
      </c>
      <c r="D56" s="61">
        <f>(G48-B48)/B48</f>
        <v>0.91884310295571348</v>
      </c>
    </row>
    <row r="58" spans="1:37" s="10" customFormat="1" x14ac:dyDescent="0.25">
      <c r="A58" s="76" t="s">
        <v>680</v>
      </c>
    </row>
    <row r="59" spans="1:37" x14ac:dyDescent="0.25">
      <c r="B59">
        <v>2015</v>
      </c>
      <c r="C59">
        <v>2016</v>
      </c>
      <c r="D59">
        <v>2017</v>
      </c>
      <c r="E59">
        <v>2018</v>
      </c>
      <c r="F59">
        <v>2019</v>
      </c>
      <c r="G59">
        <v>2020</v>
      </c>
      <c r="H59">
        <v>2021</v>
      </c>
      <c r="I59">
        <v>2022</v>
      </c>
      <c r="J59">
        <v>2023</v>
      </c>
      <c r="K59">
        <v>2024</v>
      </c>
      <c r="L59">
        <v>2025</v>
      </c>
      <c r="M59">
        <v>2026</v>
      </c>
      <c r="N59">
        <v>2027</v>
      </c>
      <c r="O59">
        <v>2028</v>
      </c>
      <c r="P59">
        <v>2029</v>
      </c>
      <c r="Q59">
        <v>2030</v>
      </c>
      <c r="R59">
        <v>2031</v>
      </c>
      <c r="S59">
        <v>2032</v>
      </c>
      <c r="T59">
        <v>2033</v>
      </c>
      <c r="U59">
        <v>2034</v>
      </c>
      <c r="V59">
        <v>2035</v>
      </c>
      <c r="W59">
        <v>2036</v>
      </c>
      <c r="X59">
        <v>2037</v>
      </c>
      <c r="Y59">
        <v>2038</v>
      </c>
      <c r="Z59">
        <v>2039</v>
      </c>
      <c r="AA59">
        <v>2040</v>
      </c>
      <c r="AB59">
        <v>2041</v>
      </c>
      <c r="AC59">
        <v>2042</v>
      </c>
      <c r="AD59">
        <v>2043</v>
      </c>
      <c r="AE59">
        <v>2044</v>
      </c>
      <c r="AF59">
        <v>2045</v>
      </c>
      <c r="AG59">
        <v>2046</v>
      </c>
      <c r="AH59">
        <v>2047</v>
      </c>
      <c r="AI59">
        <v>2048</v>
      </c>
      <c r="AJ59">
        <v>2049</v>
      </c>
      <c r="AK59">
        <v>2050</v>
      </c>
    </row>
    <row r="60" spans="1:37" x14ac:dyDescent="0.25">
      <c r="A60" s="1" t="s">
        <v>3</v>
      </c>
      <c r="B60">
        <f>'Growth Rates'!B101*$D$54</f>
        <v>0</v>
      </c>
      <c r="C60" s="61">
        <f>'Growth Rates'!C101*$D$54</f>
        <v>1.8385453344876086E-2</v>
      </c>
      <c r="D60" s="61">
        <f>'Growth Rates'!D101*$D$54</f>
        <v>3.7175386663339381E-2</v>
      </c>
      <c r="E60" s="61">
        <f>'Growth Rates'!E101*$D$54</f>
        <v>5.6378698514808957E-2</v>
      </c>
      <c r="F60" s="61">
        <f>'Growth Rates'!F101*$D$54</f>
        <v>7.6004483227010838E-2</v>
      </c>
      <c r="G60" s="61">
        <f>'Growth Rates'!G101*$D$54</f>
        <v>9.6062035202881133E-2</v>
      </c>
      <c r="H60" s="61">
        <f>'Growth Rates'!H101*$D$54</f>
        <v>0.11416488756801207</v>
      </c>
      <c r="I60" s="61">
        <f>'Growth Rates'!I101*$D$54</f>
        <v>0.13017693654737533</v>
      </c>
      <c r="J60" s="61">
        <f>'Growth Rates'!J101*$D$54</f>
        <v>0.14397521313758205</v>
      </c>
      <c r="K60" s="61">
        <f>'Growth Rates'!K101*$D$54</f>
        <v>0.15545143689589411</v>
      </c>
      <c r="L60" s="61">
        <f>'Growth Rates'!L101*$D$54</f>
        <v>0.16451341505967004</v>
      </c>
      <c r="M60" s="61">
        <f>'Growth Rates'!M101*$D$54</f>
        <v>0.17108626200710325</v>
      </c>
      <c r="N60" s="61">
        <f>'Growth Rates'!N101*$D$54</f>
        <v>0.17511341675420011</v>
      </c>
      <c r="O60" s="61">
        <f>'Growth Rates'!O101*$D$54</f>
        <v>0.17915668012028529</v>
      </c>
      <c r="P60" s="61">
        <f>'Growth Rates'!P101*$D$54</f>
        <v>0.1832161165398348</v>
      </c>
      <c r="Q60" s="61">
        <f>'Growth Rates'!Q101*$D$54</f>
        <v>0.18729179070506261</v>
      </c>
      <c r="R60" s="61">
        <f>'Growth Rates'!R101*$D$54</f>
        <v>0.19138376756695119</v>
      </c>
      <c r="S60" s="61">
        <f>'Growth Rates'!S101*$D$54</f>
        <v>0.19549211233628744</v>
      </c>
      <c r="T60" s="61">
        <f>'Growth Rates'!T101*$D$54</f>
        <v>0.19961689048470102</v>
      </c>
      <c r="U60" s="61">
        <f>'Growth Rates'!U101*$D$54</f>
        <v>0.20375816774570815</v>
      </c>
      <c r="V60" s="61">
        <f>'Growth Rates'!V101*$D$54</f>
        <v>0.20791601011575928</v>
      </c>
      <c r="W60" s="61">
        <f>'Growth Rates'!W101*$D$54</f>
        <v>0.21209048385529061</v>
      </c>
      <c r="X60" s="61">
        <f>'Growth Rates'!X101*$D$54</f>
        <v>0.21628165548978015</v>
      </c>
      <c r="Y60" s="61">
        <f>'Growth Rates'!Y101*$D$54</f>
        <v>0.2204895918108076</v>
      </c>
      <c r="Z60" s="61">
        <f>'Growth Rates'!Z101*$D$54</f>
        <v>0.22471435987711916</v>
      </c>
      <c r="AA60" s="61">
        <f>'Growth Rates'!AA101*$D$54</f>
        <v>0.22895602701569606</v>
      </c>
      <c r="AB60" s="61">
        <f>'Growth Rates'!AB101*$D$54</f>
        <v>0.23321466082282713</v>
      </c>
      <c r="AC60" s="61">
        <f>'Growth Rates'!AC101*$D$54</f>
        <v>0.23749032916518678</v>
      </c>
      <c r="AD60" s="61">
        <f>'Growth Rates'!AD101*$D$54</f>
        <v>0.24178310018091587</v>
      </c>
      <c r="AE60" s="61">
        <f>'Growth Rates'!AE101*$D$54</f>
        <v>0.24609304228070794</v>
      </c>
      <c r="AF60" s="61">
        <f>'Growth Rates'!AF101*$D$54</f>
        <v>0.25042022414889925</v>
      </c>
      <c r="AG60" s="61">
        <f>'Growth Rates'!AG101*$D$54</f>
        <v>0.25476471474456319</v>
      </c>
      <c r="AH60" s="61">
        <f>'Growth Rates'!AH101*$D$54</f>
        <v>0.25912658330260979</v>
      </c>
      <c r="AI60" s="61">
        <f>'Growth Rates'!AI101*$D$54</f>
        <v>0.26350589933488866</v>
      </c>
      <c r="AJ60" s="61">
        <f>'Growth Rates'!AJ101*$D$54</f>
        <v>0.26790273263129655</v>
      </c>
      <c r="AK60" s="61">
        <f>'Growth Rates'!AK101*$D$54</f>
        <v>0.27231715326089012</v>
      </c>
    </row>
    <row r="61" spans="1:37" x14ac:dyDescent="0.25">
      <c r="A61" s="1" t="s">
        <v>40</v>
      </c>
      <c r="B61">
        <f>'Growth Rates'!B102*$D$54</f>
        <v>0</v>
      </c>
      <c r="C61" s="61">
        <f>'Growth Rates'!C102*$D$54</f>
        <v>-1.0864131521972232E-2</v>
      </c>
      <c r="D61" s="61">
        <f>'Growth Rates'!D102*$D$54</f>
        <v>-2.1587029334158847E-2</v>
      </c>
      <c r="E61" s="61">
        <f>'Growth Rates'!E102*$D$54</f>
        <v>-3.2170529474786991E-2</v>
      </c>
      <c r="F61" s="61">
        <f>'Growth Rates'!F102*$D$54</f>
        <v>-4.2616444113586956E-2</v>
      </c>
      <c r="G61" s="61">
        <f>'Growth Rates'!G102*$D$54</f>
        <v>-5.2926561862082513E-2</v>
      </c>
      <c r="H61" s="61">
        <f>'Growth Rates'!H102*$D$54</f>
        <v>-6.1872571723854068E-2</v>
      </c>
      <c r="I61" s="61">
        <f>'Growth Rates'!I102*$D$54</f>
        <v>-6.9500323132423214E-2</v>
      </c>
      <c r="J61" s="61">
        <f>'Growth Rates'!J102*$D$54</f>
        <v>-7.5848854831681967E-2</v>
      </c>
      <c r="K61" s="61">
        <f>'Growth Rates'!K102*$D$54</f>
        <v>-8.0950728801248234E-2</v>
      </c>
      <c r="L61" s="61">
        <f>'Growth Rates'!L102*$D$54</f>
        <v>-8.4832308951929739E-2</v>
      </c>
      <c r="M61" s="61">
        <f>'Growth Rates'!M102*$D$54</f>
        <v>-8.7513987936983922E-2</v>
      </c>
      <c r="N61" s="61">
        <f>'Growth Rates'!N102*$D$54</f>
        <v>-8.9010364810644158E-2</v>
      </c>
      <c r="O61" s="61">
        <f>'Growth Rates'!O102*$D$54</f>
        <v>-9.0503748930557029E-2</v>
      </c>
      <c r="P61" s="61">
        <f>'Growth Rates'!P102*$D$54</f>
        <v>-9.1994146282230141E-2</v>
      </c>
      <c r="Q61" s="61">
        <f>'Growth Rates'!Q102*$D$54</f>
        <v>-9.3481562839199894E-2</v>
      </c>
      <c r="R61" s="61">
        <f>'Growth Rates'!R102*$D$54</f>
        <v>-9.4966004563055692E-2</v>
      </c>
      <c r="S61" s="61">
        <f>'Growth Rates'!S102*$D$54</f>
        <v>-9.6447477403463752E-2</v>
      </c>
      <c r="T61" s="61">
        <f>'Growth Rates'!T102*$D$54</f>
        <v>-9.7925987298190978E-2</v>
      </c>
      <c r="U61" s="61">
        <f>'Growth Rates'!U102*$D$54</f>
        <v>-9.9401540173128758E-2</v>
      </c>
      <c r="V61" s="61">
        <f>'Growth Rates'!V102*$D$54</f>
        <v>-0.10087414194231666</v>
      </c>
      <c r="W61" s="61">
        <f>'Growth Rates'!W102*$D$54</f>
        <v>-0.10234379850796617</v>
      </c>
      <c r="X61" s="61">
        <f>'Growth Rates'!X102*$D$54</f>
        <v>-0.10381051576048446</v>
      </c>
      <c r="Y61" s="61">
        <f>'Growth Rates'!Y102*$D$54</f>
        <v>-0.10527429957849765</v>
      </c>
      <c r="Z61" s="61">
        <f>'Growth Rates'!Z102*$D$54</f>
        <v>-0.10673515582887487</v>
      </c>
      <c r="AA61" s="61">
        <f>'Growth Rates'!AA102*$D$54</f>
        <v>-0.10819309036675134</v>
      </c>
      <c r="AB61" s="61">
        <f>'Growth Rates'!AB102*$D$54</f>
        <v>-0.10964810903555203</v>
      </c>
      <c r="AC61" s="61">
        <f>'Growth Rates'!AC102*$D$54</f>
        <v>-0.11110021766701512</v>
      </c>
      <c r="AD61" s="61">
        <f>'Growth Rates'!AD102*$D$54</f>
        <v>-0.11254942208121525</v>
      </c>
      <c r="AE61" s="61">
        <f>'Growth Rates'!AE102*$D$54</f>
        <v>-0.11399572808658705</v>
      </c>
      <c r="AF61" s="61">
        <f>'Growth Rates'!AF102*$D$54</f>
        <v>-0.11543914147994802</v>
      </c>
      <c r="AG61" s="61">
        <f>'Growth Rates'!AG102*$D$54</f>
        <v>-0.11687966804652236</v>
      </c>
      <c r="AH61" s="61">
        <f>'Growth Rates'!AH102*$D$54</f>
        <v>-0.11831731355996354</v>
      </c>
      <c r="AI61" s="61">
        <f>'Growth Rates'!AI102*$D$54</f>
        <v>-0.11975208378237781</v>
      </c>
      <c r="AJ61" s="61">
        <f>'Growth Rates'!AJ102*$D$54</f>
        <v>-0.12118398446434721</v>
      </c>
      <c r="AK61" s="61">
        <f>'Growth Rates'!AK102*$D$54</f>
        <v>-0.12261302134495267</v>
      </c>
    </row>
    <row r="62" spans="1:37" x14ac:dyDescent="0.25">
      <c r="A62" s="1" t="s">
        <v>41</v>
      </c>
      <c r="B62">
        <f>'Growth Rates'!B103*$D$54</f>
        <v>0</v>
      </c>
      <c r="C62" s="61">
        <f>'Growth Rates'!C103*$D$54</f>
        <v>4.5963633362190115E-2</v>
      </c>
      <c r="D62" s="61">
        <f>'Growth Rates'!D103*$D$54</f>
        <v>9.4455266559300741E-2</v>
      </c>
      <c r="E62" s="61">
        <f>'Growth Rates'!E103*$D$54</f>
        <v>0.14561393958225236</v>
      </c>
      <c r="F62" s="61">
        <f>'Growth Rates'!F103*$D$54</f>
        <v>0.19958633962146641</v>
      </c>
      <c r="G62" s="61">
        <f>'Growth Rates'!G103*$D$54</f>
        <v>0.25652722166283715</v>
      </c>
      <c r="H62" s="61">
        <f>'Growth Rates'!H103*$D$54</f>
        <v>0.31332316327719362</v>
      </c>
      <c r="I62" s="61">
        <f>'Growth Rates'!I103*$D$54</f>
        <v>0.36962541709136365</v>
      </c>
      <c r="J62" s="61">
        <f>'Growth Rates'!J103*$D$54</f>
        <v>0.4250704978168528</v>
      </c>
      <c r="K62" s="61">
        <f>'Growth Rates'!K103*$D$54</f>
        <v>0.47928373348796244</v>
      </c>
      <c r="L62" s="61">
        <f>'Growth Rates'!L103*$D$54</f>
        <v>0.53188317981816458</v>
      </c>
      <c r="M62" s="61">
        <f>'Growth Rates'!M103*$D$54</f>
        <v>0.58248384718781909</v>
      </c>
      <c r="N62" s="61">
        <f>'Growth Rates'!N103*$D$54</f>
        <v>0.63070218043428616</v>
      </c>
      <c r="O62" s="61">
        <f>'Growth Rates'!O103*$D$54</f>
        <v>0.68055993701113304</v>
      </c>
      <c r="P62" s="61">
        <f>'Growth Rates'!P103*$D$54</f>
        <v>0.73211285731159281</v>
      </c>
      <c r="Q62" s="61">
        <f>'Growth Rates'!Q103*$D$54</f>
        <v>0.78541857690226813</v>
      </c>
      <c r="R62" s="61">
        <f>'Growth Rates'!R103*$D$54</f>
        <v>0.84053669095902639</v>
      </c>
      <c r="S62" s="61">
        <f>'Growth Rates'!S103*$D$54</f>
        <v>0.89752882089371466</v>
      </c>
      <c r="T62" s="61">
        <f>'Growth Rates'!T103*$D$54</f>
        <v>0.95645868324618222</v>
      </c>
      <c r="U62" s="61">
        <f>'Growth Rates'!U103*$D$54</f>
        <v>1.0173921609186336</v>
      </c>
      <c r="V62" s="61">
        <f>'Growth Rates'!V103*$D$54</f>
        <v>1.0803973768319481</v>
      </c>
      <c r="W62" s="61">
        <f>'Growth Rates'!W103*$D$54</f>
        <v>1.1455447700863159</v>
      </c>
      <c r="X62" s="61">
        <f>'Growth Rates'!X103*$D$54</f>
        <v>1.2129071747113318</v>
      </c>
      <c r="Y62" s="61">
        <f>'Growth Rates'!Y103*$D$54</f>
        <v>1.2825599010935984</v>
      </c>
      <c r="Z62" s="61">
        <f>'Growth Rates'!Z103*$D$54</f>
        <v>1.3545808201728622</v>
      </c>
      <c r="AA62" s="61">
        <f>'Growth Rates'!AA103*$D$54</f>
        <v>1.4290504505008208</v>
      </c>
      <c r="AB62" s="61">
        <f>'Growth Rates'!AB103*$D$54</f>
        <v>1.50605204825993</v>
      </c>
      <c r="AC62" s="61">
        <f>'Growth Rates'!AC103*$D$54</f>
        <v>1.5856717003428487</v>
      </c>
      <c r="AD62" s="61">
        <f>'Growth Rates'!AD103*$D$54</f>
        <v>1.667998420596587</v>
      </c>
      <c r="AE62" s="61">
        <f>'Growth Rates'!AE103*$D$54</f>
        <v>1.7531242493389521</v>
      </c>
      <c r="AF62" s="61">
        <f>'Growth Rates'!AF103*$D$54</f>
        <v>1.8411443562585577</v>
      </c>
      <c r="AG62" s="61">
        <f>'Growth Rates'!AG103*$D$54</f>
        <v>1.9321571468134302</v>
      </c>
      <c r="AH62" s="61">
        <f>'Growth Rates'!AH103*$D$54</f>
        <v>2.026264372247168</v>
      </c>
      <c r="AI62" s="61">
        <f>'Growth Rates'!AI103*$D$54</f>
        <v>2.1235712433456535</v>
      </c>
      <c r="AJ62" s="61">
        <f>'Growth Rates'!AJ103*$D$54</f>
        <v>2.2241865480614869</v>
      </c>
      <c r="AK62" s="61">
        <f>'Growth Rates'!AK103*$D$54</f>
        <v>2.3282227731376586</v>
      </c>
    </row>
    <row r="63" spans="1:37" x14ac:dyDescent="0.25">
      <c r="A63" s="1" t="s">
        <v>4</v>
      </c>
      <c r="B63">
        <f>'Growth Rates'!B104*$D$54</f>
        <v>0</v>
      </c>
      <c r="C63" s="61">
        <f>'Growth Rates'!C104*$D$54</f>
        <v>-1.2902719011679695E-2</v>
      </c>
      <c r="D63" s="61">
        <f>'Growth Rates'!D104*$D$54</f>
        <v>-2.5606228169516059E-2</v>
      </c>
      <c r="E63" s="61">
        <f>'Growth Rates'!E104*$D$54</f>
        <v>-3.8113603148165962E-2</v>
      </c>
      <c r="F63" s="61">
        <f>'Growth Rates'!F104*$D$54</f>
        <v>-5.042787213580685E-2</v>
      </c>
      <c r="G63" s="61">
        <f>'Growth Rates'!G104*$D$54</f>
        <v>-6.2552016567298432E-2</v>
      </c>
      <c r="H63" s="61">
        <f>'Growth Rates'!H104*$D$54</f>
        <v>-7.1674157176856296E-2</v>
      </c>
      <c r="I63" s="61">
        <f>'Growth Rates'!I104*$D$54</f>
        <v>-7.7907065108165197E-2</v>
      </c>
      <c r="J63" s="61">
        <f>'Growth Rates'!J104*$D$54</f>
        <v>-8.1330213834234208E-2</v>
      </c>
      <c r="K63" s="61">
        <f>'Growth Rates'!K104*$D$54</f>
        <v>-8.1991450611207453E-2</v>
      </c>
      <c r="L63" s="61">
        <f>'Growth Rates'!L104*$D$54</f>
        <v>-7.9908066416920456E-2</v>
      </c>
      <c r="M63" s="61">
        <f>'Growth Rates'!M104*$D$54</f>
        <v>-7.5067297033217933E-2</v>
      </c>
      <c r="N63" s="61">
        <f>'Growth Rates'!N104*$D$54</f>
        <v>-6.7426272929543757E-2</v>
      </c>
      <c r="O63" s="61">
        <f>'Growth Rates'!O104*$D$54</f>
        <v>-5.9708490276041838E-2</v>
      </c>
      <c r="P63" s="61">
        <f>'Growth Rates'!P104*$D$54</f>
        <v>-5.1913177988248634E-2</v>
      </c>
      <c r="Q63" s="61">
        <f>'Growth Rates'!Q104*$D$54</f>
        <v>-4.4039557235706746E-2</v>
      </c>
      <c r="R63" s="61">
        <f>'Growth Rates'!R104*$D$54</f>
        <v>-3.6086841364152168E-2</v>
      </c>
      <c r="S63" s="61">
        <f>'Growth Rates'!S104*$D$54</f>
        <v>-2.805423581691923E-2</v>
      </c>
      <c r="T63" s="61">
        <f>'Growth Rates'!T104*$D$54</f>
        <v>-1.9940938055556579E-2</v>
      </c>
      <c r="U63" s="61">
        <f>'Growth Rates'!U104*$D$54</f>
        <v>-1.1746137479645305E-2</v>
      </c>
      <c r="V63" s="61">
        <f>'Growth Rates'!V104*$D$54</f>
        <v>-3.4690153458119327E-3</v>
      </c>
      <c r="W63" s="61">
        <f>'Growth Rates'!W104*$D$54</f>
        <v>4.8912553140724076E-3</v>
      </c>
      <c r="X63" s="61">
        <f>'Growth Rates'!X104*$D$54</f>
        <v>1.3335509775514455E-2</v>
      </c>
      <c r="Y63" s="61">
        <f>'Growth Rates'!Y104*$D$54</f>
        <v>2.1864591704851239E-2</v>
      </c>
      <c r="Z63" s="61">
        <f>'Growth Rates'!Z104*$D$54</f>
        <v>3.0479353243540779E-2</v>
      </c>
      <c r="AA63" s="61">
        <f>'Growth Rates'!AA104*$D$54</f>
        <v>3.9180655093300057E-2</v>
      </c>
      <c r="AB63" s="61">
        <f>'Growth Rates'!AB104*$D$54</f>
        <v>4.7969366602097052E-2</v>
      </c>
      <c r="AC63" s="61">
        <f>'Growth Rates'!AC104*$D$54</f>
        <v>5.6846365851008079E-2</v>
      </c>
      <c r="AD63" s="61">
        <f>'Growth Rates'!AD104*$D$54</f>
        <v>6.581253974194648E-2</v>
      </c>
      <c r="AE63" s="61">
        <f>'Growth Rates'!AE104*$D$54</f>
        <v>7.4868784086273718E-2</v>
      </c>
      <c r="AF63" s="61">
        <f>'Growth Rates'!AF104*$D$54</f>
        <v>8.4016003694299277E-2</v>
      </c>
      <c r="AG63" s="61">
        <f>'Growth Rates'!AG104*$D$54</f>
        <v>9.3255112465680606E-2</v>
      </c>
      <c r="AH63" s="61">
        <f>'Growth Rates'!AH104*$D$54</f>
        <v>0.10258703348073112</v>
      </c>
      <c r="AI63" s="61">
        <f>'Growth Rates'!AI104*$D$54</f>
        <v>0.11201269909264515</v>
      </c>
      <c r="AJ63" s="61">
        <f>'Growth Rates'!AJ104*$D$54</f>
        <v>0.12153305102064918</v>
      </c>
      <c r="AK63" s="61">
        <f>'Growth Rates'!AK104*$D$54</f>
        <v>0.13114904044408945</v>
      </c>
    </row>
    <row r="64" spans="1:37" x14ac:dyDescent="0.25">
      <c r="A64" s="1" t="s">
        <v>5</v>
      </c>
      <c r="B64">
        <f>'Growth Rates'!B105*$D$54</f>
        <v>0</v>
      </c>
      <c r="C64" s="61">
        <f>'Growth Rates'!C105*$D$54</f>
        <v>-8.3570242476709478E-4</v>
      </c>
      <c r="D64" s="61">
        <f>'Growth Rates'!D105*$D$54</f>
        <v>-1.6705691471093985E-3</v>
      </c>
      <c r="E64" s="61">
        <f>'Growth Rates'!E105*$D$54</f>
        <v>-2.5046010027294048E-3</v>
      </c>
      <c r="F64" s="61">
        <f>'Growth Rates'!F105*$D$54</f>
        <v>-3.3377988264937384E-3</v>
      </c>
      <c r="G64" s="61">
        <f>'Growth Rates'!G105*$D$54</f>
        <v>-4.1701634524343601E-3</v>
      </c>
      <c r="H64" s="61">
        <f>'Growth Rates'!H105*$D$54</f>
        <v>-1.4379860224004253E-3</v>
      </c>
      <c r="I64" s="61">
        <f>'Growth Rates'!I105*$D$54</f>
        <v>4.8785875852380232E-3</v>
      </c>
      <c r="J64" s="61">
        <f>'Growth Rates'!J105*$D$54</f>
        <v>1.4845476731701385E-2</v>
      </c>
      <c r="K64" s="61">
        <f>'Growth Rates'!K105*$D$54</f>
        <v>2.8575749998753459E-2</v>
      </c>
      <c r="L64" s="61">
        <f>'Growth Rates'!L105*$D$54</f>
        <v>4.6231718426112969E-2</v>
      </c>
      <c r="M64" s="61">
        <f>'Growth Rates'!M105*$D$54</f>
        <v>6.802809082217362E-2</v>
      </c>
      <c r="N64" s="61">
        <f>'Growth Rates'!N105*$D$54</f>
        <v>9.4236275774262371E-2</v>
      </c>
      <c r="O64" s="61">
        <f>'Growth Rates'!O105*$D$54</f>
        <v>0.12120449808996173</v>
      </c>
      <c r="P64" s="61">
        <f>'Growth Rates'!P105*$D$54</f>
        <v>0.14895479885281632</v>
      </c>
      <c r="Q64" s="61">
        <f>'Growth Rates'!Q105*$D$54</f>
        <v>0.17750985833779362</v>
      </c>
      <c r="R64" s="61">
        <f>'Growth Rates'!R105*$D$54</f>
        <v>0.20689301454783521</v>
      </c>
      <c r="S64" s="61">
        <f>'Growth Rates'!S105*$D$54</f>
        <v>0.23712828228796801</v>
      </c>
      <c r="T64" s="61">
        <f>'Growth Rates'!T105*$D$54</f>
        <v>0.26824037279256469</v>
      </c>
      <c r="U64" s="61">
        <f>'Growth Rates'!U105*$D$54</f>
        <v>0.30025471392179465</v>
      </c>
      <c r="V64" s="61">
        <f>'Growth Rates'!V105*$D$54</f>
        <v>0.33319747094377222</v>
      </c>
      <c r="W64" s="61">
        <f>'Growth Rates'!W105*$D$54</f>
        <v>0.36709556791938736</v>
      </c>
      <c r="X64" s="61">
        <f>'Growth Rates'!X105*$D$54</f>
        <v>0.40197670970729515</v>
      </c>
      <c r="Y64" s="61">
        <f>'Growth Rates'!Y105*$D$54</f>
        <v>0.43786940460705226</v>
      </c>
      <c r="Z64" s="61">
        <f>'Growth Rates'!Z105*$D$54</f>
        <v>0.47480298765890233</v>
      </c>
      <c r="AA64" s="61">
        <f>'Growth Rates'!AA105*$D$54</f>
        <v>0.51280764461925599</v>
      </c>
      <c r="AB64" s="61">
        <f>'Growth Rates'!AB105*$D$54</f>
        <v>0.55191443663146</v>
      </c>
      <c r="AC64" s="61">
        <f>'Growth Rates'!AC105*$D$54</f>
        <v>0.59215532561201778</v>
      </c>
      <c r="AD64" s="61">
        <f>'Growth Rates'!AD105*$D$54</f>
        <v>0.63356320037301195</v>
      </c>
      <c r="AE64" s="61">
        <f>'Growth Rates'!AE105*$D$54</f>
        <v>0.67617190350207479</v>
      </c>
      <c r="AF64" s="61">
        <f>'Growth Rates'!AF105*$D$54</f>
        <v>0.7200162590218806</v>
      </c>
      <c r="AG64" s="61">
        <f>'Growth Rates'!AG105*$D$54</f>
        <v>0.76513210085176064</v>
      </c>
      <c r="AH64" s="61">
        <f>'Growth Rates'!AH105*$D$54</f>
        <v>0.8115563020947073</v>
      </c>
      <c r="AI64" s="61">
        <f>'Growth Rates'!AI105*$D$54</f>
        <v>0.85932680517369942</v>
      </c>
      <c r="AJ64" s="61">
        <f>'Growth Rates'!AJ105*$D$54</f>
        <v>0.90848265284198215</v>
      </c>
      <c r="AK64" s="61">
        <f>'Growth Rates'!AK105*$D$54</f>
        <v>0.95906402009264524</v>
      </c>
    </row>
    <row r="65" spans="1:37" x14ac:dyDescent="0.25">
      <c r="A65" s="1" t="s">
        <v>6</v>
      </c>
      <c r="B65">
        <f>'Growth Rates'!B106*$D$54</f>
        <v>0</v>
      </c>
      <c r="C65" s="61">
        <f>'Growth Rates'!C106*$D$54</f>
        <v>7.777451321594072E-3</v>
      </c>
      <c r="D65" s="61">
        <f>'Growth Rates'!D106*$D$54</f>
        <v>1.5627283370187556E-2</v>
      </c>
      <c r="E65" s="61">
        <f>'Growth Rates'!E106*$D$54</f>
        <v>2.3550169755864745E-2</v>
      </c>
      <c r="F65" s="61">
        <f>'Growth Rates'!F106*$D$54</f>
        <v>3.1546790357651573E-2</v>
      </c>
      <c r="G65" s="61">
        <f>'Growth Rates'!G106*$D$54</f>
        <v>3.9617831381857253E-2</v>
      </c>
      <c r="H65" s="61">
        <f>'Growth Rates'!H106*$D$54</f>
        <v>4.7225477884051043E-2</v>
      </c>
      <c r="I65" s="61">
        <f>'Growth Rates'!I106*$D$54</f>
        <v>5.4356056659446053E-2</v>
      </c>
      <c r="J65" s="61">
        <f>'Growth Rates'!J106*$D$54</f>
        <v>6.0996647747182629E-2</v>
      </c>
      <c r="K65" s="61">
        <f>'Growth Rates'!K106*$D$54</f>
        <v>6.7135123234441194E-2</v>
      </c>
      <c r="L65" s="61">
        <f>'Growth Rates'!L106*$D$54</f>
        <v>7.27601839852976E-2</v>
      </c>
      <c r="M65" s="61">
        <f>'Growth Rates'!M106*$D$54</f>
        <v>7.7861394139432522E-2</v>
      </c>
      <c r="N65" s="61">
        <f>'Growth Rates'!N106*$D$54</f>
        <v>8.2429213233964974E-2</v>
      </c>
      <c r="O65" s="61">
        <f>'Growth Rates'!O106*$D$54</f>
        <v>8.7019871423970122E-2</v>
      </c>
      <c r="P65" s="61">
        <f>'Growth Rates'!P106*$D$54</f>
        <v>9.1633482904925276E-2</v>
      </c>
      <c r="Q65" s="61">
        <f>'Growth Rates'!Q106*$D$54</f>
        <v>9.6270162443285331E-2</v>
      </c>
      <c r="R65" s="61">
        <f>'Growth Rates'!R106*$D$54</f>
        <v>0.10093002537933719</v>
      </c>
      <c r="S65" s="61">
        <f>'Growth Rates'!S106*$D$54</f>
        <v>0.10561318763006929</v>
      </c>
      <c r="T65" s="61">
        <f>'Growth Rates'!T106*$D$54</f>
        <v>0.11031976569205502</v>
      </c>
      <c r="U65" s="61">
        <f>'Growth Rates'!U106*$D$54</f>
        <v>0.11504987664435075</v>
      </c>
      <c r="V65" s="61">
        <f>'Growth Rates'!V106*$D$54</f>
        <v>0.11980363815140796</v>
      </c>
      <c r="W65" s="61">
        <f>'Growth Rates'!W106*$D$54</f>
        <v>0.12458116846600038</v>
      </c>
      <c r="X65" s="61">
        <f>'Growth Rates'!X106*$D$54</f>
        <v>0.12938258643216574</v>
      </c>
      <c r="Y65" s="61">
        <f>'Growth Rates'!Y106*$D$54</f>
        <v>0.13420801148816192</v>
      </c>
      <c r="Z65" s="61">
        <f>'Growth Rates'!Z106*$D$54</f>
        <v>0.13905756366943817</v>
      </c>
      <c r="AA65" s="61">
        <f>'Growth Rates'!AA106*$D$54</f>
        <v>0.14393136361162079</v>
      </c>
      <c r="AB65" s="61">
        <f>'Growth Rates'!AB106*$D$54</f>
        <v>0.14882953255351419</v>
      </c>
      <c r="AC65" s="61">
        <f>'Growth Rates'!AC106*$D$54</f>
        <v>0.15375219234011708</v>
      </c>
      <c r="AD65" s="61">
        <f>'Growth Rates'!AD106*$D$54</f>
        <v>0.15869946542565297</v>
      </c>
      <c r="AE65" s="61">
        <f>'Growth Rates'!AE106*$D$54</f>
        <v>0.16367147487661651</v>
      </c>
      <c r="AF65" s="61">
        <f>'Growth Rates'!AF106*$D$54</f>
        <v>0.16866834437483486</v>
      </c>
      <c r="AG65" s="61">
        <f>'Growth Rates'!AG106*$D$54</f>
        <v>0.17369019822054446</v>
      </c>
      <c r="AH65" s="61">
        <f>'Growth Rates'!AH106*$D$54</f>
        <v>0.17873716133548262</v>
      </c>
      <c r="AI65" s="61">
        <f>'Growth Rates'!AI106*$D$54</f>
        <v>0.18380935926599545</v>
      </c>
      <c r="AJ65" s="61">
        <f>'Growth Rates'!AJ106*$D$54</f>
        <v>0.18890691818616084</v>
      </c>
      <c r="AK65" s="61">
        <f>'Growth Rates'!AK106*$D$54</f>
        <v>0.19402996490092703</v>
      </c>
    </row>
    <row r="66" spans="1:37" x14ac:dyDescent="0.25">
      <c r="A66" s="1" t="s">
        <v>7</v>
      </c>
      <c r="B66">
        <f>'Growth Rates'!B107*$D$54</f>
        <v>0</v>
      </c>
      <c r="C66" s="61">
        <f>'Growth Rates'!C107*$D$54</f>
        <v>-4.3749428745804841E-3</v>
      </c>
      <c r="D66" s="61">
        <f>'Growth Rates'!D107*$D$54</f>
        <v>-8.7269827102459552E-3</v>
      </c>
      <c r="E66" s="61">
        <f>'Growth Rates'!E107*$D$54</f>
        <v>-1.305623940551991E-2</v>
      </c>
      <c r="F66" s="61">
        <f>'Growth Rates'!F107*$D$54</f>
        <v>-1.7362832231251499E-2</v>
      </c>
      <c r="G66" s="61">
        <f>'Growth Rates'!G107*$D$54</f>
        <v>-2.1646879833900921E-2</v>
      </c>
      <c r="H66" s="61">
        <f>'Growth Rates'!H107*$D$54</f>
        <v>-2.5648578271650138E-2</v>
      </c>
      <c r="I66" s="61">
        <f>'Growth Rates'!I107*$D$54</f>
        <v>-2.9371961082066536E-2</v>
      </c>
      <c r="J66" s="61">
        <f>'Growth Rates'!J107*$D$54</f>
        <v>-3.2820774094533683E-2</v>
      </c>
      <c r="K66" s="61">
        <f>'Growth Rates'!K107*$D$54</f>
        <v>-3.5998481720481888E-2</v>
      </c>
      <c r="L66" s="61">
        <f>'Growth Rates'!L107*$D$54</f>
        <v>-3.8908272761414293E-2</v>
      </c>
      <c r="M66" s="61">
        <f>'Growth Rates'!M107*$D$54</f>
        <v>-4.1553065748381621E-2</v>
      </c>
      <c r="N66" s="61">
        <f>'Growth Rates'!N107*$D$54</f>
        <v>-4.3935513825437734E-2</v>
      </c>
      <c r="O66" s="61">
        <f>'Growth Rates'!O107*$D$54</f>
        <v>-4.6310814558262678E-2</v>
      </c>
      <c r="P66" s="61">
        <f>'Growth Rates'!P107*$D$54</f>
        <v>-4.8678989388889204E-2</v>
      </c>
      <c r="Q66" s="61">
        <f>'Growth Rates'!Q107*$D$54</f>
        <v>-5.1040059695023822E-2</v>
      </c>
      <c r="R66" s="61">
        <f>'Growth Rates'!R107*$D$54</f>
        <v>-5.3394046790239992E-2</v>
      </c>
      <c r="S66" s="61">
        <f>'Growth Rates'!S107*$D$54</f>
        <v>-5.5740971924170539E-2</v>
      </c>
      <c r="T66" s="61">
        <f>'Growth Rates'!T107*$D$54</f>
        <v>-5.8080856282699357E-2</v>
      </c>
      <c r="U66" s="61">
        <f>'Growth Rates'!U107*$D$54</f>
        <v>-6.0413720988152508E-2</v>
      </c>
      <c r="V66" s="61">
        <f>'Growth Rates'!V107*$D$54</f>
        <v>-6.2739587099489291E-2</v>
      </c>
      <c r="W66" s="61">
        <f>'Growth Rates'!W107*$D$54</f>
        <v>-6.5058475612492145E-2</v>
      </c>
      <c r="X66" s="61">
        <f>'Growth Rates'!X107*$D$54</f>
        <v>-6.7370407459955928E-2</v>
      </c>
      <c r="Y66" s="61">
        <f>'Growth Rates'!Y107*$D$54</f>
        <v>-6.9675403511877315E-2</v>
      </c>
      <c r="Z66" s="61">
        <f>'Growth Rates'!Z107*$D$54</f>
        <v>-7.1973484575642996E-2</v>
      </c>
      <c r="AA66" s="61">
        <f>'Growth Rates'!AA107*$D$54</f>
        <v>-7.4264671396217313E-2</v>
      </c>
      <c r="AB66" s="61">
        <f>'Growth Rates'!AB107*$D$54</f>
        <v>-7.6548984656329949E-2</v>
      </c>
      <c r="AC66" s="61">
        <f>'Growth Rates'!AC107*$D$54</f>
        <v>-7.882644497666226E-2</v>
      </c>
      <c r="AD66" s="61">
        <f>'Growth Rates'!AD107*$D$54</f>
        <v>-8.1097072916033547E-2</v>
      </c>
      <c r="AE66" s="61">
        <f>'Growth Rates'!AE107*$D$54</f>
        <v>-8.3360888971586708E-2</v>
      </c>
      <c r="AF66" s="61">
        <f>'Growth Rates'!AF107*$D$54</f>
        <v>-8.5617913578973276E-2</v>
      </c>
      <c r="AG66" s="61">
        <f>'Growth Rates'!AG107*$D$54</f>
        <v>-8.7868167112537671E-2</v>
      </c>
      <c r="AH66" s="61">
        <f>'Growth Rates'!AH107*$D$54</f>
        <v>-9.0111669885501344E-2</v>
      </c>
      <c r="AI66" s="61">
        <f>'Growth Rates'!AI107*$D$54</f>
        <v>-9.2348442150146148E-2</v>
      </c>
      <c r="AJ66" s="61">
        <f>'Growth Rates'!AJ107*$D$54</f>
        <v>-9.4578504097997049E-2</v>
      </c>
      <c r="AK66" s="61">
        <f>'Growth Rates'!AK107*$D$54</f>
        <v>-9.6801875860004341E-2</v>
      </c>
    </row>
    <row r="67" spans="1:37" x14ac:dyDescent="0.25">
      <c r="A67" s="1" t="s">
        <v>8</v>
      </c>
      <c r="B67">
        <f>'Growth Rates'!B108*$D$54</f>
        <v>0</v>
      </c>
      <c r="C67" s="61">
        <f>'Growth Rates'!C108*$D$54</f>
        <v>2.0056858194410273E-2</v>
      </c>
      <c r="D67" s="61">
        <f>'Growth Rates'!D108*$D$54</f>
        <v>4.0595080985486316E-2</v>
      </c>
      <c r="E67" s="61">
        <f>'Growth Rates'!E108*$D$54</f>
        <v>6.162622112354834E-2</v>
      </c>
      <c r="F67" s="61">
        <f>'Growth Rates'!F108*$D$54</f>
        <v>8.3162108624923875E-2</v>
      </c>
      <c r="G67" s="61">
        <f>'Growth Rates'!G108*$D$54</f>
        <v>0.10521485742633238</v>
      </c>
      <c r="H67" s="61">
        <f>'Growth Rates'!H108*$D$54</f>
        <v>0.12362995280640365</v>
      </c>
      <c r="I67" s="61">
        <f>'Growth Rates'!I108*$D$54</f>
        <v>0.13815698595251666</v>
      </c>
      <c r="J67" s="61">
        <f>'Growth Rates'!J108*$D$54</f>
        <v>0.14859119392451253</v>
      </c>
      <c r="K67" s="61">
        <f>'Growth Rates'!K108*$D$54</f>
        <v>0.15477818238485977</v>
      </c>
      <c r="L67" s="61">
        <f>'Growth Rates'!L108*$D$54</f>
        <v>0.15661764636957043</v>
      </c>
      <c r="M67" s="61">
        <f>'Growth Rates'!M108*$D$54</f>
        <v>0.1540659661866475</v>
      </c>
      <c r="N67" s="61">
        <f>'Growth Rates'!N108*$D$54</f>
        <v>0.14713758744997135</v>
      </c>
      <c r="O67" s="61">
        <f>'Growth Rates'!O108*$D$54</f>
        <v>0.14025770736445184</v>
      </c>
      <c r="P67" s="61">
        <f>'Growth Rates'!P108*$D$54</f>
        <v>0.13342598643953094</v>
      </c>
      <c r="Q67" s="61">
        <f>'Growth Rates'!Q108*$D$54</f>
        <v>0.12664208756108458</v>
      </c>
      <c r="R67" s="61">
        <f>'Growth Rates'!R108*$D$54</f>
        <v>0.11990567597478725</v>
      </c>
      <c r="S67" s="61">
        <f>'Growth Rates'!S108*$D$54</f>
        <v>0.113216419269594</v>
      </c>
      <c r="T67" s="61">
        <f>'Growth Rates'!T108*$D$54</f>
        <v>0.10657398736133722</v>
      </c>
      <c r="U67" s="61">
        <f>'Growth Rates'!U108*$D$54</f>
        <v>9.9978052476438137E-2</v>
      </c>
      <c r="V67" s="61">
        <f>'Growth Rates'!V108*$D$54</f>
        <v>9.3428289135733422E-2</v>
      </c>
      <c r="W67" s="61">
        <f>'Growth Rates'!W108*$D$54</f>
        <v>8.6924374138413654E-2</v>
      </c>
      <c r="X67" s="61">
        <f>'Growth Rates'!X108*$D$54</f>
        <v>8.0465986546075022E-2</v>
      </c>
      <c r="Y67" s="61">
        <f>'Growth Rates'!Y108*$D$54</f>
        <v>7.4052807666882839E-2</v>
      </c>
      <c r="Z67" s="61">
        <f>'Growth Rates'!Z108*$D$54</f>
        <v>6.7684521039845083E-2</v>
      </c>
      <c r="AA67" s="61">
        <f>'Growth Rates'!AA108*$D$54</f>
        <v>6.1360812419196456E-2</v>
      </c>
      <c r="AB67" s="61">
        <f>'Growth Rates'!AB108*$D$54</f>
        <v>5.5081369758892385E-2</v>
      </c>
      <c r="AC67" s="61">
        <f>'Growth Rates'!AC108*$D$54</f>
        <v>4.8845883197210421E-2</v>
      </c>
      <c r="AD67" s="61">
        <f>'Growth Rates'!AD108*$D$54</f>
        <v>4.2654045041460205E-2</v>
      </c>
      <c r="AE67" s="61">
        <f>'Growth Rates'!AE108*$D$54</f>
        <v>3.650554975280032E-2</v>
      </c>
      <c r="AF67" s="61">
        <f>'Growth Rates'!AF108*$D$54</f>
        <v>3.0400093931161071E-2</v>
      </c>
      <c r="AG67" s="61">
        <f>'Growth Rates'!AG108*$D$54</f>
        <v>2.4337376300273272E-2</v>
      </c>
      <c r="AH67" s="61">
        <f>'Growth Rates'!AH108*$D$54</f>
        <v>1.8317097692801643E-2</v>
      </c>
      <c r="AI67" s="61">
        <f>'Growth Rates'!AI108*$D$54</f>
        <v>1.2338961035582347E-2</v>
      </c>
      <c r="AJ67" s="61">
        <f>'Growth Rates'!AJ108*$D$54</f>
        <v>6.4026713349636614E-3</v>
      </c>
      <c r="AK67" s="61">
        <f>'Growth Rates'!AK108*$D$54</f>
        <v>5.0793566224930384E-4</v>
      </c>
    </row>
    <row r="68" spans="1:37" x14ac:dyDescent="0.25">
      <c r="A68" s="1" t="s">
        <v>9</v>
      </c>
      <c r="B68">
        <f>'Growth Rates'!B109*$D$54</f>
        <v>0</v>
      </c>
      <c r="C68" s="61">
        <f>'Growth Rates'!C109*$D$54</f>
        <v>3.2779568793198696E-4</v>
      </c>
      <c r="D68" s="61">
        <f>'Growth Rates'!D109*$D$54</f>
        <v>6.5571995035400993E-4</v>
      </c>
      <c r="E68" s="61">
        <f>'Growth Rates'!E109*$D$54</f>
        <v>9.8377283769788279E-4</v>
      </c>
      <c r="F68" s="61">
        <f>'Growth Rates'!F109*$D$54</f>
        <v>1.3119544004156457E-3</v>
      </c>
      <c r="G68" s="61">
        <f>'Growth Rates'!G109*$D$54</f>
        <v>1.640264688978823E-3</v>
      </c>
      <c r="H68" s="61">
        <f>'Growth Rates'!H109*$D$54</f>
        <v>9.6482081380033769E-4</v>
      </c>
      <c r="I68" s="61">
        <f>'Growth Rates'!I109*$D$54</f>
        <v>-7.1315136968373087E-4</v>
      </c>
      <c r="J68" s="61">
        <f>'Growth Rates'!J109*$D$54</f>
        <v>-3.3888197575399986E-3</v>
      </c>
      <c r="K68" s="61">
        <f>'Growth Rates'!K109*$D$54</f>
        <v>-7.0537677554946259E-3</v>
      </c>
      <c r="L68" s="61">
        <f>'Growth Rates'!L109*$D$54</f>
        <v>-1.1696037532698355E-2</v>
      </c>
      <c r="M68" s="61">
        <f>'Growth Rates'!M109*$D$54</f>
        <v>-1.7300194468390557E-2</v>
      </c>
      <c r="N68" s="61">
        <f>'Growth Rates'!N109*$D$54</f>
        <v>-2.3847412310780164E-2</v>
      </c>
      <c r="O68" s="61">
        <f>'Growth Rates'!O109*$D$54</f>
        <v>-3.0342252410430724E-2</v>
      </c>
      <c r="P68" s="61">
        <f>'Growth Rates'!P109*$D$54</f>
        <v>-3.6785133789284039E-2</v>
      </c>
      <c r="Q68" s="61">
        <f>'Growth Rates'!Q109*$D$54</f>
        <v>-4.3176472117106554E-2</v>
      </c>
      <c r="R68" s="61">
        <f>'Growth Rates'!R109*$D$54</f>
        <v>-4.9516679738306431E-2</v>
      </c>
      <c r="S68" s="61">
        <f>'Growth Rates'!S109*$D$54</f>
        <v>-5.5806165698536747E-2</v>
      </c>
      <c r="T68" s="61">
        <f>'Growth Rates'!T109*$D$54</f>
        <v>-6.2045335771085175E-2</v>
      </c>
      <c r="U68" s="61">
        <f>'Growth Rates'!U109*$D$54</f>
        <v>-6.8234592483053261E-2</v>
      </c>
      <c r="V68" s="61">
        <f>'Growth Rates'!V109*$D$54</f>
        <v>-7.4374335141325562E-2</v>
      </c>
      <c r="W68" s="61">
        <f>'Growth Rates'!W109*$D$54</f>
        <v>-8.04649598583317E-2</v>
      </c>
      <c r="X68" s="61">
        <f>'Growth Rates'!X109*$D$54</f>
        <v>-8.6506859577601777E-2</v>
      </c>
      <c r="Y68" s="61">
        <f>'Growth Rates'!Y109*$D$54</f>
        <v>-9.2500424099117712E-2</v>
      </c>
      <c r="Z68" s="61">
        <f>'Growth Rates'!Z109*$D$54</f>
        <v>-9.8446040104461563E-2</v>
      </c>
      <c r="AA68" s="61">
        <f>'Growth Rates'!AA109*$D$54</f>
        <v>-0.10434409118176258</v>
      </c>
      <c r="AB68" s="61">
        <f>'Growth Rates'!AB109*$D$54</f>
        <v>-0.11019495785044521</v>
      </c>
      <c r="AC68" s="61">
        <f>'Growth Rates'!AC109*$D$54</f>
        <v>-0.11599901758577845</v>
      </c>
      <c r="AD68" s="61">
        <f>'Growth Rates'!AD109*$D$54</f>
        <v>-0.12175664484322898</v>
      </c>
      <c r="AE68" s="61">
        <f>'Growth Rates'!AE109*$D$54</f>
        <v>-0.12746821108261991</v>
      </c>
      <c r="AF68" s="61">
        <f>'Growth Rates'!AF109*$D$54</f>
        <v>-0.13313408479209574</v>
      </c>
      <c r="AG68" s="61">
        <f>'Growth Rates'!AG109*$D$54</f>
        <v>-0.13875463151189574</v>
      </c>
      <c r="AH68" s="61">
        <f>'Growth Rates'!AH109*$D$54</f>
        <v>-0.14433021385793735</v>
      </c>
      <c r="AI68" s="61">
        <f>'Growth Rates'!AI109*$D$54</f>
        <v>-0.1498611915452106</v>
      </c>
      <c r="AJ68" s="61">
        <f>'Growth Rates'!AJ109*$D$54</f>
        <v>-0.15534792141098569</v>
      </c>
      <c r="AK68" s="61">
        <f>'Growth Rates'!AK109*$D$54</f>
        <v>-0.16079075743783453</v>
      </c>
    </row>
    <row r="69" spans="1:37" x14ac:dyDescent="0.25">
      <c r="A69" s="1" t="s">
        <v>10</v>
      </c>
      <c r="B69">
        <f>'Growth Rates'!B110*$D$54</f>
        <v>0</v>
      </c>
      <c r="C69" s="61">
        <f>'Growth Rates'!C110*$D$54</f>
        <v>5.84991697336957E-3</v>
      </c>
      <c r="D69" s="61">
        <f>'Growth Rates'!D110*$D$54</f>
        <v>1.17407833655527E-2</v>
      </c>
      <c r="E69" s="61">
        <f>'Growth Rates'!E110*$D$54</f>
        <v>1.7672885822481048E-2</v>
      </c>
      <c r="F69" s="61">
        <f>'Growth Rates'!F110*$D$54</f>
        <v>2.3646512996608037E-2</v>
      </c>
      <c r="G69" s="61">
        <f>'Growth Rates'!G110*$D$54</f>
        <v>2.966195556095395E-2</v>
      </c>
      <c r="H69" s="61">
        <f>'Growth Rates'!H110*$D$54</f>
        <v>3.5472259257442164E-2</v>
      </c>
      <c r="I69" s="61">
        <f>'Growth Rates'!I110*$D$54</f>
        <v>4.1072667940457032E-2</v>
      </c>
      <c r="J69" s="61">
        <f>'Growth Rates'!J110*$D$54</f>
        <v>4.6458572081374869E-2</v>
      </c>
      <c r="K69" s="61">
        <f>'Growth Rates'!K110*$D$54</f>
        <v>5.1625515062915905E-2</v>
      </c>
      <c r="L69" s="61">
        <f>'Growth Rates'!L110*$D$54</f>
        <v>5.6569199299111722E-2</v>
      </c>
      <c r="M69" s="61">
        <f>'Growth Rates'!M110*$D$54</f>
        <v>6.1285492169175913E-2</v>
      </c>
      <c r="N69" s="61">
        <f>'Growth Rates'!N110*$D$54</f>
        <v>6.5770431753857092E-2</v>
      </c>
      <c r="O69" s="61">
        <f>'Growth Rates'!O110*$D$54</f>
        <v>7.027779603646174E-2</v>
      </c>
      <c r="P69" s="61">
        <f>'Growth Rates'!P110*$D$54</f>
        <v>7.4807697140479426E-2</v>
      </c>
      <c r="Q69" s="61">
        <f>'Growth Rates'!Q110*$D$54</f>
        <v>7.9360247750017168E-2</v>
      </c>
      <c r="R69" s="61">
        <f>'Growth Rates'!R110*$D$54</f>
        <v>8.3935561112602572E-2</v>
      </c>
      <c r="S69" s="61">
        <f>'Growth Rates'!S110*$D$54</f>
        <v>8.8533751042001035E-2</v>
      </c>
      <c r="T69" s="61">
        <f>'Growth Rates'!T110*$D$54</f>
        <v>9.3154931921046333E-2</v>
      </c>
      <c r="U69" s="61">
        <f>'Growth Rates'!U110*$D$54</f>
        <v>9.779921870448699E-2</v>
      </c>
      <c r="V69" s="61">
        <f>'Growth Rates'!V110*$D$54</f>
        <v>0.10246672692184486</v>
      </c>
      <c r="W69" s="61">
        <f>'Growth Rates'!W110*$D$54</f>
        <v>0.10715757268028948</v>
      </c>
      <c r="X69" s="61">
        <f>'Growth Rates'!X110*$D$54</f>
        <v>0.11187187266752625</v>
      </c>
      <c r="Y69" s="61">
        <f>'Growth Rates'!Y110*$D$54</f>
        <v>0.11660974415469932</v>
      </c>
      <c r="Z69" s="61">
        <f>'Growth Rates'!Z110*$D$54</f>
        <v>0.12137130499930829</v>
      </c>
      <c r="AA69" s="61">
        <f>'Growth Rates'!AA110*$D$54</f>
        <v>0.12615667364814026</v>
      </c>
      <c r="AB69" s="61">
        <f>'Growth Rates'!AB110*$D$54</f>
        <v>0.13096596914021627</v>
      </c>
      <c r="AC69" s="61">
        <f>'Growth Rates'!AC110*$D$54</f>
        <v>0.13579931110975269</v>
      </c>
      <c r="AD69" s="61">
        <f>'Growth Rates'!AD110*$D$54</f>
        <v>0.14065681978913686</v>
      </c>
      <c r="AE69" s="61">
        <f>'Growth Rates'!AE110*$D$54</f>
        <v>0.14553861601191787</v>
      </c>
      <c r="AF69" s="61">
        <f>'Growth Rates'!AF110*$D$54</f>
        <v>0.15044482121581276</v>
      </c>
      <c r="AG69" s="61">
        <f>'Growth Rates'!AG110*$D$54</f>
        <v>0.15537555744572717</v>
      </c>
      <c r="AH69" s="61">
        <f>'Growth Rates'!AH110*$D$54</f>
        <v>0.16033094735679121</v>
      </c>
      <c r="AI69" s="61">
        <f>'Growth Rates'!AI110*$D$54</f>
        <v>0.1653111142174106</v>
      </c>
      <c r="AJ69" s="61">
        <f>'Growth Rates'!AJ110*$D$54</f>
        <v>0.17031618191233305</v>
      </c>
      <c r="AK69" s="61">
        <f>'Growth Rates'!AK110*$D$54</f>
        <v>0.1753462749457301</v>
      </c>
    </row>
    <row r="70" spans="1:37" x14ac:dyDescent="0.25">
      <c r="A70" s="1" t="s">
        <v>36</v>
      </c>
      <c r="B70">
        <f>'Growth Rates'!B111*$D$54</f>
        <v>0</v>
      </c>
      <c r="C70" s="61">
        <f>'Growth Rates'!C111*$D$54</f>
        <v>1.8602891996215652E-2</v>
      </c>
      <c r="D70" s="61">
        <f>'Growth Rates'!D111*$D$54</f>
        <v>3.761988784132142E-2</v>
      </c>
      <c r="E70" s="61">
        <f>'Growth Rates'!E111*$D$54</f>
        <v>5.7060205564304502E-2</v>
      </c>
      <c r="F70" s="61">
        <f>'Growth Rates'!F111*$D$54</f>
        <v>7.6933268389198076E-2</v>
      </c>
      <c r="G70" s="61">
        <f>'Growth Rates'!G111*$D$54</f>
        <v>9.7248709302761902E-2</v>
      </c>
      <c r="H70" s="61">
        <f>'Growth Rates'!H111*$D$54</f>
        <v>0.11624907483606087</v>
      </c>
      <c r="I70" s="61">
        <f>'Growth Rates'!I111*$D$54</f>
        <v>0.13383310591011821</v>
      </c>
      <c r="J70" s="61">
        <f>'Growth Rates'!J111*$D$54</f>
        <v>0.14990533833967681</v>
      </c>
      <c r="K70" s="61">
        <f>'Growth Rates'!K111*$D$54</f>
        <v>0.1643769551845686</v>
      </c>
      <c r="L70" s="61">
        <f>'Growth Rates'!L111*$D$54</f>
        <v>0.17716659511479191</v>
      </c>
      <c r="M70" s="61">
        <f>'Growth Rates'!M111*$D$54</f>
        <v>0.18820110662237646</v>
      </c>
      <c r="N70" s="61">
        <f>'Growth Rates'!N111*$D$54</f>
        <v>0.19741623840488162</v>
      </c>
      <c r="O70" s="61">
        <f>'Growth Rates'!O111*$D$54</f>
        <v>0.20671430637342925</v>
      </c>
      <c r="P70" s="61">
        <f>'Growth Rates'!P111*$D$54</f>
        <v>0.21609605695369377</v>
      </c>
      <c r="Q70" s="61">
        <f>'Growth Rates'!Q111*$D$54</f>
        <v>0.22556224328918079</v>
      </c>
      <c r="R70" s="61">
        <f>'Growth Rates'!R111*$D$54</f>
        <v>0.23511362530168722</v>
      </c>
      <c r="S70" s="61">
        <f>'Growth Rates'!S111*$D$54</f>
        <v>0.24475096975230617</v>
      </c>
      <c r="T70" s="61">
        <f>'Growth Rates'!T111*$D$54</f>
        <v>0.25447505030298062</v>
      </c>
      <c r="U70" s="61">
        <f>'Growth Rates'!U111*$D$54</f>
        <v>0.26428664757861109</v>
      </c>
      <c r="V70" s="61">
        <f>'Growth Rates'!V111*$D$54</f>
        <v>0.27418654922972241</v>
      </c>
      <c r="W70" s="61">
        <f>'Growth Rates'!W111*$D$54</f>
        <v>0.28417554999569355</v>
      </c>
      <c r="X70" s="61">
        <f>'Growth Rates'!X111*$D$54</f>
        <v>0.29425445176855847</v>
      </c>
      <c r="Y70" s="61">
        <f>'Growth Rates'!Y111*$D$54</f>
        <v>0.30442406365737917</v>
      </c>
      <c r="Z70" s="61">
        <f>'Growth Rates'!Z111*$D$54</f>
        <v>0.31468520205319933</v>
      </c>
      <c r="AA70" s="61">
        <f>'Growth Rates'!AA111*$D$54</f>
        <v>0.3250386906945818</v>
      </c>
      <c r="AB70" s="61">
        <f>'Growth Rates'!AB111*$D$54</f>
        <v>0.33548536073373675</v>
      </c>
      <c r="AC70" s="61">
        <f>'Growth Rates'!AC111*$D$54</f>
        <v>0.34602605080324417</v>
      </c>
      <c r="AD70" s="61">
        <f>'Growth Rates'!AD111*$D$54</f>
        <v>0.35666160708337713</v>
      </c>
      <c r="AE70" s="61">
        <f>'Growth Rates'!AE111*$D$54</f>
        <v>0.36739288337003118</v>
      </c>
      <c r="AF70" s="61">
        <f>'Growth Rates'!AF111*$D$54</f>
        <v>0.3782207411432652</v>
      </c>
      <c r="AG70" s="61">
        <f>'Growth Rates'!AG111*$D$54</f>
        <v>0.38914604963645838</v>
      </c>
      <c r="AH70" s="61">
        <f>'Growth Rates'!AH111*$D$54</f>
        <v>0.40016968590609026</v>
      </c>
      <c r="AI70" s="61">
        <f>'Growth Rates'!AI111*$D$54</f>
        <v>0.41129253490214884</v>
      </c>
      <c r="AJ70" s="61">
        <f>'Growth Rates'!AJ111*$D$54</f>
        <v>0.4225154895391719</v>
      </c>
      <c r="AK70" s="61">
        <f>'Growth Rates'!AK111*$D$54</f>
        <v>0.43383945076792818</v>
      </c>
    </row>
    <row r="71" spans="1:37" x14ac:dyDescent="0.25">
      <c r="A71" s="1" t="s">
        <v>37</v>
      </c>
      <c r="B71">
        <f>'Growth Rates'!B112*$D$54</f>
        <v>0</v>
      </c>
      <c r="C71" s="61">
        <f>'Growth Rates'!C112*$D$54</f>
        <v>-3.3428096990683791E-3</v>
      </c>
      <c r="D71" s="61">
        <f>'Growth Rates'!D112*$D$54</f>
        <v>-6.6722481593404709E-3</v>
      </c>
      <c r="E71" s="61">
        <f>'Growth Rates'!E112*$D$54</f>
        <v>-9.9883688657715266E-3</v>
      </c>
      <c r="F71" s="61">
        <f>'Growth Rates'!F112*$D$54</f>
        <v>-1.3291225089376787E-2</v>
      </c>
      <c r="G71" s="61">
        <f>'Growth Rates'!G112*$D$54</f>
        <v>-1.6580869888087685E-2</v>
      </c>
      <c r="H71" s="61">
        <f>'Growth Rates'!H112*$D$54</f>
        <v>-1.7282974077983956E-2</v>
      </c>
      <c r="I71" s="61">
        <f>'Growth Rates'!I112*$D$54</f>
        <v>-1.541230104783744E-2</v>
      </c>
      <c r="J71" s="61">
        <f>'Growth Rates'!J112*$D$54</f>
        <v>-1.0959297519075796E-2</v>
      </c>
      <c r="K71" s="61">
        <f>'Growth Rates'!K112*$D$54</f>
        <v>-3.8900707140927379E-3</v>
      </c>
      <c r="L71" s="61">
        <f>'Growth Rates'!L112*$D$54</f>
        <v>5.8540168619566745E-3</v>
      </c>
      <c r="M71" s="61">
        <f>'Growth Rates'!M112*$D$54</f>
        <v>1.8357141137588316E-2</v>
      </c>
      <c r="N71" s="61">
        <f>'Growth Rates'!N112*$D$54</f>
        <v>3.3730213323872521E-2</v>
      </c>
      <c r="O71" s="61">
        <f>'Growth Rates'!O112*$D$54</f>
        <v>4.9380000809509869E-2</v>
      </c>
      <c r="P71" s="61">
        <f>'Growth Rates'!P112*$D$54</f>
        <v>6.5311484469888673E-2</v>
      </c>
      <c r="Q71" s="61">
        <f>'Growth Rates'!Q112*$D$54</f>
        <v>8.1529734836154444E-2</v>
      </c>
      <c r="R71" s="61">
        <f>'Growth Rates'!R112*$D$54</f>
        <v>9.8039913709013007E-2</v>
      </c>
      <c r="S71" s="61">
        <f>'Growth Rates'!S112*$D$54</f>
        <v>0.11484727580158295</v>
      </c>
      <c r="T71" s="61">
        <f>'Growth Rates'!T112*$D$54</f>
        <v>0.13195717041181917</v>
      </c>
      <c r="U71" s="61">
        <f>'Growth Rates'!U112*$D$54</f>
        <v>0.14937504312503969</v>
      </c>
      <c r="V71" s="61">
        <f>'Growth Rates'!V112*$D$54</f>
        <v>0.16710643754709809</v>
      </c>
      <c r="W71" s="61">
        <f>'Growth Rates'!W112*$D$54</f>
        <v>0.18515699706875349</v>
      </c>
      <c r="X71" s="61">
        <f>'Growth Rates'!X112*$D$54</f>
        <v>0.20353246666179883</v>
      </c>
      <c r="Y71" s="61">
        <f>'Growth Rates'!Y112*$D$54</f>
        <v>0.22223869470751886</v>
      </c>
      <c r="Z71" s="61">
        <f>'Growth Rates'!Z112*$D$54</f>
        <v>0.24128163485806201</v>
      </c>
      <c r="AA71" s="61">
        <f>'Growth Rates'!AA112*$D$54</f>
        <v>0.26066734793131474</v>
      </c>
      <c r="AB71" s="61">
        <f>'Growth Rates'!AB112*$D$54</f>
        <v>0.28040200383988617</v>
      </c>
      <c r="AC71" s="61">
        <f>'Growth Rates'!AC112*$D$54</f>
        <v>0.30049188355481177</v>
      </c>
      <c r="AD71" s="61">
        <f>'Growth Rates'!AD112*$D$54</f>
        <v>0.32094338110460602</v>
      </c>
      <c r="AE71" s="61">
        <f>'Growth Rates'!AE112*$D$54</f>
        <v>0.34176300561029666</v>
      </c>
      <c r="AF71" s="61">
        <f>'Growth Rates'!AF112*$D$54</f>
        <v>0.36295738335708971</v>
      </c>
      <c r="AG71" s="61">
        <f>'Growth Rates'!AG112*$D$54</f>
        <v>0.38453325990332499</v>
      </c>
      <c r="AH71" s="61">
        <f>'Growth Rates'!AH112*$D$54</f>
        <v>0.40649750222739256</v>
      </c>
      <c r="AI71" s="61">
        <f>'Growth Rates'!AI112*$D$54</f>
        <v>0.42885710091329338</v>
      </c>
      <c r="AJ71" s="61">
        <f>'Growth Rates'!AJ112*$D$54</f>
        <v>0.45161917237554039</v>
      </c>
      <c r="AK71" s="61">
        <f>'Growth Rates'!AK112*$D$54</f>
        <v>0.47479096112410796</v>
      </c>
    </row>
    <row r="72" spans="1:37" x14ac:dyDescent="0.25">
      <c r="A72" s="1" t="s">
        <v>11</v>
      </c>
      <c r="B72">
        <f>'Growth Rates'!B113*$D$54</f>
        <v>0</v>
      </c>
      <c r="C72" s="61">
        <f>'Growth Rates'!C113*$D$54</f>
        <v>1.5042643645807706E-2</v>
      </c>
      <c r="D72" s="61">
        <f>'Growth Rates'!D113*$D$54</f>
        <v>3.0356054877239941E-2</v>
      </c>
      <c r="E72" s="61">
        <f>'Growth Rates'!E113*$D$54</f>
        <v>4.5945107510837982E-2</v>
      </c>
      <c r="F72" s="61">
        <f>'Growth Rates'!F113*$D$54</f>
        <v>6.1814763091840759E-2</v>
      </c>
      <c r="G72" s="61">
        <f>'Growth Rates'!G113*$D$54</f>
        <v>7.7970072473301635E-2</v>
      </c>
      <c r="H72" s="61">
        <f>'Growth Rates'!H113*$D$54</f>
        <v>9.3763554211314201E-2</v>
      </c>
      <c r="I72" s="61">
        <f>'Growth Rates'!I113*$D$54</f>
        <v>0.10916613329152794</v>
      </c>
      <c r="J72" s="61">
        <f>'Growth Rates'!J113*$D$54</f>
        <v>0.12414904899788611</v>
      </c>
      <c r="K72" s="61">
        <f>'Growth Rates'!K113*$D$54</f>
        <v>0.13868394274347001</v>
      </c>
      <c r="L72" s="61">
        <f>'Growth Rates'!L113*$D$54</f>
        <v>0.15274294604612246</v>
      </c>
      <c r="M72" s="61">
        <f>'Growth Rates'!M113*$D$54</f>
        <v>0.16629876827441806</v>
      </c>
      <c r="N72" s="61">
        <f>'Growth Rates'!N113*$D$54</f>
        <v>0.17932478378395766</v>
      </c>
      <c r="O72" s="61">
        <f>'Growth Rates'!O113*$D$54</f>
        <v>0.19252013749512117</v>
      </c>
      <c r="P72" s="61">
        <f>'Growth Rates'!P113*$D$54</f>
        <v>0.20588703080452991</v>
      </c>
      <c r="Q72" s="61">
        <f>'Growth Rates'!Q113*$D$54</f>
        <v>0.219427693726961</v>
      </c>
      <c r="R72" s="61">
        <f>'Growth Rates'!R113*$D$54</f>
        <v>0.23314438526738354</v>
      </c>
      <c r="S72" s="61">
        <f>'Growth Rates'!S113*$D$54</f>
        <v>0.2470393937978316</v>
      </c>
      <c r="T72" s="61">
        <f>'Growth Rates'!T113*$D$54</f>
        <v>0.26111503743917563</v>
      </c>
      <c r="U72" s="61">
        <f>'Growth Rates'!U113*$D$54</f>
        <v>0.27537366444785694</v>
      </c>
      <c r="V72" s="61">
        <f>'Growth Rates'!V113*$D$54</f>
        <v>0.2898176536076511</v>
      </c>
      <c r="W72" s="61">
        <f>'Growth Rates'!W113*$D$54</f>
        <v>0.30444941462652275</v>
      </c>
      <c r="X72" s="61">
        <f>'Growth Rates'!X113*$D$54</f>
        <v>0.31927138853863962</v>
      </c>
      <c r="Y72" s="61">
        <f>'Growth Rates'!Y113*$D$54</f>
        <v>0.33428604811161405</v>
      </c>
      <c r="Z72" s="61">
        <f>'Growth Rates'!Z113*$D$54</f>
        <v>0.34949589825903715</v>
      </c>
      <c r="AA72" s="61">
        <f>'Growth Rates'!AA113*$D$54</f>
        <v>0.36490347645837667</v>
      </c>
      <c r="AB72" s="61">
        <f>'Growth Rates'!AB113*$D$54</f>
        <v>0.38051135317430773</v>
      </c>
      <c r="AC72" s="61">
        <f>'Growth Rates'!AC113*$D$54</f>
        <v>0.39632213228754581</v>
      </c>
      <c r="AD72" s="61">
        <f>'Growth Rates'!AD113*$D$54</f>
        <v>0.41233845152925602</v>
      </c>
      <c r="AE72" s="61">
        <f>'Growth Rates'!AE113*$D$54</f>
        <v>0.42856298292110845</v>
      </c>
      <c r="AF72" s="61">
        <f>'Growth Rates'!AF113*$D$54</f>
        <v>0.44499843322105498</v>
      </c>
      <c r="AG72" s="61">
        <f>'Growth Rates'!AG113*$D$54</f>
        <v>0.46164754437490074</v>
      </c>
      <c r="AH72" s="61">
        <f>'Growth Rates'!AH113*$D$54</f>
        <v>0.47851309397374647</v>
      </c>
      <c r="AI72" s="61">
        <f>'Growth Rates'!AI113*$D$54</f>
        <v>0.49559789571737733</v>
      </c>
      <c r="AJ72" s="61">
        <f>'Growth Rates'!AJ113*$D$54</f>
        <v>0.51290479988367532</v>
      </c>
      <c r="AK72" s="61">
        <f>'Growth Rates'!AK113*$D$54</f>
        <v>0.53043669380413516</v>
      </c>
    </row>
    <row r="73" spans="1:37" x14ac:dyDescent="0.25">
      <c r="A73" s="1" t="s">
        <v>42</v>
      </c>
      <c r="B73">
        <f>'Growth Rates'!B114*$D$54</f>
        <v>0</v>
      </c>
      <c r="C73" s="61">
        <f>'Growth Rates'!C114*$D$54</f>
        <v>3.5935204264984984E-2</v>
      </c>
      <c r="D73" s="61">
        <f>'Growth Rates'!D114*$D$54</f>
        <v>7.3415622313364307E-2</v>
      </c>
      <c r="E73" s="61">
        <f>'Growth Rates'!E114*$D$54</f>
        <v>0.11250769833782388</v>
      </c>
      <c r="F73" s="61">
        <f>'Growth Rates'!F114*$D$54</f>
        <v>0.15328073363133532</v>
      </c>
      <c r="G73" s="61">
        <f>'Growth Rates'!G114*$D$54</f>
        <v>0.19580700944246773</v>
      </c>
      <c r="H73" s="61">
        <f>'Growth Rates'!H114*$D$54</f>
        <v>0.23249927360220779</v>
      </c>
      <c r="I73" s="61">
        <f>'Growth Rates'!I114*$D$54</f>
        <v>0.26256152139917249</v>
      </c>
      <c r="J73" s="61">
        <f>'Growth Rates'!J114*$D$54</f>
        <v>0.28531127456975941</v>
      </c>
      <c r="K73" s="61">
        <f>'Growth Rates'!K114*$D$54</f>
        <v>0.30020474228952054</v>
      </c>
      <c r="L73" s="61">
        <f>'Growth Rates'!L114*$D$54</f>
        <v>0.30685791283942343</v>
      </c>
      <c r="M73" s="61">
        <f>'Growth Rates'!M114*$D$54</f>
        <v>0.30506246088032757</v>
      </c>
      <c r="N73" s="61">
        <f>'Growth Rates'!N114*$D$54</f>
        <v>0.29479557690950081</v>
      </c>
      <c r="O73" s="61">
        <f>'Growth Rates'!O114*$D$54</f>
        <v>0.28462109489441151</v>
      </c>
      <c r="P73" s="61">
        <f>'Growth Rates'!P114*$D$54</f>
        <v>0.27453818321745804</v>
      </c>
      <c r="Q73" s="61">
        <f>'Growth Rates'!Q114*$D$54</f>
        <v>0.26454601774559711</v>
      </c>
      <c r="R73" s="61">
        <f>'Growth Rates'!R114*$D$54</f>
        <v>0.25464378176298286</v>
      </c>
      <c r="S73" s="61">
        <f>'Growth Rates'!S114*$D$54</f>
        <v>0.24483066590421207</v>
      </c>
      <c r="T73" s="61">
        <f>'Growth Rates'!T114*$D$54</f>
        <v>0.23510586808817022</v>
      </c>
      <c r="U73" s="61">
        <f>'Growth Rates'!U114*$D$54</f>
        <v>0.22546859345247275</v>
      </c>
      <c r="V73" s="61">
        <f>'Growth Rates'!V114*$D$54</f>
        <v>0.21591805428849667</v>
      </c>
      <c r="W73" s="61">
        <f>'Growth Rates'!W114*$D$54</f>
        <v>0.20645346997699629</v>
      </c>
      <c r="X73" s="61">
        <f>'Growth Rates'!X114*$D$54</f>
        <v>0.19707406692429938</v>
      </c>
      <c r="Y73" s="61">
        <f>'Growth Rates'!Y114*$D$54</f>
        <v>0.18777907849907682</v>
      </c>
      <c r="Z73" s="61">
        <f>'Growth Rates'!Z114*$D$54</f>
        <v>0.17856774496968131</v>
      </c>
      <c r="AA73" s="61">
        <f>'Growth Rates'!AA114*$D$54</f>
        <v>0.16943931344205038</v>
      </c>
      <c r="AB73" s="61">
        <f>'Growth Rates'!AB114*$D$54</f>
        <v>0.16039303779816805</v>
      </c>
      <c r="AC73" s="61">
        <f>'Growth Rates'!AC114*$D$54</f>
        <v>0.15142817863508076</v>
      </c>
      <c r="AD73" s="61">
        <f>'Growth Rates'!AD114*$D$54</f>
        <v>0.14254400320446109</v>
      </c>
      <c r="AE73" s="61">
        <f>'Growth Rates'!AE114*$D$54</f>
        <v>0.13373978535271716</v>
      </c>
      <c r="AF73" s="61">
        <f>'Growth Rates'!AF114*$D$54</f>
        <v>0.12501480546163893</v>
      </c>
      <c r="AG73" s="61">
        <f>'Growth Rates'!AG114*$D$54</f>
        <v>0.11636835038958035</v>
      </c>
      <c r="AH73" s="61">
        <f>'Growth Rates'!AH114*$D$54</f>
        <v>0.10779971341317025</v>
      </c>
      <c r="AI73" s="61">
        <f>'Growth Rates'!AI114*$D$54</f>
        <v>9.9308194169547809E-2</v>
      </c>
      <c r="AJ73" s="61">
        <f>'Growth Rates'!AJ114*$D$54</f>
        <v>9.0893098599118052E-2</v>
      </c>
      <c r="AK73" s="61">
        <f>'Growth Rates'!AK114*$D$54</f>
        <v>8.2553738888822184E-2</v>
      </c>
    </row>
    <row r="74" spans="1:37" x14ac:dyDescent="0.25">
      <c r="A74" s="1" t="s">
        <v>43</v>
      </c>
      <c r="B74">
        <f>'Growth Rates'!B115*$D$54</f>
        <v>0</v>
      </c>
      <c r="C74" s="61">
        <f>'Growth Rates'!C115*$D$54</f>
        <v>1.7647430424302508E-2</v>
      </c>
      <c r="D74" s="61">
        <f>'Growth Rates'!D115*$D$54</f>
        <v>3.5667519574188386E-2</v>
      </c>
      <c r="E74" s="61">
        <f>'Growth Rates'!E115*$D$54</f>
        <v>5.4068136840408121E-2</v>
      </c>
      <c r="F74" s="61">
        <f>'Growth Rates'!F115*$D$54</f>
        <v>7.2857317790717233E-2</v>
      </c>
      <c r="G74" s="61">
        <f>'Growth Rates'!G115*$D$54</f>
        <v>9.2043267679015994E-2</v>
      </c>
      <c r="H74" s="61">
        <f>'Growth Rates'!H115*$D$54</f>
        <v>0.11016098782500439</v>
      </c>
      <c r="I74" s="61">
        <f>'Growth Rates'!I115*$D$54</f>
        <v>0.12713037409544153</v>
      </c>
      <c r="J74" s="61">
        <f>'Growth Rates'!J115*$D$54</f>
        <v>0.14287510190467043</v>
      </c>
      <c r="K74" s="61">
        <f>'Growth Rates'!K115*$D$54</f>
        <v>0.15732319087916749</v>
      </c>
      <c r="L74" s="61">
        <f>'Growth Rates'!L115*$D$54</f>
        <v>0.17040754695026167</v>
      </c>
      <c r="M74" s="61">
        <f>'Growth Rates'!M115*$D$54</f>
        <v>0.18206647623290848</v>
      </c>
      <c r="N74" s="61">
        <f>'Growth Rates'!N115*$D$54</f>
        <v>0.19224416524290844</v>
      </c>
      <c r="O74" s="61">
        <f>'Growth Rates'!O115*$D$54</f>
        <v>0.20252363114300845</v>
      </c>
      <c r="P74" s="61">
        <f>'Growth Rates'!P115*$D$54</f>
        <v>0.21290589170210955</v>
      </c>
      <c r="Q74" s="61">
        <f>'Growth Rates'!Q115*$D$54</f>
        <v>0.22339197486680162</v>
      </c>
      <c r="R74" s="61">
        <f>'Growth Rates'!R115*$D$54</f>
        <v>0.23398291886314052</v>
      </c>
      <c r="S74" s="61">
        <f>'Growth Rates'!S115*$D$54</f>
        <v>0.24467977229944282</v>
      </c>
      <c r="T74" s="61">
        <f>'Growth Rates'!T115*$D$54</f>
        <v>0.25548359427010819</v>
      </c>
      <c r="U74" s="61">
        <f>'Growth Rates'!U115*$D$54</f>
        <v>0.26639545446048013</v>
      </c>
      <c r="V74" s="61">
        <f>'Growth Rates'!V115*$D$54</f>
        <v>0.27741643325275589</v>
      </c>
      <c r="W74" s="61">
        <f>'Growth Rates'!W115*$D$54</f>
        <v>0.28854762183295446</v>
      </c>
      <c r="X74" s="61">
        <f>'Growth Rates'!X115*$D$54</f>
        <v>0.29979012229895502</v>
      </c>
      <c r="Y74" s="61">
        <f>'Growth Rates'!Y115*$D$54</f>
        <v>0.3111450477696156</v>
      </c>
      <c r="Z74" s="61">
        <f>'Growth Rates'!Z115*$D$54</f>
        <v>0.3226135224949826</v>
      </c>
      <c r="AA74" s="61">
        <f>'Growth Rates'!AA115*$D$54</f>
        <v>0.33419668196760333</v>
      </c>
      <c r="AB74" s="61">
        <f>'Growth Rates'!AB115*$D$54</f>
        <v>0.34589567303495034</v>
      </c>
      <c r="AC74" s="61">
        <f>'Growth Rates'!AC115*$D$54</f>
        <v>0.35771165401297089</v>
      </c>
      <c r="AD74" s="61">
        <f>'Growth Rates'!AD115*$D$54</f>
        <v>0.36964579480077148</v>
      </c>
      <c r="AE74" s="61">
        <f>'Growth Rates'!AE115*$D$54</f>
        <v>0.38169927699645018</v>
      </c>
      <c r="AF74" s="61">
        <f>'Growth Rates'!AF115*$D$54</f>
        <v>0.39387329401408566</v>
      </c>
      <c r="AG74" s="61">
        <f>'Growth Rates'!AG115*$D$54</f>
        <v>0.40616905120189739</v>
      </c>
      <c r="AH74" s="61">
        <f>'Growth Rates'!AH115*$D$54</f>
        <v>0.41858776596158737</v>
      </c>
      <c r="AI74" s="61">
        <f>'Growth Rates'!AI115*$D$54</f>
        <v>0.43113066786887422</v>
      </c>
      <c r="AJ74" s="61">
        <f>'Growth Rates'!AJ115*$D$54</f>
        <v>0.44379899879523388</v>
      </c>
      <c r="AK74" s="61">
        <f>'Growth Rates'!AK115*$D$54</f>
        <v>0.45659401303085728</v>
      </c>
    </row>
    <row r="75" spans="1:37" x14ac:dyDescent="0.25">
      <c r="A75" s="1" t="s">
        <v>44</v>
      </c>
      <c r="B75">
        <f>'Growth Rates'!B116*$D$54</f>
        <v>0</v>
      </c>
      <c r="C75" s="61">
        <f>'Growth Rates'!C116*$D$54</f>
        <v>1.5042643645807706E-2</v>
      </c>
      <c r="D75" s="61">
        <f>'Growth Rates'!D116*$D$54</f>
        <v>3.0356054877239941E-2</v>
      </c>
      <c r="E75" s="61">
        <f>'Growth Rates'!E116*$D$54</f>
        <v>4.5945107510837982E-2</v>
      </c>
      <c r="F75" s="61">
        <f>'Growth Rates'!F116*$D$54</f>
        <v>6.1814763091840759E-2</v>
      </c>
      <c r="G75" s="61">
        <f>'Growth Rates'!G116*$D$54</f>
        <v>7.7970072473301635E-2</v>
      </c>
      <c r="H75" s="61">
        <f>'Growth Rates'!H116*$D$54</f>
        <v>9.1414110646981794E-2</v>
      </c>
      <c r="I75" s="61">
        <f>'Growth Rates'!I116*$D$54</f>
        <v>0.10200972819457114</v>
      </c>
      <c r="J75" s="61">
        <f>'Growth Rates'!J116*$D$54</f>
        <v>0.10964538429725906</v>
      </c>
      <c r="K75" s="61">
        <f>'Growth Rates'!K116*$D$54</f>
        <v>0.11423707365557165</v>
      </c>
      <c r="L75" s="61">
        <f>'Growth Rates'!L116*$D$54</f>
        <v>0.11572983572452153</v>
      </c>
      <c r="M75" s="61">
        <f>'Growth Rates'!M116*$D$54</f>
        <v>0.11409880899225021</v>
      </c>
      <c r="N75" s="61">
        <f>'Growth Rates'!N116*$D$54</f>
        <v>0.10934980282345355</v>
      </c>
      <c r="O75" s="61">
        <f>'Growth Rates'!O116*$D$54</f>
        <v>0.10462454168550088</v>
      </c>
      <c r="P75" s="61">
        <f>'Growth Rates'!P116*$D$54</f>
        <v>9.9922906853237972E-2</v>
      </c>
      <c r="Q75" s="61">
        <f>'Growth Rates'!Q116*$D$54</f>
        <v>9.5244780195136255E-2</v>
      </c>
      <c r="R75" s="61">
        <f>'Growth Rates'!R116*$D$54</f>
        <v>9.0590044170325068E-2</v>
      </c>
      <c r="S75" s="61">
        <f>'Growth Rates'!S116*$D$54</f>
        <v>8.5958581825638009E-2</v>
      </c>
      <c r="T75" s="61">
        <f>'Growth Rates'!T116*$D$54</f>
        <v>8.13502767926743E-2</v>
      </c>
      <c r="U75" s="61">
        <f>'Growth Rates'!U116*$D$54</f>
        <v>7.6765013284875491E-2</v>
      </c>
      <c r="V75" s="61">
        <f>'Growth Rates'!V116*$D$54</f>
        <v>7.2202676094615656E-2</v>
      </c>
      <c r="W75" s="61">
        <f>'Growth Rates'!W116*$D$54</f>
        <v>6.7663150590307045E-2</v>
      </c>
      <c r="X75" s="61">
        <f>'Growth Rates'!X116*$D$54</f>
        <v>6.3146322713520095E-2</v>
      </c>
      <c r="Y75" s="61">
        <f>'Growth Rates'!Y116*$D$54</f>
        <v>5.8652078976117024E-2</v>
      </c>
      <c r="Z75" s="61">
        <f>'Growth Rates'!Z116*$D$54</f>
        <v>5.4180306457401052E-2</v>
      </c>
      <c r="AA75" s="61">
        <f>'Growth Rates'!AA116*$D$54</f>
        <v>4.9730892801278577E-2</v>
      </c>
      <c r="AB75" s="61">
        <f>'Growth Rates'!AB116*$D$54</f>
        <v>4.5303726213436743E-2</v>
      </c>
      <c r="AC75" s="61">
        <f>'Growth Rates'!AC116*$D$54</f>
        <v>4.0898695458534029E-2</v>
      </c>
      <c r="AD75" s="61">
        <f>'Growth Rates'!AD116*$D$54</f>
        <v>3.6515689857405859E-2</v>
      </c>
      <c r="AE75" s="61">
        <f>'Growth Rates'!AE116*$D$54</f>
        <v>3.2154599284283339E-2</v>
      </c>
      <c r="AF75" s="61">
        <f>'Growth Rates'!AF116*$D$54</f>
        <v>2.7815314164026387E-2</v>
      </c>
      <c r="AG75" s="61">
        <f>'Growth Rates'!AG116*$D$54</f>
        <v>2.3497725469370841E-2</v>
      </c>
      <c r="AH75" s="61">
        <f>'Growth Rates'!AH116*$D$54</f>
        <v>1.9201724718188481E-2</v>
      </c>
      <c r="AI75" s="61">
        <f>'Growth Rates'!AI116*$D$54</f>
        <v>1.4927203970762E-2</v>
      </c>
      <c r="AJ75" s="61">
        <f>'Growth Rates'!AJ116*$D$54</f>
        <v>1.0674055827072648E-2</v>
      </c>
      <c r="AK75" s="61">
        <f>'Growth Rates'!AK116*$D$54</f>
        <v>6.4421734241017587E-3</v>
      </c>
    </row>
    <row r="76" spans="1:37" x14ac:dyDescent="0.25">
      <c r="A76" s="1" t="s">
        <v>45</v>
      </c>
      <c r="B76">
        <f>'Growth Rates'!B117*$D$54</f>
        <v>0</v>
      </c>
      <c r="C76" s="61">
        <f>'Growth Rates'!C117*$D$54</f>
        <v>1.6596444316163538E-2</v>
      </c>
      <c r="D76" s="61">
        <f>'Growth Rates'!D117*$D$54</f>
        <v>3.3522481984908564E-2</v>
      </c>
      <c r="E76" s="61">
        <f>'Growth Rates'!E117*$D$54</f>
        <v>5.0784658491279902E-2</v>
      </c>
      <c r="F76" s="61">
        <f>'Growth Rates'!F117*$D$54</f>
        <v>6.8389649308909881E-2</v>
      </c>
      <c r="G76" s="61">
        <f>'Growth Rates'!G117*$D$54</f>
        <v>8.6344262481498055E-2</v>
      </c>
      <c r="H76" s="61">
        <f>'Growth Rates'!H117*$D$54</f>
        <v>0.10309332621611789</v>
      </c>
      <c r="I76" s="61">
        <f>'Growth Rates'!I117*$D$54</f>
        <v>0.11855614724525769</v>
      </c>
      <c r="J76" s="61">
        <f>'Growth Rates'!J117*$D$54</f>
        <v>0.13265696717990993</v>
      </c>
      <c r="K76" s="61">
        <f>'Growth Rates'!K117*$D$54</f>
        <v>0.14532557390672199</v>
      </c>
      <c r="L76" s="61">
        <f>'Growth Rates'!L117*$D$54</f>
        <v>0.15649787814504573</v>
      </c>
      <c r="M76" s="61">
        <f>'Growth Rates'!M117*$D$54</f>
        <v>0.16611644861122968</v>
      </c>
      <c r="N76" s="61">
        <f>'Growth Rates'!N117*$D$54</f>
        <v>0.17413099959825634</v>
      </c>
      <c r="O76" s="61">
        <f>'Growth Rates'!O117*$D$54</f>
        <v>0.18220966699317911</v>
      </c>
      <c r="P76" s="61">
        <f>'Growth Rates'!P117*$D$54</f>
        <v>0.19035296372726124</v>
      </c>
      <c r="Q76" s="61">
        <f>'Growth Rates'!Q117*$D$54</f>
        <v>0.19856140683521617</v>
      </c>
      <c r="R76" s="61">
        <f>'Growth Rates'!R117*$D$54</f>
        <v>0.20683551748803469</v>
      </c>
      <c r="S76" s="61">
        <f>'Growth Rates'!S117*$D$54</f>
        <v>0.21517582102607569</v>
      </c>
      <c r="T76" s="61">
        <f>'Growth Rates'!T117*$D$54</f>
        <v>0.22358284699242109</v>
      </c>
      <c r="U76" s="61">
        <f>'Growth Rates'!U117*$D$54</f>
        <v>0.23205712916649723</v>
      </c>
      <c r="V76" s="61">
        <f>'Growth Rates'!V117*$D$54</f>
        <v>0.24059920559796591</v>
      </c>
      <c r="W76" s="61">
        <f>'Growth Rates'!W117*$D$54</f>
        <v>0.24920961864088648</v>
      </c>
      <c r="X76" s="61">
        <f>'Growth Rates'!X117*$D$54</f>
        <v>0.25788891498815036</v>
      </c>
      <c r="Y76" s="61">
        <f>'Growth Rates'!Y117*$D$54</f>
        <v>0.26663764570619236</v>
      </c>
      <c r="Z76" s="61">
        <f>'Growth Rates'!Z117*$D$54</f>
        <v>0.27545636626997871</v>
      </c>
      <c r="AA76" s="61">
        <f>'Growth Rates'!AA117*$D$54</f>
        <v>0.28434563659827522</v>
      </c>
      <c r="AB76" s="61">
        <f>'Growth Rates'!AB117*$D$54</f>
        <v>0.29330602108919818</v>
      </c>
      <c r="AC76" s="61">
        <f>'Growth Rates'!AC117*$D$54</f>
        <v>0.30233808865604844</v>
      </c>
      <c r="AD76" s="61">
        <f>'Growth Rates'!AD117*$D$54</f>
        <v>0.31144241276343365</v>
      </c>
      <c r="AE76" s="61">
        <f>'Growth Rates'!AE117*$D$54</f>
        <v>0.32061957146367798</v>
      </c>
      <c r="AF76" s="61">
        <f>'Growth Rates'!AF117*$D$54</f>
        <v>0.32987014743352411</v>
      </c>
      <c r="AG76" s="61">
        <f>'Growth Rates'!AG117*$D$54</f>
        <v>0.33919472801112904</v>
      </c>
      <c r="AH76" s="61">
        <f>'Growth Rates'!AH117*$D$54</f>
        <v>0.34859390523335493</v>
      </c>
      <c r="AI76" s="61">
        <f>'Growth Rates'!AI117*$D$54</f>
        <v>0.35806827587335854</v>
      </c>
      <c r="AJ76" s="61">
        <f>'Growth Rates'!AJ117*$D$54</f>
        <v>0.36761844147848222</v>
      </c>
      <c r="AK76" s="61">
        <f>'Growth Rates'!AK117*$D$54</f>
        <v>0.37724500840844682</v>
      </c>
    </row>
    <row r="77" spans="1:37" x14ac:dyDescent="0.25">
      <c r="A77" s="1" t="s">
        <v>12</v>
      </c>
      <c r="B77">
        <f>'Growth Rates'!B118*$D$54</f>
        <v>0</v>
      </c>
      <c r="C77" s="61">
        <f>'Growth Rates'!C118*$D$54</f>
        <v>2.2563965468711464E-2</v>
      </c>
      <c r="D77" s="61">
        <f>'Growth Rates'!D118*$D$54</f>
        <v>4.5737158005078125E-2</v>
      </c>
      <c r="E77" s="61">
        <f>'Growth Rates'!E118*$D$54</f>
        <v>6.953602673992676E-2</v>
      </c>
      <c r="F77" s="61">
        <f>'Growth Rates'!F118*$D$54</f>
        <v>9.3977464930616164E-2</v>
      </c>
      <c r="G77" s="61">
        <f>'Growth Rates'!G118*$D$54</f>
        <v>0.11907882195245427</v>
      </c>
      <c r="H77" s="61">
        <f>'Growth Rates'!H118*$D$54</f>
        <v>0.14199357187372341</v>
      </c>
      <c r="I77" s="61">
        <f>'Growth Rates'!I118*$D$54</f>
        <v>0.16252518780318045</v>
      </c>
      <c r="J77" s="61">
        <f>'Growth Rates'!J118*$D$54</f>
        <v>0.18049328482944535</v>
      </c>
      <c r="K77" s="61">
        <f>'Growth Rates'!K118*$D$54</f>
        <v>0.19573622047339334</v>
      </c>
      <c r="L77" s="61">
        <f>'Growth Rates'!L118*$D$54</f>
        <v>0.2081134842162792</v>
      </c>
      <c r="M77" s="61">
        <f>'Growth Rates'!M118*$D$54</f>
        <v>0.21750782739712954</v>
      </c>
      <c r="N77" s="61">
        <f>'Growth Rates'!N118*$D$54</f>
        <v>0.22382708891011494</v>
      </c>
      <c r="O77" s="61">
        <f>'Growth Rates'!O118*$D$54</f>
        <v>0.23018426599217823</v>
      </c>
      <c r="P77" s="61">
        <f>'Growth Rates'!P118*$D$54</f>
        <v>0.23657958613673391</v>
      </c>
      <c r="Q77" s="61">
        <f>'Growth Rates'!Q118*$D$54</f>
        <v>0.24301327820215685</v>
      </c>
      <c r="R77" s="61">
        <f>'Growth Rates'!R118*$D$54</f>
        <v>0.24948557241997241</v>
      </c>
      <c r="S77" s="61">
        <f>'Growth Rates'!S118*$D$54</f>
        <v>0.2559967004030948</v>
      </c>
      <c r="T77" s="61">
        <f>'Growth Rates'!T118*$D$54</f>
        <v>0.26254689515411589</v>
      </c>
      <c r="U77" s="61">
        <f>'Growth Rates'!U118*$D$54</f>
        <v>0.26913639107364323</v>
      </c>
      <c r="V77" s="61">
        <f>'Growth Rates'!V118*$D$54</f>
        <v>0.27576542396868758</v>
      </c>
      <c r="W77" s="61">
        <f>'Growth Rates'!W118*$D$54</f>
        <v>0.28243423106110233</v>
      </c>
      <c r="X77" s="61">
        <f>'Growth Rates'!X118*$D$54</f>
        <v>0.28914305099607157</v>
      </c>
      <c r="Y77" s="61">
        <f>'Growth Rates'!Y118*$D$54</f>
        <v>0.29589212385065056</v>
      </c>
      <c r="Z77" s="61">
        <f>'Growth Rates'!Z118*$D$54</f>
        <v>0.3026816911423571</v>
      </c>
      <c r="AA77" s="61">
        <f>'Growth Rates'!AA118*$D$54</f>
        <v>0.3095119958378138</v>
      </c>
      <c r="AB77" s="61">
        <f>'Growth Rates'!AB118*$D$54</f>
        <v>0.31638328236144331</v>
      </c>
      <c r="AC77" s="61">
        <f>'Growth Rates'!AC118*$D$54</f>
        <v>0.32329579660421448</v>
      </c>
      <c r="AD77" s="61">
        <f>'Growth Rates'!AD118*$D$54</f>
        <v>0.33024978593244242</v>
      </c>
      <c r="AE77" s="61">
        <f>'Growth Rates'!AE118*$D$54</f>
        <v>0.33724549919663971</v>
      </c>
      <c r="AF77" s="61">
        <f>'Growth Rates'!AF118*$D$54</f>
        <v>0.34428318674042213</v>
      </c>
      <c r="AG77" s="61">
        <f>'Growth Rates'!AG118*$D$54</f>
        <v>0.35136310040946722</v>
      </c>
      <c r="AH77" s="61">
        <f>'Growth Rates'!AH118*$D$54</f>
        <v>0.35848549356052667</v>
      </c>
      <c r="AI77" s="61">
        <f>'Growth Rates'!AI118*$D$54</f>
        <v>0.36565062107049245</v>
      </c>
      <c r="AJ77" s="61">
        <f>'Growth Rates'!AJ118*$D$54</f>
        <v>0.372858739345518</v>
      </c>
      <c r="AK77" s="61">
        <f>'Growth Rates'!AK118*$D$54</f>
        <v>0.38011010633019365</v>
      </c>
    </row>
    <row r="78" spans="1:37" x14ac:dyDescent="0.25">
      <c r="A78" s="1" t="s">
        <v>13</v>
      </c>
      <c r="B78">
        <f>'Growth Rates'!B119*$D$54</f>
        <v>0</v>
      </c>
      <c r="C78" s="61">
        <f>'Growth Rates'!C119*$D$54</f>
        <v>1.5878346070574707E-2</v>
      </c>
      <c r="D78" s="61">
        <f>'Growth Rates'!D119*$D$54</f>
        <v>3.2058380716490385E-2</v>
      </c>
      <c r="E78" s="61">
        <f>'Growth Rates'!E119*$D$54</f>
        <v>4.8545836020678475E-2</v>
      </c>
      <c r="F78" s="61">
        <f>'Growth Rates'!F119*$D$54</f>
        <v>6.5346552975646136E-2</v>
      </c>
      <c r="G78" s="61">
        <f>'Growth Rates'!G119*$D$54</f>
        <v>8.2466483552758027E-2</v>
      </c>
      <c r="H78" s="61">
        <f>'Growth Rates'!H119*$D$54</f>
        <v>0.10030519377154358</v>
      </c>
      <c r="I78" s="61">
        <f>'Growth Rates'!I119*$D$54</f>
        <v>0.11889163076823935</v>
      </c>
      <c r="J78" s="61">
        <f>'Growth Rates'!J119*$D$54</f>
        <v>0.13825625303767042</v>
      </c>
      <c r="K78" s="61">
        <f>'Growth Rates'!K119*$D$54</f>
        <v>0.15843111136362617</v>
      </c>
      <c r="L78" s="61">
        <f>'Growth Rates'!L119*$D$54</f>
        <v>0.17944993469896137</v>
      </c>
      <c r="M78" s="61">
        <f>'Growth Rates'!M119*$D$54</f>
        <v>0.2013482213103005</v>
      </c>
      <c r="N78" s="61">
        <f>'Growth Rates'!N119*$D$54</f>
        <v>0.22416333552400314</v>
      </c>
      <c r="O78" s="61">
        <f>'Growth Rates'!O119*$D$54</f>
        <v>0.24748038225040722</v>
      </c>
      <c r="P78" s="61">
        <f>'Growth Rates'!P119*$D$54</f>
        <v>0.27131040400479217</v>
      </c>
      <c r="Q78" s="61">
        <f>'Growth Rates'!Q119*$D$54</f>
        <v>0.2956646862377737</v>
      </c>
      <c r="R78" s="61">
        <f>'Growth Rates'!R119*$D$54</f>
        <v>0.32055476267988081</v>
      </c>
      <c r="S78" s="61">
        <f>'Growth Rates'!S119*$D$54</f>
        <v>0.34599242080371423</v>
      </c>
      <c r="T78" s="61">
        <f>'Growth Rates'!T119*$D$54</f>
        <v>0.37198970740627213</v>
      </c>
      <c r="U78" s="61">
        <f>'Growth Rates'!U119*$D$54</f>
        <v>0.39855893431408612</v>
      </c>
      <c r="V78" s="61">
        <f>'Growth Rates'!V119*$D$54</f>
        <v>0.42571268421387209</v>
      </c>
      <c r="W78" s="61">
        <f>'Growth Rates'!W119*$D$54</f>
        <v>0.45346381661145335</v>
      </c>
      <c r="X78" s="61">
        <f>'Growth Rates'!X119*$D$54</f>
        <v>0.48182547392178143</v>
      </c>
      <c r="Y78" s="61">
        <f>'Growth Rates'!Y119*$D$54</f>
        <v>0.51081108769293682</v>
      </c>
      <c r="Z78" s="61">
        <f>'Growth Rates'!Z119*$D$54</f>
        <v>0.54043438496705754</v>
      </c>
      <c r="AA78" s="61">
        <f>'Growth Rates'!AA119*$D$54</f>
        <v>0.57070939478120875</v>
      </c>
      <c r="AB78" s="61">
        <f>'Growth Rates'!AB119*$D$54</f>
        <v>0.60165045481127144</v>
      </c>
      <c r="AC78" s="61">
        <f>'Growth Rates'!AC119*$D$54</f>
        <v>0.63327221816199541</v>
      </c>
      <c r="AD78" s="61">
        <f>'Growth Rates'!AD119*$D$54</f>
        <v>0.6655896603064354</v>
      </c>
      <c r="AE78" s="61">
        <f>'Growth Rates'!AE119*$D$54</f>
        <v>0.6986180861780531</v>
      </c>
      <c r="AF78" s="61">
        <f>'Growth Rates'!AF119*$D$54</f>
        <v>0.73237313741884624</v>
      </c>
      <c r="AG78" s="61">
        <f>'Growth Rates'!AG119*$D$54</f>
        <v>0.76687079978693695</v>
      </c>
      <c r="AH78" s="61">
        <f>'Growth Rates'!AH119*$D$54</f>
        <v>0.80212741072712557</v>
      </c>
      <c r="AI78" s="61">
        <f>'Growth Rates'!AI119*$D$54</f>
        <v>0.83815966710799839</v>
      </c>
      <c r="AJ78" s="61">
        <f>'Growth Rates'!AJ119*$D$54</f>
        <v>0.87498463312925046</v>
      </c>
      <c r="AK78" s="61">
        <f>'Growth Rates'!AK119*$D$54</f>
        <v>0.91261974840297011</v>
      </c>
    </row>
    <row r="79" spans="1:37" x14ac:dyDescent="0.25">
      <c r="A79" s="1" t="s">
        <v>14</v>
      </c>
      <c r="B79">
        <f>'Growth Rates'!B120*$D$54</f>
        <v>0</v>
      </c>
      <c r="C79" s="61">
        <f>'Growth Rates'!C120*$D$54</f>
        <v>1.9221155769643086E-2</v>
      </c>
      <c r="D79" s="61">
        <f>'Growth Rates'!D120*$D$54</f>
        <v>3.8884398121987969E-2</v>
      </c>
      <c r="E79" s="61">
        <f>'Growth Rates'!E120*$D$54</f>
        <v>5.8999895048436744E-2</v>
      </c>
      <c r="F79" s="61">
        <f>'Growth Rates'!F120*$D$54</f>
        <v>7.9578048404193885E-2</v>
      </c>
      <c r="G79" s="61">
        <f>'Growth Rates'!G120*$D$54</f>
        <v>0.10062949928713336</v>
      </c>
      <c r="H79" s="61">
        <f>'Growth Rates'!H120*$D$54</f>
        <v>0.1218976101335079</v>
      </c>
      <c r="I79" s="61">
        <f>'Growth Rates'!I120*$D$54</f>
        <v>0.1433752109162785</v>
      </c>
      <c r="J79" s="61">
        <f>'Growth Rates'!J120*$D$54</f>
        <v>0.16505478713498178</v>
      </c>
      <c r="K79" s="61">
        <f>'Growth Rates'!K120*$D$54</f>
        <v>0.18692848048084137</v>
      </c>
      <c r="L79" s="61">
        <f>'Growth Rates'!L120*$D$54</f>
        <v>0.20898809000833257</v>
      </c>
      <c r="M79" s="61">
        <f>'Growth Rates'!M120*$D$54</f>
        <v>0.23122507382283808</v>
      </c>
      <c r="N79" s="61">
        <f>'Growth Rates'!N120*$D$54</f>
        <v>0.25363055129322659</v>
      </c>
      <c r="O79" s="61">
        <f>'Growth Rates'!O120*$D$54</f>
        <v>0.27650654379049333</v>
      </c>
      <c r="P79" s="61">
        <f>'Growth Rates'!P120*$D$54</f>
        <v>0.29986293213020249</v>
      </c>
      <c r="Q79" s="61">
        <f>'Growth Rates'!Q120*$D$54</f>
        <v>0.32370980462504562</v>
      </c>
      <c r="R79" s="61">
        <f>'Growth Rates'!R120*$D$54</f>
        <v>0.34805746144228039</v>
      </c>
      <c r="S79" s="61">
        <f>'Growth Rates'!S120*$D$54</f>
        <v>0.37291641905267714</v>
      </c>
      <c r="T79" s="61">
        <f>'Growth Rates'!T120*$D$54</f>
        <v>0.39829741477289221</v>
      </c>
      <c r="U79" s="61">
        <f>'Growth Rates'!U120*$D$54</f>
        <v>0.42421141140323193</v>
      </c>
      <c r="V79" s="61">
        <f>'Growth Rates'!V120*$D$54</f>
        <v>0.45066960196280864</v>
      </c>
      <c r="W79" s="61">
        <f>'Growth Rates'!W120*$D$54</f>
        <v>0.47768341452413648</v>
      </c>
      <c r="X79" s="61">
        <f>'Growth Rates'!X120*$D$54</f>
        <v>0.50526451714925213</v>
      </c>
      <c r="Y79" s="61">
        <f>'Growth Rates'!Y120*$D$54</f>
        <v>0.53342482292949522</v>
      </c>
      <c r="Z79" s="61">
        <f>'Growth Rates'!Z120*$D$54</f>
        <v>0.56217649513112344</v>
      </c>
      <c r="AA79" s="61">
        <f>'Growth Rates'!AA120*$D$54</f>
        <v>0.59153195244898571</v>
      </c>
      <c r="AB79" s="61">
        <f>'Growth Rates'!AB120*$D$54</f>
        <v>0.62150387437052335</v>
      </c>
      <c r="AC79" s="61">
        <f>'Growth Rates'!AC120*$D$54</f>
        <v>0.65210520665241323</v>
      </c>
      <c r="AD79" s="61">
        <f>'Growth Rates'!AD120*$D$54</f>
        <v>0.68334916691222281</v>
      </c>
      <c r="AE79" s="61">
        <f>'Growth Rates'!AE120*$D$54</f>
        <v>0.71524925033748832</v>
      </c>
      <c r="AF79" s="61">
        <f>'Growth Rates'!AF120*$D$54</f>
        <v>0.74781923551468443</v>
      </c>
      <c r="AG79" s="61">
        <f>'Growth Rates'!AG120*$D$54</f>
        <v>0.78107319038060152</v>
      </c>
      <c r="AH79" s="61">
        <f>'Growth Rates'!AH120*$D$54</f>
        <v>0.81502547829870298</v>
      </c>
      <c r="AI79" s="61">
        <f>'Growth Rates'!AI120*$D$54</f>
        <v>0.84969076426308476</v>
      </c>
      <c r="AJ79" s="61">
        <f>'Growth Rates'!AJ120*$D$54</f>
        <v>0.88508402123271823</v>
      </c>
      <c r="AK79" s="61">
        <f>'Growth Rates'!AK120*$D$54</f>
        <v>0.92122053659871417</v>
      </c>
    </row>
    <row r="80" spans="1:37" x14ac:dyDescent="0.25">
      <c r="A80" s="1" t="s">
        <v>15</v>
      </c>
      <c r="B80">
        <f>'Growth Rates'!B121*$D$54</f>
        <v>0</v>
      </c>
      <c r="C80" s="61">
        <f>'Growth Rates'!C121*$D$54</f>
        <v>2.0892560619177276E-2</v>
      </c>
      <c r="D80" s="61">
        <f>'Growth Rates'!D121*$D$54</f>
        <v>4.2307435253834069E-2</v>
      </c>
      <c r="E80" s="61">
        <f>'Growth Rates'!E121*$D$54</f>
        <v>6.425768175435724E-2</v>
      </c>
      <c r="F80" s="61">
        <f>'Growth Rates'!F121*$D$54</f>
        <v>8.6756684417393426E-2</v>
      </c>
      <c r="G80" s="61">
        <f>'Growth Rates'!G121*$D$54</f>
        <v>0.10981816214700552</v>
      </c>
      <c r="H80" s="61">
        <f>'Growth Rates'!H121*$D$54</f>
        <v>0.13183528438514816</v>
      </c>
      <c r="I80" s="61">
        <f>'Growth Rates'!I121*$D$54</f>
        <v>0.15270645496828947</v>
      </c>
      <c r="J80" s="61">
        <f>'Growth Rates'!J121*$D$54</f>
        <v>0.17233343129446346</v>
      </c>
      <c r="K80" s="61">
        <f>'Growth Rates'!K121*$D$54</f>
        <v>0.1906220818258661</v>
      </c>
      <c r="L80" s="61">
        <f>'Growth Rates'!L121*$D$54</f>
        <v>0.20748312729132182</v>
      </c>
      <c r="M80" s="61">
        <f>'Growth Rates'!M121*$D$54</f>
        <v>0.22283285755732424</v>
      </c>
      <c r="N80" s="61">
        <f>'Growth Rates'!N121*$D$54</f>
        <v>0.23659381622754153</v>
      </c>
      <c r="O80" s="61">
        <f>'Growth Rates'!O121*$D$54</f>
        <v>0.25053366736047172</v>
      </c>
      <c r="P80" s="61">
        <f>'Growth Rates'!P121*$D$54</f>
        <v>0.26465473655812993</v>
      </c>
      <c r="Q80" s="61">
        <f>'Growth Rates'!Q121*$D$54</f>
        <v>0.27895937965535772</v>
      </c>
      <c r="R80" s="61">
        <f>'Growth Rates'!R121*$D$54</f>
        <v>0.29344998311284953</v>
      </c>
      <c r="S80" s="61">
        <f>'Growth Rates'!S121*$D$54</f>
        <v>0.3081289644152887</v>
      </c>
      <c r="T80" s="61">
        <f>'Growth Rates'!T121*$D$54</f>
        <v>0.32299877247465963</v>
      </c>
      <c r="U80" s="61">
        <f>'Growth Rates'!U121*$D$54</f>
        <v>0.33806188803880233</v>
      </c>
      <c r="V80" s="61">
        <f>'Growth Rates'!V121*$D$54</f>
        <v>0.35332082410527887</v>
      </c>
      <c r="W80" s="61">
        <f>'Growth Rates'!W121*$D$54</f>
        <v>0.36877812634061968</v>
      </c>
      <c r="X80" s="61">
        <f>'Growth Rates'!X121*$D$54</f>
        <v>0.38443637350501986</v>
      </c>
      <c r="Y80" s="61">
        <f>'Growth Rates'!Y121*$D$54</f>
        <v>0.40029817788255717</v>
      </c>
      <c r="Z80" s="61">
        <f>'Growth Rates'!Z121*$D$54</f>
        <v>0.41636618571700251</v>
      </c>
      <c r="AA80" s="61">
        <f>'Growth Rates'!AA121*$D$54</f>
        <v>0.43264307765329557</v>
      </c>
      <c r="AB80" s="61">
        <f>'Growth Rates'!AB121*$D$54</f>
        <v>0.44913156918476055</v>
      </c>
      <c r="AC80" s="61">
        <f>'Growth Rates'!AC121*$D$54</f>
        <v>0.46583441110613449</v>
      </c>
      <c r="AD80" s="61">
        <f>'Growth Rates'!AD121*$D$54</f>
        <v>0.48275438997248638</v>
      </c>
      <c r="AE80" s="61">
        <f>'Growth Rates'!AE121*$D$54</f>
        <v>0.49989432856410088</v>
      </c>
      <c r="AF80" s="61">
        <f>'Growth Rates'!AF121*$D$54</f>
        <v>0.5172570863574063</v>
      </c>
      <c r="AG80" s="61">
        <f>'Growth Rates'!AG121*$D$54</f>
        <v>0.53484556000202466</v>
      </c>
      <c r="AH80" s="61">
        <f>'Growth Rates'!AH121*$D$54</f>
        <v>0.55266268380402306</v>
      </c>
      <c r="AI80" s="61">
        <f>'Growth Rates'!AI121*$D$54</f>
        <v>0.57071143021544757</v>
      </c>
      <c r="AJ80" s="61">
        <f>'Growth Rates'!AJ121*$D$54</f>
        <v>0.58899481033022039</v>
      </c>
      <c r="AK80" s="61">
        <f>'Growth Rates'!AK121*$D$54</f>
        <v>0.60751587438648524</v>
      </c>
    </row>
    <row r="81" spans="1:37" x14ac:dyDescent="0.25">
      <c r="A81" s="1" t="s">
        <v>16</v>
      </c>
      <c r="B81">
        <f>'Growth Rates'!B122*$D$54</f>
        <v>0</v>
      </c>
      <c r="C81" s="61">
        <f>'Growth Rates'!C122*$D$54</f>
        <v>6.1591487928668746E-2</v>
      </c>
      <c r="D81" s="61">
        <f>'Growth Rates'!D122*$D$54</f>
        <v>0.1277222846744977</v>
      </c>
      <c r="E81" s="61">
        <f>'Growth Rates'!E122*$D$54</f>
        <v>0.19872693848807307</v>
      </c>
      <c r="F81" s="61">
        <f>'Growth Rates'!F122*$D$54</f>
        <v>0.27496465391380892</v>
      </c>
      <c r="G81" s="61">
        <f>'Growth Rates'!G122*$D$54</f>
        <v>0.35682110896527003</v>
      </c>
      <c r="H81" s="61">
        <f>'Growth Rates'!H122*$D$54</f>
        <v>0.43385839738047821</v>
      </c>
      <c r="I81" s="61">
        <f>'Growth Rates'!I122*$D$54</f>
        <v>0.50431926089112666</v>
      </c>
      <c r="J81" s="61">
        <f>'Growth Rates'!J122*$D$54</f>
        <v>0.56649646797280706</v>
      </c>
      <c r="K81" s="61">
        <f>'Growth Rates'!K122*$D$54</f>
        <v>0.6187986443125586</v>
      </c>
      <c r="L81" s="61">
        <f>'Growth Rates'!L122*$D$54</f>
        <v>0.65981568347431374</v>
      </c>
      <c r="M81" s="61">
        <f>'Growth Rates'!M122*$D$54</f>
        <v>0.68838013538567655</v>
      </c>
      <c r="N81" s="61">
        <f>'Growth Rates'!N122*$D$54</f>
        <v>0.70362096098720439</v>
      </c>
      <c r="O81" s="61">
        <f>'Growth Rates'!O122*$D$54</f>
        <v>0.71901419484474738</v>
      </c>
      <c r="P81" s="61">
        <f>'Growth Rates'!P122*$D$54</f>
        <v>0.73456136104086578</v>
      </c>
      <c r="Q81" s="61">
        <f>'Growth Rates'!Q122*$D$54</f>
        <v>0.75026399889894535</v>
      </c>
      <c r="R81" s="61">
        <f>'Growth Rates'!R122*$D$54</f>
        <v>0.76612366313560576</v>
      </c>
      <c r="S81" s="61">
        <f>'Growth Rates'!S122*$D$54</f>
        <v>0.78214192401463289</v>
      </c>
      <c r="T81" s="61">
        <f>'Growth Rates'!T122*$D$54</f>
        <v>0.79832036750245017</v>
      </c>
      <c r="U81" s="61">
        <f>'Growth Rates'!U122*$D$54</f>
        <v>0.81466059542514546</v>
      </c>
      <c r="V81" s="61">
        <f>'Growth Rates'!V122*$D$54</f>
        <v>0.83116422562706782</v>
      </c>
      <c r="W81" s="61">
        <f>'Growth Rates'!W122*$D$54</f>
        <v>0.84783289213100954</v>
      </c>
      <c r="X81" s="61">
        <f>'Growth Rates'!X122*$D$54</f>
        <v>0.86466824529999065</v>
      </c>
      <c r="Y81" s="61">
        <f>'Growth Rates'!Y122*$D$54</f>
        <v>0.88167195200066129</v>
      </c>
      <c r="Z81" s="61">
        <f>'Growth Rates'!Z122*$D$54</f>
        <v>0.89884569576833884</v>
      </c>
      <c r="AA81" s="61">
        <f>'Growth Rates'!AA122*$D$54</f>
        <v>0.91619117697369334</v>
      </c>
      <c r="AB81" s="61">
        <f>'Growth Rates'!AB122*$D$54</f>
        <v>0.93371011299110129</v>
      </c>
      <c r="AC81" s="61">
        <f>'Growth Rates'!AC122*$D$54</f>
        <v>0.95140423836868349</v>
      </c>
      <c r="AD81" s="61">
        <f>'Growth Rates'!AD122*$D$54</f>
        <v>0.96927530500004111</v>
      </c>
      <c r="AE81" s="61">
        <f>'Growth Rates'!AE122*$D$54</f>
        <v>0.98732508229771265</v>
      </c>
      <c r="AF81" s="61">
        <f>'Growth Rates'!AF122*$D$54</f>
        <v>1.0055553573683607</v>
      </c>
      <c r="AG81" s="61">
        <f>'Growth Rates'!AG122*$D$54</f>
        <v>1.0239679351897155</v>
      </c>
      <c r="AH81" s="61">
        <f>'Growth Rates'!AH122*$D$54</f>
        <v>1.0425646387892835</v>
      </c>
      <c r="AI81" s="61">
        <f>'Growth Rates'!AI122*$D$54</f>
        <v>1.0613473094248471</v>
      </c>
      <c r="AJ81" s="61">
        <f>'Growth Rates'!AJ122*$D$54</f>
        <v>1.0803178067667667</v>
      </c>
      <c r="AK81" s="61">
        <f>'Growth Rates'!AK122*$D$54</f>
        <v>1.0994780090821055</v>
      </c>
    </row>
    <row r="82" spans="1:37" x14ac:dyDescent="0.25">
      <c r="A82" s="1" t="s">
        <v>17</v>
      </c>
      <c r="B82">
        <f>'Growth Rates'!B123*$D$54</f>
        <v>0</v>
      </c>
      <c r="C82" s="61">
        <f>'Growth Rates'!C123*$D$54</f>
        <v>1.495656942602829E-2</v>
      </c>
      <c r="D82" s="61">
        <f>'Growth Rates'!D123*$D$54</f>
        <v>3.0180816631091234E-2</v>
      </c>
      <c r="E82" s="61">
        <f>'Growth Rates'!E123*$D$54</f>
        <v>4.5677532245402837E-2</v>
      </c>
      <c r="F82" s="61">
        <f>'Growth Rates'!F123*$D$54</f>
        <v>6.145159263710398E-2</v>
      </c>
      <c r="G82" s="61">
        <f>'Growth Rates'!G123*$D$54</f>
        <v>7.7507961446714319E-2</v>
      </c>
      <c r="H82" s="61">
        <f>'Growth Rates'!H123*$D$54</f>
        <v>9.282145888616164E-2</v>
      </c>
      <c r="I82" s="61">
        <f>'Growth Rates'!I123*$D$54</f>
        <v>0.10734423814185655</v>
      </c>
      <c r="J82" s="61">
        <f>'Growth Rates'!J123*$D$54</f>
        <v>0.12103027221608989</v>
      </c>
      <c r="K82" s="61">
        <f>'Growth Rates'!K123*$D$54</f>
        <v>0.13383559419649813</v>
      </c>
      <c r="L82" s="61">
        <f>'Growth Rates'!L123*$D$54</f>
        <v>0.14571853020527251</v>
      </c>
      <c r="M82" s="61">
        <f>'Growth Rates'!M123*$D$54</f>
        <v>0.15663992332030338</v>
      </c>
      <c r="N82" s="61">
        <f>'Growth Rates'!N123*$D$54</f>
        <v>0.16656334680117732</v>
      </c>
      <c r="O82" s="61">
        <f>'Growth Rates'!O123*$D$54</f>
        <v>0.17658600451686002</v>
      </c>
      <c r="P82" s="61">
        <f>'Growth Rates'!P123*$D$54</f>
        <v>0.18670888880969949</v>
      </c>
      <c r="Q82" s="61">
        <f>'Growth Rates'!Q123*$D$54</f>
        <v>0.19693300194546751</v>
      </c>
      <c r="R82" s="61">
        <f>'Growth Rates'!R123*$D$54</f>
        <v>0.20725935621259312</v>
      </c>
      <c r="S82" s="61">
        <f>'Growth Rates'!S123*$D$54</f>
        <v>0.21768897402239007</v>
      </c>
      <c r="T82" s="61">
        <f>'Growth Rates'!T123*$D$54</f>
        <v>0.22822288801028501</v>
      </c>
      <c r="U82" s="61">
        <f>'Growth Rates'!U123*$D$54</f>
        <v>0.23886214113805879</v>
      </c>
      <c r="V82" s="61">
        <f>'Growth Rates'!V123*$D$54</f>
        <v>0.24960778679711024</v>
      </c>
      <c r="W82" s="61">
        <f>'Growth Rates'!W123*$D$54</f>
        <v>0.26046088891275238</v>
      </c>
      <c r="X82" s="61">
        <f>'Growth Rates'!X123*$D$54</f>
        <v>0.27142252204955081</v>
      </c>
      <c r="Y82" s="61">
        <f>'Growth Rates'!Y123*$D$54</f>
        <v>0.28249377151771721</v>
      </c>
      <c r="Z82" s="61">
        <f>'Growth Rates'!Z123*$D$54</f>
        <v>0.29367573348056536</v>
      </c>
      <c r="AA82" s="61">
        <f>'Growth Rates'!AA123*$D$54</f>
        <v>0.30496951506304193</v>
      </c>
      <c r="AB82" s="61">
        <f>'Growth Rates'!AB123*$D$54</f>
        <v>0.31637623446134322</v>
      </c>
      <c r="AC82" s="61">
        <f>'Growth Rates'!AC123*$D$54</f>
        <v>0.32789702105362756</v>
      </c>
      <c r="AD82" s="61">
        <f>'Growth Rates'!AD123*$D$54</f>
        <v>0.33953301551183473</v>
      </c>
      <c r="AE82" s="61">
        <f>'Growth Rates'!AE123*$D$54</f>
        <v>0.351285369914624</v>
      </c>
      <c r="AF82" s="61">
        <f>'Growth Rates'!AF123*$D$54</f>
        <v>0.36315524786144121</v>
      </c>
      <c r="AG82" s="61">
        <f>'Growth Rates'!AG123*$D$54</f>
        <v>0.37514382458772666</v>
      </c>
      <c r="AH82" s="61">
        <f>'Growth Rates'!AH123*$D$54</f>
        <v>0.3872522870812749</v>
      </c>
      <c r="AI82" s="61">
        <f>'Growth Rates'!AI123*$D$54</f>
        <v>0.39948183419975858</v>
      </c>
      <c r="AJ82" s="61">
        <f>'Growth Rates'!AJ123*$D$54</f>
        <v>0.41183367678942717</v>
      </c>
      <c r="AK82" s="61">
        <f>'Growth Rates'!AK123*$D$54</f>
        <v>0.42430903780499241</v>
      </c>
    </row>
    <row r="83" spans="1:37" x14ac:dyDescent="0.25">
      <c r="A83" s="1" t="s">
        <v>18</v>
      </c>
      <c r="B83">
        <f>'Growth Rates'!B124*$D$54</f>
        <v>0</v>
      </c>
      <c r="C83" s="61">
        <f>'Growth Rates'!C124*$D$54</f>
        <v>5.1628370158035616E-3</v>
      </c>
      <c r="D83" s="61">
        <f>'Growth Rates'!D124*$D$54</f>
        <v>1.0357569219728883E-2</v>
      </c>
      <c r="E83" s="61">
        <f>'Growth Rates'!E124*$D$54</f>
        <v>1.5584393655188732E-2</v>
      </c>
      <c r="F83" s="61">
        <f>'Growth Rates'!F124*$D$54</f>
        <v>2.0843508582898917E-2</v>
      </c>
      <c r="G83" s="61">
        <f>'Growth Rates'!G124*$D$54</f>
        <v>2.6135113488398417E-2</v>
      </c>
      <c r="H83" s="61">
        <f>'Growth Rates'!H124*$D$54</f>
        <v>3.1806872267199256E-2</v>
      </c>
      <c r="I83" s="61">
        <f>'Growth Rates'!I124*$D$54</f>
        <v>3.786570676476101E-2</v>
      </c>
      <c r="J83" s="61">
        <f>'Growth Rates'!J124*$D$54</f>
        <v>4.4319049755354403E-2</v>
      </c>
      <c r="K83" s="61">
        <f>'Growth Rates'!K124*$D$54</f>
        <v>5.1174860085051545E-2</v>
      </c>
      <c r="L83" s="61">
        <f>'Growth Rates'!L124*$D$54</f>
        <v>5.8441638968737865E-2</v>
      </c>
      <c r="M83" s="61">
        <f>'Growth Rates'!M124*$D$54</f>
        <v>6.6128447487695821E-2</v>
      </c>
      <c r="N83" s="61">
        <f>'Growth Rates'!N124*$D$54</f>
        <v>7.4244925337988751E-2</v>
      </c>
      <c r="O83" s="61">
        <f>'Growth Rates'!O124*$D$54</f>
        <v>8.243445148893444E-2</v>
      </c>
      <c r="P83" s="61">
        <f>'Growth Rates'!P124*$D$54</f>
        <v>9.0697683375238577E-2</v>
      </c>
      <c r="Q83" s="61">
        <f>'Growth Rates'!Q124*$D$54</f>
        <v>9.9035284348519478E-2</v>
      </c>
      <c r="R83" s="61">
        <f>'Growth Rates'!R124*$D$54</f>
        <v>0.10744792373055992</v>
      </c>
      <c r="S83" s="61">
        <f>'Growth Rates'!S124*$D$54</f>
        <v>0.11593627686703867</v>
      </c>
      <c r="T83" s="61">
        <f>'Growth Rates'!T124*$D$54</f>
        <v>0.12450102518174568</v>
      </c>
      <c r="U83" s="61">
        <f>'Growth Rates'!U124*$D$54</f>
        <v>0.13314285623128505</v>
      </c>
      <c r="V83" s="61">
        <f>'Growth Rates'!V124*$D$54</f>
        <v>0.14186246376027031</v>
      </c>
      <c r="W83" s="61">
        <f>'Growth Rates'!W124*$D$54</f>
        <v>0.15066054775701643</v>
      </c>
      <c r="X83" s="61">
        <f>'Growth Rates'!X124*$D$54</f>
        <v>0.15953781450973331</v>
      </c>
      <c r="Y83" s="61">
        <f>'Growth Rates'!Y124*$D$54</f>
        <v>0.1684949766632246</v>
      </c>
      <c r="Z83" s="61">
        <f>'Growth Rates'!Z124*$D$54</f>
        <v>0.17753275327609735</v>
      </c>
      <c r="AA83" s="61">
        <f>'Growth Rates'!AA124*$D$54</f>
        <v>0.18665186987848595</v>
      </c>
      <c r="AB83" s="61">
        <f>'Growth Rates'!AB124*$D$54</f>
        <v>0.19585305853029611</v>
      </c>
      <c r="AC83" s="61">
        <f>'Growth Rates'!AC124*$D$54</f>
        <v>0.20513705787997244</v>
      </c>
      <c r="AD83" s="61">
        <f>'Growth Rates'!AD124*$D$54</f>
        <v>0.21450461322379596</v>
      </c>
      <c r="AE83" s="61">
        <f>'Growth Rates'!AE124*$D$54</f>
        <v>0.22395647656571391</v>
      </c>
      <c r="AF83" s="61">
        <f>'Growth Rates'!AF124*$D$54</f>
        <v>0.23349340667770899</v>
      </c>
      <c r="AG83" s="61">
        <f>'Growth Rates'!AG124*$D$54</f>
        <v>0.24311616916071208</v>
      </c>
      <c r="AH83" s="61">
        <f>'Growth Rates'!AH124*$D$54</f>
        <v>0.25282553650606215</v>
      </c>
      <c r="AI83" s="61">
        <f>'Growth Rates'!AI124*$D$54</f>
        <v>0.26262228815752042</v>
      </c>
      <c r="AJ83" s="61">
        <f>'Growth Rates'!AJ124*$D$54</f>
        <v>0.27250721057384192</v>
      </c>
      <c r="AK83" s="61">
        <f>'Growth Rates'!AK124*$D$54</f>
        <v>0.28248109729191012</v>
      </c>
    </row>
    <row r="84" spans="1:37" x14ac:dyDescent="0.25">
      <c r="A84" s="1" t="s">
        <v>46</v>
      </c>
      <c r="B84">
        <f>'Growth Rates'!B125*$D$54</f>
        <v>0</v>
      </c>
      <c r="C84" s="61">
        <f>'Growth Rates'!C125*$D$54</f>
        <v>4.1785121238353809E-3</v>
      </c>
      <c r="D84" s="61">
        <f>'Growth Rates'!D125*$D$54</f>
        <v>8.3779168082898908E-3</v>
      </c>
      <c r="E84" s="61">
        <f>'Growth Rates'!E125*$D$54</f>
        <v>1.2598318516166732E-2</v>
      </c>
      <c r="F84" s="61">
        <f>'Growth Rates'!F125*$D$54</f>
        <v>1.6839822232582981E-2</v>
      </c>
      <c r="G84" s="61">
        <f>'Growth Rates'!G125*$D$54</f>
        <v>2.1102533467581206E-2</v>
      </c>
      <c r="H84" s="61">
        <f>'Growth Rates'!H125*$D$54</f>
        <v>2.6855366758585405E-2</v>
      </c>
      <c r="I84" s="61">
        <f>'Growth Rates'!I125*$D$54</f>
        <v>3.4125496715730452E-2</v>
      </c>
      <c r="J84" s="61">
        <f>'Growth Rates'!J125*$D$54</f>
        <v>4.2948037062199136E-2</v>
      </c>
      <c r="K84" s="61">
        <f>'Growth Rates'!K125*$D$54</f>
        <v>5.336632110960348E-2</v>
      </c>
      <c r="L84" s="61">
        <f>'Growth Rates'!L125*$D$54</f>
        <v>6.5432254089358696E-2</v>
      </c>
      <c r="M84" s="61">
        <f>'Growth Rates'!M125*$D$54</f>
        <v>7.9206741323307378E-2</v>
      </c>
      <c r="N84" s="61">
        <f>'Growth Rates'!N125*$D$54</f>
        <v>9.4760197146844083E-2</v>
      </c>
      <c r="O84" s="61">
        <f>'Growth Rates'!O125*$D$54</f>
        <v>0.11057806171938102</v>
      </c>
      <c r="P84" s="61">
        <f>'Growth Rates'!P125*$D$54</f>
        <v>0.12666482998965109</v>
      </c>
      <c r="Q84" s="61">
        <f>'Growth Rates'!Q125*$D$54</f>
        <v>0.1430250733205157</v>
      </c>
      <c r="R84" s="61">
        <f>'Growth Rates'!R125*$D$54</f>
        <v>0.15966344078800493</v>
      </c>
      <c r="S84" s="61">
        <f>'Growth Rates'!S125*$D$54</f>
        <v>0.17658466050244145</v>
      </c>
      <c r="T84" s="61">
        <f>'Growth Rates'!T125*$D$54</f>
        <v>0.19379354095202347</v>
      </c>
      <c r="U84" s="61">
        <f>'Growth Rates'!U125*$D$54</f>
        <v>0.21129497236924841</v>
      </c>
      <c r="V84" s="61">
        <f>'Growth Rates'!V125*$D$54</f>
        <v>0.22909392812056606</v>
      </c>
      <c r="W84" s="61">
        <f>'Growth Rates'!W125*$D$54</f>
        <v>0.24719546611965609</v>
      </c>
      <c r="X84" s="61">
        <f>'Growth Rates'!X125*$D$54</f>
        <v>0.2656047302647308</v>
      </c>
      <c r="Y84" s="61">
        <f>'Growth Rates'!Y125*$D$54</f>
        <v>0.28432695190027163</v>
      </c>
      <c r="Z84" s="61">
        <f>'Growth Rates'!Z125*$D$54</f>
        <v>0.3033674513036167</v>
      </c>
      <c r="AA84" s="61">
        <f>'Growth Rates'!AA125*$D$54</f>
        <v>0.32273163919681874</v>
      </c>
      <c r="AB84" s="61">
        <f>'Growth Rates'!AB125*$D$54</f>
        <v>0.34242501828420513</v>
      </c>
      <c r="AC84" s="61">
        <f>'Growth Rates'!AC125*$D$54</f>
        <v>0.36245318481607713</v>
      </c>
      <c r="AD84" s="61">
        <f>'Growth Rates'!AD125*$D$54</f>
        <v>0.38282183017899102</v>
      </c>
      <c r="AE84" s="61">
        <f>'Growth Rates'!AE125*$D$54</f>
        <v>0.40353674251307431</v>
      </c>
      <c r="AF84" s="61">
        <f>'Growth Rates'!AF125*$D$54</f>
        <v>0.42460380835683714</v>
      </c>
      <c r="AG84" s="61">
        <f>'Growth Rates'!AG125*$D$54</f>
        <v>0.4460290143199438</v>
      </c>
      <c r="AH84" s="61">
        <f>'Growth Rates'!AH125*$D$54</f>
        <v>0.4678184487844233</v>
      </c>
      <c r="AI84" s="61">
        <f>'Growth Rates'!AI125*$D$54</f>
        <v>0.489978303634799</v>
      </c>
      <c r="AJ84" s="61">
        <f>'Growth Rates'!AJ125*$D$54</f>
        <v>0.51251487601763102</v>
      </c>
      <c r="AK84" s="61">
        <f>'Growth Rates'!AK125*$D$54</f>
        <v>0.53543457013097129</v>
      </c>
    </row>
    <row r="85" spans="1:37" x14ac:dyDescent="0.25">
      <c r="A85" s="1" t="s">
        <v>47</v>
      </c>
      <c r="B85">
        <f>'Growth Rates'!B126*$D$54</f>
        <v>0</v>
      </c>
      <c r="C85" s="61">
        <f>'Growth Rates'!C126*$D$54</f>
        <v>1.6714048495341896E-3</v>
      </c>
      <c r="D85" s="61">
        <f>'Growth Rates'!D126*$D$54</f>
        <v>3.3461525087673579E-3</v>
      </c>
      <c r="E85" s="61">
        <f>'Growth Rates'!E126*$D$54</f>
        <v>5.0242496633190852E-3</v>
      </c>
      <c r="F85" s="61">
        <f>'Growth Rates'!F126*$D$54</f>
        <v>6.7057030121798955E-3</v>
      </c>
      <c r="G85" s="61">
        <f>'Growth Rates'!G126*$D$54</f>
        <v>8.3905192677385318E-3</v>
      </c>
      <c r="H85" s="61">
        <f>'Growth Rates'!H126*$D$54</f>
        <v>1.0802213393552366E-2</v>
      </c>
      <c r="I85" s="61">
        <f>'Growth Rates'!I126*$D$54</f>
        <v>1.3946373478149168E-2</v>
      </c>
      <c r="J85" s="61">
        <f>'Growth Rates'!J126*$D$54</f>
        <v>1.7830482270127592E-2</v>
      </c>
      <c r="K85" s="61">
        <f>'Growth Rates'!K126*$D$54</f>
        <v>2.2463946622615347E-2</v>
      </c>
      <c r="L85" s="61">
        <f>'Growth Rates'!L126*$D$54</f>
        <v>2.7858135242779202E-2</v>
      </c>
      <c r="M85" s="61">
        <f>'Growth Rates'!M126*$D$54</f>
        <v>3.4026424957135412E-2</v>
      </c>
      <c r="N85" s="61">
        <f>'Growth Rates'!N126*$D$54</f>
        <v>4.0984255754929165E-2</v>
      </c>
      <c r="O85" s="61">
        <f>'Growth Rates'!O126*$D$54</f>
        <v>4.7997749199105419E-2</v>
      </c>
      <c r="P85" s="61">
        <f>'Growth Rates'!P126*$D$54</f>
        <v>5.5067350590835097E-2</v>
      </c>
      <c r="Q85" s="61">
        <f>'Growth Rates'!Q126*$D$54</f>
        <v>6.2193508793698525E-2</v>
      </c>
      <c r="R85" s="61">
        <f>'Growth Rates'!R126*$D$54</f>
        <v>6.9376676262184925E-2</v>
      </c>
      <c r="S85" s="61">
        <f>'Growth Rates'!S126*$D$54</f>
        <v>7.661730907041911E-2</v>
      </c>
      <c r="T85" s="61">
        <f>'Growth Rates'!T126*$D$54</f>
        <v>8.391586694111923E-2</v>
      </c>
      <c r="U85" s="61">
        <f>'Growth Rates'!U126*$D$54</f>
        <v>9.1272813274784995E-2</v>
      </c>
      <c r="V85" s="61">
        <f>'Growth Rates'!V126*$D$54</f>
        <v>9.868861517911999E-2</v>
      </c>
      <c r="W85" s="61">
        <f>'Growth Rates'!W126*$D$54</f>
        <v>0.10616374349868975</v>
      </c>
      <c r="X85" s="61">
        <f>'Growth Rates'!X126*$D$54</f>
        <v>0.11369867284481605</v>
      </c>
      <c r="Y85" s="61">
        <f>'Growth Rates'!Y126*$D$54</f>
        <v>0.12129388162571129</v>
      </c>
      <c r="Z85" s="61">
        <f>'Growth Rates'!Z126*$D$54</f>
        <v>0.1289498520768538</v>
      </c>
      <c r="AA85" s="61">
        <f>'Growth Rates'!AA126*$D$54</f>
        <v>0.13666707029160546</v>
      </c>
      <c r="AB85" s="61">
        <f>'Growth Rates'!AB126*$D$54</f>
        <v>0.14444602625207498</v>
      </c>
      <c r="AC85" s="61">
        <f>'Growth Rates'!AC126*$D$54</f>
        <v>0.15228721386022842</v>
      </c>
      <c r="AD85" s="61">
        <f>'Growth Rates'!AD126*$D$54</f>
        <v>0.16019113096924703</v>
      </c>
      <c r="AE85" s="61">
        <f>'Growth Rates'!AE126*$D$54</f>
        <v>0.16815827941513767</v>
      </c>
      <c r="AF85" s="61">
        <f>'Growth Rates'!AF126*$D$54</f>
        <v>0.17618916504859544</v>
      </c>
      <c r="AG85" s="61">
        <f>'Growth Rates'!AG126*$D$54</f>
        <v>0.18428429776712107</v>
      </c>
      <c r="AH85" s="61">
        <f>'Growth Rates'!AH126*$D$54</f>
        <v>0.19244419154739478</v>
      </c>
      <c r="AI85" s="61">
        <f>'Growth Rates'!AI126*$D$54</f>
        <v>0.20066936447791067</v>
      </c>
      <c r="AJ85" s="61">
        <f>'Growth Rates'!AJ126*$D$54</f>
        <v>0.20896033879187068</v>
      </c>
      <c r="AK85" s="61">
        <f>'Growth Rates'!AK126*$D$54</f>
        <v>0.21731764090034231</v>
      </c>
    </row>
    <row r="86" spans="1:37" x14ac:dyDescent="0.25">
      <c r="A86" s="1" t="s">
        <v>48</v>
      </c>
      <c r="B86">
        <f>'Growth Rates'!B127*$D$54</f>
        <v>0</v>
      </c>
      <c r="C86" s="61">
        <f>'Growth Rates'!C127*$D$54</f>
        <v>1.2245889508376977E-2</v>
      </c>
      <c r="D86" s="61">
        <f>'Growth Rates'!D127*$D$54</f>
        <v>2.4671223045402313E-2</v>
      </c>
      <c r="E86" s="61">
        <f>'Growth Rates'!E127*$D$54</f>
        <v>3.7278630077836716E-2</v>
      </c>
      <c r="F86" s="61">
        <f>'Growth Rates'!F127*$D$54</f>
        <v>5.0070778603092961E-2</v>
      </c>
      <c r="G86" s="61">
        <f>'Growth Rates'!G127*$D$54</f>
        <v>6.3050375713841325E-2</v>
      </c>
      <c r="H86" s="61">
        <f>'Growth Rates'!H127*$D$54</f>
        <v>7.6441933635938167E-2</v>
      </c>
      <c r="I86" s="61">
        <f>'Growth Rates'!I127*$D$54</f>
        <v>9.025809768021939E-2</v>
      </c>
      <c r="J86" s="61">
        <f>'Growth Rates'!J127*$D$54</f>
        <v>0.10451201276658049</v>
      </c>
      <c r="K86" s="61">
        <f>'Growth Rates'!K127*$D$54</f>
        <v>0.119217343718884</v>
      </c>
      <c r="L86" s="61">
        <f>'Growth Rates'!L127*$D$54</f>
        <v>0.13438829649868303</v>
      </c>
      <c r="M86" s="61">
        <f>'Growth Rates'!M127*$D$54</f>
        <v>0.15003964042295329</v>
      </c>
      <c r="N86" s="61">
        <f>'Growth Rates'!N127*$D$54</f>
        <v>0.16618673141338886</v>
      </c>
      <c r="O86" s="61">
        <f>'Growth Rates'!O127*$D$54</f>
        <v>0.18259832217172589</v>
      </c>
      <c r="P86" s="61">
        <f>'Growth Rates'!P127*$D$54</f>
        <v>0.19927874537480753</v>
      </c>
      <c r="Q86" s="61">
        <f>'Growth Rates'!Q127*$D$54</f>
        <v>0.21623240467151889</v>
      </c>
      <c r="R86" s="61">
        <f>'Growth Rates'!R127*$D$54</f>
        <v>0.23346377584535513</v>
      </c>
      <c r="S86" s="61">
        <f>'Growth Rates'!S127*$D$54</f>
        <v>0.25097740799603252</v>
      </c>
      <c r="T86" s="61">
        <f>'Growth Rates'!T127*$D$54</f>
        <v>0.26877792474045548</v>
      </c>
      <c r="U86" s="61">
        <f>'Growth Rates'!U127*$D$54</f>
        <v>0.28687002543335638</v>
      </c>
      <c r="V86" s="61">
        <f>'Growth Rates'!V127*$D$54</f>
        <v>0.30525848640793002</v>
      </c>
      <c r="W86" s="61">
        <f>'Growth Rates'!W127*$D$54</f>
        <v>0.3239481622367904</v>
      </c>
      <c r="X86" s="61">
        <f>'Growth Rates'!X127*$D$54</f>
        <v>0.34294398701358292</v>
      </c>
      <c r="Y86" s="61">
        <f>'Growth Rates'!Y127*$D$54</f>
        <v>0.36225097565559022</v>
      </c>
      <c r="Z86" s="61">
        <f>'Growth Rates'!Z127*$D$54</f>
        <v>0.38187422522767522</v>
      </c>
      <c r="AA86" s="61">
        <f>'Growth Rates'!AA127*$D$54</f>
        <v>0.40181891628791205</v>
      </c>
      <c r="AB86" s="61">
        <f>'Growth Rates'!AB127*$D$54</f>
        <v>0.42209031425525811</v>
      </c>
      <c r="AC86" s="61">
        <f>'Growth Rates'!AC127*$D$54</f>
        <v>0.44269377079963068</v>
      </c>
      <c r="AD86" s="61">
        <f>'Growth Rates'!AD127*$D$54</f>
        <v>0.46363472525475258</v>
      </c>
      <c r="AE86" s="61">
        <f>'Growth Rates'!AE127*$D$54</f>
        <v>0.4849187060541425</v>
      </c>
      <c r="AF86" s="61">
        <f>'Growth Rates'!AF127*$D$54</f>
        <v>0.50655133219062709</v>
      </c>
      <c r="AG86" s="61">
        <f>'Growth Rates'!AG127*$D$54</f>
        <v>0.52853831469976009</v>
      </c>
      <c r="AH86" s="61">
        <f>'Growth Rates'!AH127*$D$54</f>
        <v>0.55088545816754286</v>
      </c>
      <c r="AI86" s="61">
        <f>'Growth Rates'!AI127*$D$54</f>
        <v>0.57359866226283984</v>
      </c>
      <c r="AJ86" s="61">
        <f>'Growth Rates'!AJ127*$D$54</f>
        <v>0.59668392329489783</v>
      </c>
      <c r="AK86" s="61">
        <f>'Growth Rates'!AK127*$D$54</f>
        <v>0.62014733579637782</v>
      </c>
    </row>
    <row r="87" spans="1:37" x14ac:dyDescent="0.25">
      <c r="A87" s="1" t="s">
        <v>19</v>
      </c>
      <c r="B87">
        <f>'Growth Rates'!B128*$D$54</f>
        <v>0</v>
      </c>
      <c r="C87" s="61">
        <f>'Growth Rates'!C128*$D$54</f>
        <v>1.6714048495341895E-2</v>
      </c>
      <c r="D87" s="61">
        <f>'Growth Rates'!D128*$D$54</f>
        <v>3.3762377960590589E-2</v>
      </c>
      <c r="E87" s="61">
        <f>'Growth Rates'!E128*$D$54</f>
        <v>5.1151674015144227E-2</v>
      </c>
      <c r="F87" s="61">
        <f>'Growth Rates'!F128*$D$54</f>
        <v>6.888875599078903E-2</v>
      </c>
      <c r="G87" s="61">
        <f>'Growth Rates'!G128*$D$54</f>
        <v>8.6980579605946726E-2</v>
      </c>
      <c r="H87" s="61">
        <f>'Growth Rates'!H128*$D$54</f>
        <v>0.10372068554242911</v>
      </c>
      <c r="I87" s="61">
        <f>'Growth Rates'!I128*$D$54</f>
        <v>0.11901986191032699</v>
      </c>
      <c r="J87" s="61">
        <f>'Growth Rates'!J128*$D$54</f>
        <v>0.13279514061810116</v>
      </c>
      <c r="K87" s="61">
        <f>'Growth Rates'!K128*$D$54</f>
        <v>0.14497053858294376</v>
      </c>
      <c r="L87" s="61">
        <f>'Growth Rates'!L128*$D$54</f>
        <v>0.15547774890455124</v>
      </c>
      <c r="M87" s="61">
        <f>'Growth Rates'!M128*$D$54</f>
        <v>0.16425677329992863</v>
      </c>
      <c r="N87" s="61">
        <f>'Growth Rates'!N128*$D$54</f>
        <v>0.17125648768639767</v>
      </c>
      <c r="O87" s="61">
        <f>'Growth Rates'!O128*$D$54</f>
        <v>0.17830520007357209</v>
      </c>
      <c r="P87" s="61">
        <f>'Growth Rates'!P128*$D$54</f>
        <v>0.18540325344745662</v>
      </c>
      <c r="Q87" s="61">
        <f>'Growth Rates'!Q128*$D$54</f>
        <v>0.19255099319495844</v>
      </c>
      <c r="R87" s="61">
        <f>'Growth Rates'!R128*$D$54</f>
        <v>0.19974876712069267</v>
      </c>
      <c r="S87" s="61">
        <f>'Growth Rates'!S128*$D$54</f>
        <v>0.20699692546390699</v>
      </c>
      <c r="T87" s="61">
        <f>'Growth Rates'!T128*$D$54</f>
        <v>0.21429582091552396</v>
      </c>
      <c r="U87" s="61">
        <f>'Growth Rates'!U128*$D$54</f>
        <v>0.22164580863530212</v>
      </c>
      <c r="V87" s="61">
        <f>'Growth Rates'!V128*$D$54</f>
        <v>0.22904724626911882</v>
      </c>
      <c r="W87" s="61">
        <f>'Growth Rates'!W128*$D$54</f>
        <v>0.23650049396637218</v>
      </c>
      <c r="X87" s="61">
        <f>'Growth Rates'!X128*$D$54</f>
        <v>0.24400591439750627</v>
      </c>
      <c r="Y87" s="61">
        <f>'Growth Rates'!Y128*$D$54</f>
        <v>0.25156387277165831</v>
      </c>
      <c r="Z87" s="61">
        <f>'Growth Rates'!Z128*$D$54</f>
        <v>0.25917473685442938</v>
      </c>
      <c r="AA87" s="61">
        <f>'Growth Rates'!AA128*$D$54</f>
        <v>0.2668388769857799</v>
      </c>
      <c r="AB87" s="61">
        <f>'Growth Rates'!AB128*$D$54</f>
        <v>0.27455666609804991</v>
      </c>
      <c r="AC87" s="61">
        <f>'Growth Rates'!AC128*$D$54</f>
        <v>0.28232847973410585</v>
      </c>
      <c r="AD87" s="61">
        <f>'Growth Rates'!AD128*$D$54</f>
        <v>0.29015469606561417</v>
      </c>
      <c r="AE87" s="61">
        <f>'Growth Rates'!AE128*$D$54</f>
        <v>0.29803569591144302</v>
      </c>
      <c r="AF87" s="61">
        <f>'Growth Rates'!AF128*$D$54</f>
        <v>0.30597186275619276</v>
      </c>
      <c r="AG87" s="61">
        <f>'Growth Rates'!AG128*$D$54</f>
        <v>0.31396358276885566</v>
      </c>
      <c r="AH87" s="61">
        <f>'Growth Rates'!AH128*$D$54</f>
        <v>0.32201124482160726</v>
      </c>
      <c r="AI87" s="61">
        <f>'Growth Rates'!AI128*$D$54</f>
        <v>0.33011524050872815</v>
      </c>
      <c r="AJ87" s="61">
        <f>'Growth Rates'!AJ128*$D$54</f>
        <v>0.3382759641656588</v>
      </c>
      <c r="AK87" s="61">
        <f>'Growth Rates'!AK128*$D$54</f>
        <v>0.34649381288818792</v>
      </c>
    </row>
    <row r="88" spans="1:37" x14ac:dyDescent="0.25">
      <c r="A88" s="1" t="s">
        <v>20</v>
      </c>
      <c r="B88">
        <f>'Growth Rates'!B129*$D$54</f>
        <v>0</v>
      </c>
      <c r="C88" s="61">
        <f>'Growth Rates'!C129*$D$54</f>
        <v>3.4293188773504082E-2</v>
      </c>
      <c r="D88" s="61">
        <f>'Growth Rates'!D129*$D$54</f>
        <v>6.9993604283945007E-2</v>
      </c>
      <c r="E88" s="61">
        <f>'Growth Rates'!E129*$D$54</f>
        <v>0.10715899231583495</v>
      </c>
      <c r="F88" s="61">
        <f>'Growth Rates'!F129*$D$54</f>
        <v>0.14584946826161158</v>
      </c>
      <c r="G88" s="61">
        <f>'Growth Rates'!G129*$D$54</f>
        <v>0.18612761435889574</v>
      </c>
      <c r="H88" s="61">
        <f>'Growth Rates'!H129*$D$54</f>
        <v>0.22572093247466574</v>
      </c>
      <c r="I88" s="61">
        <f>'Growth Rates'!I129*$D$54</f>
        <v>0.26442016470113272</v>
      </c>
      <c r="J88" s="61">
        <f>'Growth Rates'!J129*$D$54</f>
        <v>0.30201360241876968</v>
      </c>
      <c r="K88" s="61">
        <f>'Growth Rates'!K129*$D$54</f>
        <v>0.33828892304069597</v>
      </c>
      <c r="L88" s="61">
        <f>'Growth Rates'!L129*$D$54</f>
        <v>0.37303510915106597</v>
      </c>
      <c r="M88" s="61">
        <f>'Growth Rates'!M129*$D$54</f>
        <v>0.40604442707594479</v>
      </c>
      <c r="N88" s="61">
        <f>'Growth Rates'!N129*$D$54</f>
        <v>0.43711444003117927</v>
      </c>
      <c r="O88" s="61">
        <f>'Growth Rates'!O129*$D$54</f>
        <v>0.46896186241056947</v>
      </c>
      <c r="P88" s="61">
        <f>'Growth Rates'!P129*$D$54</f>
        <v>0.50160614594120778</v>
      </c>
      <c r="Q88" s="61">
        <f>'Growth Rates'!Q129*$D$54</f>
        <v>0.53506722905600113</v>
      </c>
      <c r="R88" s="61">
        <f>'Growth Rates'!R129*$D$54</f>
        <v>0.56936554907164105</v>
      </c>
      <c r="S88" s="61">
        <f>'Growth Rates'!S129*$D$54</f>
        <v>0.60452205467128051</v>
      </c>
      <c r="T88" s="61">
        <f>'Growth Rates'!T129*$D$54</f>
        <v>0.64055821869954432</v>
      </c>
      <c r="U88" s="61">
        <f>'Growth Rates'!U129*$D$54</f>
        <v>0.67749605127768486</v>
      </c>
      <c r="V88" s="61">
        <f>'Growth Rates'!V129*$D$54</f>
        <v>0.71535811324689469</v>
      </c>
      <c r="W88" s="61">
        <f>'Growth Rates'!W129*$D$54</f>
        <v>0.7541675299479883</v>
      </c>
      <c r="X88" s="61">
        <f>'Growth Rates'!X129*$D$54</f>
        <v>0.79394800534586729</v>
      </c>
      <c r="Y88" s="61">
        <f>'Growth Rates'!Y129*$D$54</f>
        <v>0.83472383650739723</v>
      </c>
      <c r="Z88" s="61">
        <f>'Growth Rates'!Z129*$D$54</f>
        <v>0.8765199284415387</v>
      </c>
      <c r="AA88" s="61">
        <f>'Growth Rates'!AA129*$D$54</f>
        <v>0.91936180931079547</v>
      </c>
      <c r="AB88" s="61">
        <f>'Growth Rates'!AB129*$D$54</f>
        <v>0.96327564602327331</v>
      </c>
      <c r="AC88" s="61">
        <f>'Growth Rates'!AC129*$D$54</f>
        <v>1.0082882602148693</v>
      </c>
      <c r="AD88" s="61">
        <f>'Growth Rates'!AD129*$D$54</f>
        <v>1.0544271446313551</v>
      </c>
      <c r="AE88" s="61">
        <f>'Growth Rates'!AE129*$D$54</f>
        <v>1.1017204799203619</v>
      </c>
      <c r="AF88" s="61">
        <f>'Growth Rates'!AF129*$D$54</f>
        <v>1.1501971518435183</v>
      </c>
      <c r="AG88" s="61">
        <f>'Growth Rates'!AG129*$D$54</f>
        <v>1.1998867689192583</v>
      </c>
      <c r="AH88" s="61">
        <f>'Growth Rates'!AH129*$D$54</f>
        <v>1.2508196805070741</v>
      </c>
      <c r="AI88" s="61">
        <f>'Growth Rates'!AI129*$D$54</f>
        <v>1.3030269953442579</v>
      </c>
      <c r="AJ88" s="61">
        <f>'Growth Rates'!AJ129*$D$54</f>
        <v>1.3565406005464558</v>
      </c>
      <c r="AK88" s="61">
        <f>'Growth Rates'!AK129*$D$54</f>
        <v>1.4113931810836395</v>
      </c>
    </row>
    <row r="89" spans="1:37" x14ac:dyDescent="0.25">
      <c r="A89" s="1" t="s">
        <v>21</v>
      </c>
      <c r="B89">
        <f>'Growth Rates'!B130*$D$54</f>
        <v>0</v>
      </c>
      <c r="C89" s="61">
        <f>'Growth Rates'!C130*$D$54</f>
        <v>1.5042643645807706E-2</v>
      </c>
      <c r="D89" s="61">
        <f>'Growth Rates'!D130*$D$54</f>
        <v>3.0356054877239941E-2</v>
      </c>
      <c r="E89" s="61">
        <f>'Growth Rates'!E130*$D$54</f>
        <v>4.5945107510837982E-2</v>
      </c>
      <c r="F89" s="61">
        <f>'Growth Rates'!F130*$D$54</f>
        <v>6.1814763091840759E-2</v>
      </c>
      <c r="G89" s="61">
        <f>'Growth Rates'!G130*$D$54</f>
        <v>7.7970072473301635E-2</v>
      </c>
      <c r="H89" s="61">
        <f>'Growth Rates'!H130*$D$54</f>
        <v>9.415512813870297E-2</v>
      </c>
      <c r="I89" s="61">
        <f>'Growth Rates'!I130*$D$54</f>
        <v>0.11036121691791817</v>
      </c>
      <c r="J89" s="61">
        <f>'Growth Rates'!J130*$D$54</f>
        <v>0.1265794507753755</v>
      </c>
      <c r="K89" s="61">
        <f>'Growth Rates'!K130*$D$54</f>
        <v>0.14280077382023426</v>
      </c>
      <c r="L89" s="61">
        <f>'Growth Rates'!L130*$D$54</f>
        <v>0.1590159696825387</v>
      </c>
      <c r="M89" s="61">
        <f>'Growth Rates'!M130*$D$54</f>
        <v>0.17521566924928975</v>
      </c>
      <c r="N89" s="61">
        <f>'Growth Rates'!N130*$D$54</f>
        <v>0.19139035875355184</v>
      </c>
      <c r="O89" s="61">
        <f>'Growth Rates'!O130*$D$54</f>
        <v>0.20782384328988213</v>
      </c>
      <c r="P89" s="61">
        <f>'Growth Rates'!P130*$D$54</f>
        <v>0.22452026357879368</v>
      </c>
      <c r="Q89" s="61">
        <f>'Growth Rates'!Q130*$D$54</f>
        <v>0.24148382659232781</v>
      </c>
      <c r="R89" s="61">
        <f>'Growth Rates'!R130*$D$54</f>
        <v>0.25871880661407859</v>
      </c>
      <c r="S89" s="61">
        <f>'Growth Rates'!S130*$D$54</f>
        <v>0.27622954631617735</v>
      </c>
      <c r="T89" s="61">
        <f>'Growth Rates'!T130*$D$54</f>
        <v>0.29402045785350961</v>
      </c>
      <c r="U89" s="61">
        <f>'Growth Rates'!U130*$D$54</f>
        <v>0.31209602397543929</v>
      </c>
      <c r="V89" s="61">
        <f>'Growth Rates'!V130*$D$54</f>
        <v>0.33046079915531984</v>
      </c>
      <c r="W89" s="61">
        <f>'Growth Rates'!W130*$D$54</f>
        <v>0.3491194107380784</v>
      </c>
      <c r="X89" s="61">
        <f>'Growth Rates'!X130*$D$54</f>
        <v>0.36807656010616124</v>
      </c>
      <c r="Y89" s="61">
        <f>'Growth Rates'!Y130*$D$54</f>
        <v>0.38733702386413343</v>
      </c>
      <c r="Z89" s="61">
        <f>'Growth Rates'!Z130*$D$54</f>
        <v>0.40690565504223308</v>
      </c>
      <c r="AA89" s="61">
        <f>'Growth Rates'!AA130*$D$54</f>
        <v>0.42678738431918228</v>
      </c>
      <c r="AB89" s="61">
        <f>'Growth Rates'!AB130*$D$54</f>
        <v>0.44698722126456264</v>
      </c>
      <c r="AC89" s="61">
        <f>'Growth Rates'!AC130*$D$54</f>
        <v>0.46751025560106929</v>
      </c>
      <c r="AD89" s="61">
        <f>'Growth Rates'!AD130*$D$54</f>
        <v>0.48836165848695989</v>
      </c>
      <c r="AE89" s="61">
        <f>'Growth Rates'!AE130*$D$54</f>
        <v>0.50954668381902479</v>
      </c>
      <c r="AF89" s="61">
        <f>'Growth Rates'!AF130*$D$54</f>
        <v>0.53107066955640259</v>
      </c>
      <c r="AG89" s="61">
        <f>'Growth Rates'!AG130*$D$54</f>
        <v>0.55293903906557862</v>
      </c>
      <c r="AH89" s="61">
        <f>'Growth Rates'!AH130*$D$54</f>
        <v>0.57515730248690133</v>
      </c>
      <c r="AI89" s="61">
        <f>'Growth Rates'!AI130*$D$54</f>
        <v>0.59773105812296523</v>
      </c>
      <c r="AJ89" s="61">
        <f>'Growth Rates'!AJ130*$D$54</f>
        <v>0.62066599384920618</v>
      </c>
      <c r="AK89" s="61">
        <f>'Growth Rates'!AK130*$D$54</f>
        <v>0.64396788854706699</v>
      </c>
    </row>
    <row r="90" spans="1:37" x14ac:dyDescent="0.25">
      <c r="A90" s="1" t="s">
        <v>22</v>
      </c>
      <c r="B90">
        <f>'Growth Rates'!B131*$D$54</f>
        <v>0</v>
      </c>
      <c r="C90" s="61">
        <f>'Growth Rates'!C131*$D$54</f>
        <v>2.5906775167779846E-2</v>
      </c>
      <c r="D90" s="61">
        <f>'Growth Rates'!D131*$D$54</f>
        <v>5.2616660365760855E-2</v>
      </c>
      <c r="E90" s="61">
        <f>'Growth Rates'!E131*$D$54</f>
        <v>8.0154552004879281E-2</v>
      </c>
      <c r="F90" s="61">
        <f>'Growth Rates'!F131*$D$54</f>
        <v>0.10854611828481046</v>
      </c>
      <c r="G90" s="61">
        <f>'Growth Rates'!G131*$D$54</f>
        <v>0.13781782311941948</v>
      </c>
      <c r="H90" s="61">
        <f>'Growth Rates'!H131*$D$54</f>
        <v>0.16660620759263492</v>
      </c>
      <c r="I90" s="61">
        <f>'Growth Rates'!I131*$D$54</f>
        <v>0.19481403624618748</v>
      </c>
      <c r="J90" s="61">
        <f>'Growth Rates'!J131*$D$54</f>
        <v>0.22234354741897083</v>
      </c>
      <c r="K90" s="61">
        <f>'Growth Rates'!K131*$D$54</f>
        <v>0.24909699557281853</v>
      </c>
      <c r="L90" s="61">
        <f>'Growth Rates'!L131*$D$54</f>
        <v>0.27497721031521344</v>
      </c>
      <c r="M90" s="61">
        <f>'Growth Rates'!M131*$D$54</f>
        <v>0.29988816784491668</v>
      </c>
      <c r="N90" s="61">
        <f>'Growth Rates'!N131*$D$54</f>
        <v>0.32373557028976868</v>
      </c>
      <c r="O90" s="61">
        <f>'Growth Rates'!O131*$D$54</f>
        <v>0.34808376818596265</v>
      </c>
      <c r="P90" s="61">
        <f>'Growth Rates'!P131*$D$54</f>
        <v>0.37294327823797679</v>
      </c>
      <c r="Q90" s="61">
        <f>'Growth Rates'!Q131*$D$54</f>
        <v>0.39832483800108315</v>
      </c>
      <c r="R90" s="61">
        <f>'Growth Rates'!R131*$D$54</f>
        <v>0.42423941051921477</v>
      </c>
      <c r="S90" s="61">
        <f>'Growth Rates'!S131*$D$54</f>
        <v>0.45069818906022707</v>
      </c>
      <c r="T90" s="61">
        <f>'Growth Rates'!T131*$D$54</f>
        <v>0.47771260195060067</v>
      </c>
      <c r="U90" s="61">
        <f>'Growth Rates'!U131*$D$54</f>
        <v>0.50529431751167209</v>
      </c>
      <c r="V90" s="61">
        <f>'Growth Rates'!V131*$D$54</f>
        <v>0.53345524909952602</v>
      </c>
      <c r="W90" s="61">
        <f>'Growth Rates'!W131*$D$54</f>
        <v>0.56220756025072494</v>
      </c>
      <c r="X90" s="61">
        <f>'Growth Rates'!X131*$D$54</f>
        <v>0.59156366993609888</v>
      </c>
      <c r="Y90" s="61">
        <f>'Growth Rates'!Y131*$D$54</f>
        <v>0.62153625792486578</v>
      </c>
      <c r="Z90" s="61">
        <f>'Growth Rates'!Z131*$D$54</f>
        <v>0.65213827026139681</v>
      </c>
      <c r="AA90" s="61">
        <f>'Growth Rates'!AA131*$D$54</f>
        <v>0.68338292485699503</v>
      </c>
      <c r="AB90" s="61">
        <f>'Growth Rates'!AB131*$D$54</f>
        <v>0.71528371719910078</v>
      </c>
      <c r="AC90" s="61">
        <f>'Growth Rates'!AC131*$D$54</f>
        <v>0.74785442618039066</v>
      </c>
      <c r="AD90" s="61">
        <f>'Growth Rates'!AD131*$D$54</f>
        <v>0.78110912005028765</v>
      </c>
      <c r="AE90" s="61">
        <f>'Growth Rates'!AE131*$D$54</f>
        <v>0.81506216249145247</v>
      </c>
      <c r="AF90" s="61">
        <f>'Growth Rates'!AF131*$D$54</f>
        <v>0.84972821882388183</v>
      </c>
      <c r="AG90" s="61">
        <f>'Growth Rates'!AG131*$D$54</f>
        <v>0.88512226233929236</v>
      </c>
      <c r="AH90" s="61">
        <f>'Growth Rates'!AH131*$D$54</f>
        <v>0.92125958076852621</v>
      </c>
      <c r="AI90" s="61">
        <f>'Growth Rates'!AI131*$D$54</f>
        <v>0.9581557828847741</v>
      </c>
      <c r="AJ90" s="61">
        <f>'Growth Rates'!AJ131*$D$54</f>
        <v>0.99582680524546319</v>
      </c>
      <c r="AK90" s="61">
        <f>'Growth Rates'!AK131*$D$54</f>
        <v>1.034288919075727</v>
      </c>
    </row>
    <row r="91" spans="1:37" x14ac:dyDescent="0.25">
      <c r="A91" s="1" t="s">
        <v>23</v>
      </c>
      <c r="B91">
        <f>'Growth Rates'!B132*$D$54</f>
        <v>0</v>
      </c>
      <c r="C91" s="61">
        <f>'Growth Rates'!C132*$D$54</f>
        <v>1.8748738320965685E-2</v>
      </c>
      <c r="D91" s="61">
        <f>'Growth Rates'!D132*$D$54</f>
        <v>3.7918099076676696E-2</v>
      </c>
      <c r="E91" s="61">
        <f>'Growth Rates'!E132*$D$54</f>
        <v>5.751751880785274E-2</v>
      </c>
      <c r="F91" s="61">
        <f>'Growth Rates'!F132*$D$54</f>
        <v>7.7556645761231585E-2</v>
      </c>
      <c r="G91" s="61">
        <f>'Growth Rates'!G132*$D$54</f>
        <v>9.8045344639131587E-2</v>
      </c>
      <c r="H91" s="61">
        <f>'Growth Rates'!H132*$D$54</f>
        <v>0.11952262391650591</v>
      </c>
      <c r="I91" s="61">
        <f>'Growth Rates'!I132*$D$54</f>
        <v>0.14203499376150919</v>
      </c>
      <c r="J91" s="61">
        <f>'Growth Rates'!J132*$D$54</f>
        <v>0.16563176676885574</v>
      </c>
      <c r="K91" s="61">
        <f>'Growth Rates'!K132*$D$54</f>
        <v>0.19036523256413254</v>
      </c>
      <c r="L91" s="61">
        <f>'Growth Rates'!L132*$D$54</f>
        <v>0.2162908447570191</v>
      </c>
      <c r="M91" s="61">
        <f>'Growth Rates'!M132*$D$54</f>
        <v>0.24346742115586242</v>
      </c>
      <c r="N91" s="61">
        <f>'Growth Rates'!N132*$D$54</f>
        <v>0.27195735822909761</v>
      </c>
      <c r="O91" s="61">
        <f>'Growth Rates'!O132*$D$54</f>
        <v>0.3011994257640051</v>
      </c>
      <c r="P91" s="61">
        <f>'Growth Rates'!P132*$D$54</f>
        <v>0.33121347990241934</v>
      </c>
      <c r="Q91" s="61">
        <f>'Growth Rates'!Q132*$D$54</f>
        <v>0.36201990098561665</v>
      </c>
      <c r="R91" s="61">
        <f>'Growth Rates'!R132*$D$54</f>
        <v>0.39363960739310988</v>
      </c>
      <c r="S91" s="61">
        <f>'Growth Rates'!S132*$D$54</f>
        <v>0.42609406974678432</v>
      </c>
      <c r="T91" s="61">
        <f>'Growth Rates'!T132*$D$54</f>
        <v>0.45940532549002133</v>
      </c>
      <c r="U91" s="61">
        <f>'Growth Rates'!U132*$D$54</f>
        <v>0.49359599385170816</v>
      </c>
      <c r="V91" s="61">
        <f>'Growth Rates'!V132*$D$54</f>
        <v>0.52868929120529673</v>
      </c>
      <c r="W91" s="61">
        <f>'Growth Rates'!W132*$D$54</f>
        <v>0.56470904683333889</v>
      </c>
      <c r="X91" s="61">
        <f>'Growth Rates'!X132*$D$54</f>
        <v>0.60167971910820284</v>
      </c>
      <c r="Y91" s="61">
        <f>'Growth Rates'!Y132*$D$54</f>
        <v>0.63962641209995896</v>
      </c>
      <c r="Z91" s="61">
        <f>'Growth Rates'!Z132*$D$54</f>
        <v>0.67857489262271109</v>
      </c>
      <c r="AA91" s="61">
        <f>'Growth Rates'!AA132*$D$54</f>
        <v>0.71855160773094895</v>
      </c>
      <c r="AB91" s="61">
        <f>'Growth Rates'!AB132*$D$54</f>
        <v>0.75958370267780173</v>
      </c>
      <c r="AC91" s="61">
        <f>'Growth Rates'!AC132*$D$54</f>
        <v>0.8016990393473874</v>
      </c>
      <c r="AD91" s="61">
        <f>'Growth Rates'!AD132*$D$54</f>
        <v>0.84492621517377287</v>
      </c>
      <c r="AE91" s="61">
        <f>'Growth Rates'!AE132*$D$54</f>
        <v>0.88929458255939231</v>
      </c>
      <c r="AF91" s="61">
        <f>'Growth Rates'!AF132*$D$54</f>
        <v>0.93483426880611042</v>
      </c>
      <c r="AG91" s="61">
        <f>'Growth Rates'!AG132*$D$54</f>
        <v>0.98157619657246109</v>
      </c>
      <c r="AH91" s="61">
        <f>'Growth Rates'!AH132*$D$54</f>
        <v>1.0295521048709551</v>
      </c>
      <c r="AI91" s="61">
        <f>'Growth Rates'!AI132*$D$54</f>
        <v>1.0787945706197144</v>
      </c>
      <c r="AJ91" s="61">
        <f>'Growth Rates'!AJ132*$D$54</f>
        <v>1.1293370307630659</v>
      </c>
      <c r="AK91" s="61">
        <f>'Growth Rates'!AK132*$D$54</f>
        <v>1.1812138049761174</v>
      </c>
    </row>
    <row r="92" spans="1:37" x14ac:dyDescent="0.25">
      <c r="A92" s="1" t="s">
        <v>24</v>
      </c>
      <c r="B92">
        <f>'Growth Rates'!B133*$D$54</f>
        <v>0</v>
      </c>
      <c r="C92" s="61">
        <f>'Growth Rates'!C133*$D$54</f>
        <v>3.0920989716382411E-2</v>
      </c>
      <c r="D92" s="61">
        <f>'Growth Rates'!D133*$D$54</f>
        <v>6.2986056052270936E-2</v>
      </c>
      <c r="E92" s="61">
        <f>'Growth Rates'!E133*$D$54</f>
        <v>9.6237529842587446E-2</v>
      </c>
      <c r="F92" s="61">
        <f>'Growth Rates'!F133*$D$54</f>
        <v>0.13071930816314553</v>
      </c>
      <c r="G92" s="61">
        <f>'Growth Rates'!G133*$D$54</f>
        <v>0.16647691228156436</v>
      </c>
      <c r="H92" s="61">
        <f>'Growth Rates'!H133*$D$54</f>
        <v>0.20112368364810351</v>
      </c>
      <c r="I92" s="61">
        <f>'Growth Rates'!I133*$D$54</f>
        <v>0.2344502371328776</v>
      </c>
      <c r="J92" s="61">
        <f>'Growth Rates'!J133*$D$54</f>
        <v>0.26624905908647684</v>
      </c>
      <c r="K92" s="61">
        <f>'Growth Rates'!K133*$D$54</f>
        <v>0.29631659243162434</v>
      </c>
      <c r="L92" s="61">
        <f>'Growth Rates'!L133*$D$54</f>
        <v>0.32445535085913541</v>
      </c>
      <c r="M92" s="61">
        <f>'Growth Rates'!M133*$D$54</f>
        <v>0.35047603239818081</v>
      </c>
      <c r="N92" s="61">
        <f>'Growth Rates'!N133*$D$54</f>
        <v>0.3741996015414864</v>
      </c>
      <c r="O92" s="61">
        <f>'Growth Rates'!O133*$D$54</f>
        <v>0.39839764206765815</v>
      </c>
      <c r="P92" s="61">
        <f>'Growth Rates'!P133*$D$54</f>
        <v>0.42307964340435328</v>
      </c>
      <c r="Q92" s="61">
        <f>'Growth Rates'!Q133*$D$54</f>
        <v>0.4482552847677822</v>
      </c>
      <c r="R92" s="61">
        <f>'Growth Rates'!R133*$D$54</f>
        <v>0.47393443895847975</v>
      </c>
      <c r="S92" s="61">
        <f>'Growth Rates'!S133*$D$54</f>
        <v>0.50012717623299119</v>
      </c>
      <c r="T92" s="61">
        <f>'Growth Rates'!T133*$D$54</f>
        <v>0.52684376825299284</v>
      </c>
      <c r="U92" s="61">
        <f>'Growth Rates'!U133*$D$54</f>
        <v>0.55409469211339468</v>
      </c>
      <c r="V92" s="61">
        <f>'Growth Rates'!V133*$D$54</f>
        <v>0.58189063445100442</v>
      </c>
      <c r="W92" s="61">
        <f>'Growth Rates'!W133*$D$54</f>
        <v>0.61024249563536648</v>
      </c>
      <c r="X92" s="61">
        <f>'Growth Rates'!X133*$D$54</f>
        <v>0.63916139404341565</v>
      </c>
      <c r="Y92" s="61">
        <f>'Growth Rates'!Y133*$D$54</f>
        <v>0.66865867041962579</v>
      </c>
      <c r="Z92" s="61">
        <f>'Growth Rates'!Z133*$D$54</f>
        <v>0.69874589232336015</v>
      </c>
      <c r="AA92" s="61">
        <f>'Growth Rates'!AA133*$D$54</f>
        <v>0.72943485866516933</v>
      </c>
      <c r="AB92" s="61">
        <f>'Growth Rates'!AB133*$D$54</f>
        <v>0.76073760433381477</v>
      </c>
      <c r="AC92" s="61">
        <f>'Growth Rates'!AC133*$D$54</f>
        <v>0.79266640491583296</v>
      </c>
      <c r="AD92" s="61">
        <f>'Growth Rates'!AD133*$D$54</f>
        <v>0.82523378150949145</v>
      </c>
      <c r="AE92" s="61">
        <f>'Growth Rates'!AE133*$D$54</f>
        <v>0.85845250563502318</v>
      </c>
      <c r="AF92" s="61">
        <f>'Growth Rates'!AF133*$D$54</f>
        <v>0.89233560424306568</v>
      </c>
      <c r="AG92" s="61">
        <f>'Growth Rates'!AG133*$D$54</f>
        <v>0.92689636482326898</v>
      </c>
      <c r="AH92" s="61">
        <f>'Growth Rates'!AH133*$D$54</f>
        <v>0.96214834061507637</v>
      </c>
      <c r="AI92" s="61">
        <f>'Growth Rates'!AI133*$D$54</f>
        <v>0.99810535592271976</v>
      </c>
      <c r="AJ92" s="61">
        <f>'Growth Rates'!AJ133*$D$54</f>
        <v>1.034781511536516</v>
      </c>
      <c r="AK92" s="61">
        <f>'Growth Rates'!AK133*$D$54</f>
        <v>1.0721911902625885</v>
      </c>
    </row>
    <row r="93" spans="1:37" x14ac:dyDescent="0.25">
      <c r="A93" s="1" t="s">
        <v>25</v>
      </c>
      <c r="B93">
        <f>'Growth Rates'!B134*$D$54</f>
        <v>0</v>
      </c>
      <c r="C93" s="61">
        <f>'Growth Rates'!C134*$D$54</f>
        <v>0.11065860025342007</v>
      </c>
      <c r="D93" s="61">
        <f>'Growth Rates'!D134*$D$54</f>
        <v>0.23596993507735309</v>
      </c>
      <c r="E93" s="61">
        <f>'Growth Rates'!E134*$D$54</f>
        <v>0.37787422990300984</v>
      </c>
      <c r="F93" s="61">
        <f>'Growth Rates'!F134*$D$54</f>
        <v>0.53856862293824426</v>
      </c>
      <c r="G93" s="61">
        <f>'Growth Rates'!G134*$D$54</f>
        <v>0.7205411839850262</v>
      </c>
      <c r="H93" s="61">
        <f>'Growth Rates'!H134*$D$54</f>
        <v>0.90546586387696726</v>
      </c>
      <c r="I93" s="61">
        <f>'Growth Rates'!I134*$D$54</f>
        <v>1.0887086841864801</v>
      </c>
      <c r="J93" s="61">
        <f>'Growth Rates'!J134*$D$54</f>
        <v>1.2650906141106404</v>
      </c>
      <c r="K93" s="61">
        <f>'Growth Rates'!K134*$D$54</f>
        <v>1.4290968531888049</v>
      </c>
      <c r="L93" s="61">
        <f>'Growth Rates'!L134*$D$54</f>
        <v>1.5751366352732432</v>
      </c>
      <c r="M93" s="61">
        <f>'Growth Rates'!M134*$D$54</f>
        <v>1.6978390648384074</v>
      </c>
      <c r="N93" s="61">
        <f>'Growth Rates'!N134*$D$54</f>
        <v>1.7923651513609771</v>
      </c>
      <c r="O93" s="61">
        <f>'Growth Rates'!O134*$D$54</f>
        <v>1.8904179932455296</v>
      </c>
      <c r="P93" s="61">
        <f>'Growth Rates'!P134*$D$54</f>
        <v>1.992129173252347</v>
      </c>
      <c r="Q93" s="61">
        <f>'Growth Rates'!Q134*$D$54</f>
        <v>2.0976351834765032</v>
      </c>
      <c r="R93" s="61">
        <f>'Growth Rates'!R134*$D$54</f>
        <v>2.2070776085144752</v>
      </c>
      <c r="S93" s="61">
        <f>'Growth Rates'!S134*$D$54</f>
        <v>2.3206033154646732</v>
      </c>
      <c r="T93" s="61">
        <f>'Growth Rates'!T134*$D$54</f>
        <v>2.4383646510168639</v>
      </c>
      <c r="U93" s="61">
        <f>'Growth Rates'!U134*$D$54</f>
        <v>2.560519645894979</v>
      </c>
      <c r="V93" s="61">
        <f>'Growth Rates'!V134*$D$54</f>
        <v>2.6872322269276476</v>
      </c>
      <c r="W93" s="61">
        <f>'Growth Rates'!W134*$D$54</f>
        <v>2.8186724370310587</v>
      </c>
      <c r="X93" s="61">
        <f>'Growth Rates'!X134*$D$54</f>
        <v>2.955016663399352</v>
      </c>
      <c r="Y93" s="61">
        <f>'Growth Rates'!Y134*$D$54</f>
        <v>3.0964478742087609</v>
      </c>
      <c r="Z93" s="61">
        <f>'Growth Rates'!Z134*$D$54</f>
        <v>3.2431558641531515</v>
      </c>
      <c r="AA93" s="61">
        <f>'Growth Rates'!AA134*$D$54</f>
        <v>3.3953375091404658</v>
      </c>
      <c r="AB93" s="61">
        <f>'Growth Rates'!AB134*$D$54</f>
        <v>3.5531970304918485</v>
      </c>
      <c r="AC93" s="61">
        <f>'Growth Rates'!AC134*$D$54</f>
        <v>3.7169462689980093</v>
      </c>
      <c r="AD93" s="61">
        <f>'Growth Rates'!AD134*$D$54</f>
        <v>3.886804969200591</v>
      </c>
      <c r="AE93" s="61">
        <f>'Growth Rates'!AE134*$D$54</f>
        <v>4.0630010742800362</v>
      </c>
      <c r="AF93" s="61">
        <f>'Growth Rates'!AF134*$D$54</f>
        <v>4.2457710319456776</v>
      </c>
      <c r="AG93" s="61">
        <f>'Growth Rates'!AG134*$D$54</f>
        <v>4.435360111738551</v>
      </c>
      <c r="AH93" s="61">
        <f>'Growth Rates'!AH134*$D$54</f>
        <v>4.632022734172728</v>
      </c>
      <c r="AI93" s="61">
        <f>'Growth Rates'!AI134*$D$54</f>
        <v>4.8360228121568678</v>
      </c>
      <c r="AJ93" s="61">
        <f>'Growth Rates'!AJ134*$D$54</f>
        <v>5.0476341051541649</v>
      </c>
      <c r="AK93" s="61">
        <f>'Growth Rates'!AK134*$D$54</f>
        <v>5.2671405865559464</v>
      </c>
    </row>
    <row r="94" spans="1:37" x14ac:dyDescent="0.25">
      <c r="A94" s="1" t="s">
        <v>26</v>
      </c>
      <c r="B94">
        <f>'Growth Rates'!B135*$D$54</f>
        <v>0</v>
      </c>
      <c r="C94" s="61">
        <f>'Growth Rates'!C135*$D$54</f>
        <v>9.1927266724379491E-3</v>
      </c>
      <c r="D94" s="61">
        <f>'Growth Rates'!D135*$D$54</f>
        <v>1.8486573338272749E-2</v>
      </c>
      <c r="E94" s="61">
        <f>'Growth Rates'!E135*$D$54</f>
        <v>2.7882652317431759E-2</v>
      </c>
      <c r="F94" s="61">
        <f>'Growth Rates'!F135*$D$54</f>
        <v>3.738208816536151E-2</v>
      </c>
      <c r="G94" s="61">
        <f>'Growth Rates'!G135*$D$54</f>
        <v>4.698601780761838E-2</v>
      </c>
      <c r="H94" s="61">
        <f>'Growth Rates'!H135*$D$54</f>
        <v>5.7073885722757949E-2</v>
      </c>
      <c r="I94" s="61">
        <f>'Growth Rates'!I135*$D$54</f>
        <v>6.765966197570901E-2</v>
      </c>
      <c r="J94" s="61">
        <f>'Growth Rates'!J135*$D$54</f>
        <v>7.875811046997773E-2</v>
      </c>
      <c r="K94" s="61">
        <f>'Growth Rates'!K135*$D$54</f>
        <v>9.0384822989420452E-2</v>
      </c>
      <c r="L94" s="61">
        <f>'Growth Rates'!L135*$D$54</f>
        <v>0.10255625538850596</v>
      </c>
      <c r="M94" s="61">
        <f>'Growth Rates'!M135*$D$54</f>
        <v>0.11528976604776059</v>
      </c>
      <c r="N94" s="61">
        <f>'Growth Rates'!N135*$D$54</f>
        <v>0.1286036567191686</v>
      </c>
      <c r="O94" s="61">
        <f>'Growth Rates'!O135*$D$54</f>
        <v>0.14210394185997635</v>
      </c>
      <c r="P94" s="61">
        <f>'Growth Rates'!P135*$D$54</f>
        <v>0.15579323099275527</v>
      </c>
      <c r="Q94" s="61">
        <f>'Growth Rates'!Q135*$D$54</f>
        <v>0.16967417017339312</v>
      </c>
      <c r="R94" s="61">
        <f>'Growth Rates'!R135*$D$54</f>
        <v>0.18374944250255998</v>
      </c>
      <c r="S94" s="61">
        <f>'Growth Rates'!S135*$D$54</f>
        <v>0.1980217686443351</v>
      </c>
      <c r="T94" s="61">
        <f>'Growth Rates'!T135*$D$54</f>
        <v>0.21249390735209511</v>
      </c>
      <c r="U94" s="61">
        <f>'Growth Rates'!U135*$D$54</f>
        <v>0.22716865600176378</v>
      </c>
      <c r="V94" s="61">
        <f>'Growth Rates'!V135*$D$54</f>
        <v>0.24204885113252769</v>
      </c>
      <c r="W94" s="61">
        <f>'Growth Rates'!W135*$D$54</f>
        <v>0.25713736899512246</v>
      </c>
      <c r="X94" s="61">
        <f>'Growth Rates'!X135*$D$54</f>
        <v>0.27243712610779358</v>
      </c>
      <c r="Y94" s="61">
        <f>'Growth Rates'!Y135*$D$54</f>
        <v>0.28795107982004203</v>
      </c>
      <c r="Z94" s="61">
        <f>'Growth Rates'!Z135*$D$54</f>
        <v>0.30368222888426188</v>
      </c>
      <c r="AA94" s="61">
        <f>'Growth Rates'!AA135*$D$54</f>
        <v>0.31963361403538093</v>
      </c>
      <c r="AB94" s="61">
        <f>'Growth Rates'!AB135*$D$54</f>
        <v>0.33580831857861565</v>
      </c>
      <c r="AC94" s="61">
        <f>'Growth Rates'!AC135*$D$54</f>
        <v>0.35220946898545552</v>
      </c>
      <c r="AD94" s="61">
        <f>'Growth Rates'!AD135*$D$54</f>
        <v>0.36884023549799122</v>
      </c>
      <c r="AE94" s="61">
        <f>'Growth Rates'!AE135*$D$54</f>
        <v>0.38570383274170239</v>
      </c>
      <c r="AF94" s="61">
        <f>'Growth Rates'!AF135*$D$54</f>
        <v>0.40280352034682548</v>
      </c>
      <c r="AG94" s="61">
        <f>'Growth Rates'!AG135*$D$54</f>
        <v>0.42014260357842043</v>
      </c>
      <c r="AH94" s="61">
        <f>'Growth Rates'!AH135*$D$54</f>
        <v>0.43772443397525773</v>
      </c>
      <c r="AI94" s="61">
        <f>'Growth Rates'!AI135*$D$54</f>
        <v>0.45555240999765056</v>
      </c>
      <c r="AJ94" s="61">
        <f>'Growth Rates'!AJ135*$D$54</f>
        <v>0.47362997768435694</v>
      </c>
      <c r="AK94" s="61">
        <f>'Growth Rates'!AK135*$D$54</f>
        <v>0.49196063131867734</v>
      </c>
    </row>
    <row r="95" spans="1:37" x14ac:dyDescent="0.25">
      <c r="A95" s="1" t="s">
        <v>27</v>
      </c>
      <c r="B95">
        <f>'Growth Rates'!B136*$D$54</f>
        <v>0</v>
      </c>
      <c r="C95" s="61">
        <f>'Growth Rates'!C136*$D$54</f>
        <v>1.9221155769643086E-2</v>
      </c>
      <c r="D95" s="61">
        <f>'Growth Rates'!D136*$D$54</f>
        <v>3.8884398121987969E-2</v>
      </c>
      <c r="E95" s="61">
        <f>'Growth Rates'!E136*$D$54</f>
        <v>5.8999895048436744E-2</v>
      </c>
      <c r="F95" s="61">
        <f>'Growth Rates'!F136*$D$54</f>
        <v>7.9578048404193885E-2</v>
      </c>
      <c r="G95" s="61">
        <f>'Growth Rates'!G136*$D$54</f>
        <v>0.10062949928713336</v>
      </c>
      <c r="H95" s="61">
        <f>'Growth Rates'!H136*$D$54</f>
        <v>0.12163008672663536</v>
      </c>
      <c r="I95" s="61">
        <f>'Growth Rates'!I136*$D$54</f>
        <v>0.1425546401921412</v>
      </c>
      <c r="J95" s="61">
        <f>'Growth Rates'!J136*$D$54</f>
        <v>0.16337754057484494</v>
      </c>
      <c r="K95" s="61">
        <f>'Growth Rates'!K136*$D$54</f>
        <v>0.18407276842835646</v>
      </c>
      <c r="L95" s="61">
        <f>'Growth Rates'!L136*$D$54</f>
        <v>0.20461395446272213</v>
      </c>
      <c r="M95" s="61">
        <f>'Growth Rates'!M136*$D$54</f>
        <v>0.22497443217050569</v>
      </c>
      <c r="N95" s="61">
        <f>'Growth Rates'!N136*$D$54</f>
        <v>0.24512729245232007</v>
      </c>
      <c r="O95" s="61">
        <f>'Growth Rates'!O136*$D$54</f>
        <v>0.26566305707948873</v>
      </c>
      <c r="P95" s="61">
        <f>'Growth Rates'!P136*$D$54</f>
        <v>0.2865890012345737</v>
      </c>
      <c r="Q95" s="61">
        <f>'Growth Rates'!Q136*$D$54</f>
        <v>0.30791253832860532</v>
      </c>
      <c r="R95" s="61">
        <f>'Growth Rates'!R136*$D$54</f>
        <v>0.32964122262742357</v>
      </c>
      <c r="S95" s="61">
        <f>'Growth Rates'!S136*$D$54</f>
        <v>0.35178275192791925</v>
      </c>
      <c r="T95" s="61">
        <f>'Growth Rates'!T136*$D$54</f>
        <v>0.37434497028512442</v>
      </c>
      <c r="U95" s="61">
        <f>'Growth Rates'!U136*$D$54</f>
        <v>0.39733587079111649</v>
      </c>
      <c r="V95" s="61">
        <f>'Growth Rates'!V136*$D$54</f>
        <v>0.42076359840672228</v>
      </c>
      <c r="W95" s="61">
        <f>'Growth Rates'!W136*$D$54</f>
        <v>0.44463645284702469</v>
      </c>
      <c r="X95" s="61">
        <f>'Growth Rates'!X136*$D$54</f>
        <v>0.46896289152169285</v>
      </c>
      <c r="Y95" s="61">
        <f>'Growth Rates'!Y136*$D$54</f>
        <v>0.49375153253117965</v>
      </c>
      <c r="Z95" s="61">
        <f>'Growth Rates'!Z136*$D$54</f>
        <v>0.51901115771984674</v>
      </c>
      <c r="AA95" s="61">
        <f>'Growth Rates'!AA136*$D$54</f>
        <v>0.54475071578709855</v>
      </c>
      <c r="AB95" s="61">
        <f>'Growth Rates'!AB136*$D$54</f>
        <v>0.57097932545762808</v>
      </c>
      <c r="AC95" s="61">
        <f>'Growth Rates'!AC136*$D$54</f>
        <v>0.59770627871189774</v>
      </c>
      <c r="AD95" s="61">
        <f>'Growth Rates'!AD136*$D$54</f>
        <v>0.62494104407799855</v>
      </c>
      <c r="AE95" s="61">
        <f>'Growth Rates'!AE136*$D$54</f>
        <v>0.65269326998605515</v>
      </c>
      <c r="AF95" s="61">
        <f>'Growth Rates'!AF136*$D$54</f>
        <v>0.68097278818636486</v>
      </c>
      <c r="AG95" s="61">
        <f>'Growth Rates'!AG136*$D$54</f>
        <v>0.70978961723248046</v>
      </c>
      <c r="AH95" s="61">
        <f>'Growth Rates'!AH136*$D$54</f>
        <v>0.73915396603047212</v>
      </c>
      <c r="AI95" s="61">
        <f>'Growth Rates'!AI136*$D$54</f>
        <v>0.7690762374556257</v>
      </c>
      <c r="AJ95" s="61">
        <f>'Growth Rates'!AJ136*$D$54</f>
        <v>0.79956703203785717</v>
      </c>
      <c r="AK95" s="61">
        <f>'Growth Rates'!AK136*$D$54</f>
        <v>0.83063715171715113</v>
      </c>
    </row>
    <row r="96" spans="1:37" x14ac:dyDescent="0.25">
      <c r="A96" s="1" t="s">
        <v>28</v>
      </c>
      <c r="B96">
        <f>'Growth Rates'!B137*$D$54</f>
        <v>0</v>
      </c>
      <c r="C96" s="61">
        <f>'Growth Rates'!C137*$D$54</f>
        <v>2.6859712283845254E-2</v>
      </c>
      <c r="D96" s="61">
        <f>'Growth Rates'!D137*$D$54</f>
        <v>5.4582703316907948E-2</v>
      </c>
      <c r="E96" s="61">
        <f>'Growth Rates'!E137*$D$54</f>
        <v>8.3196719122338891E-2</v>
      </c>
      <c r="F96" s="61">
        <f>'Growth Rates'!F137*$D$54</f>
        <v>0.1127303974883201</v>
      </c>
      <c r="G96" s="61">
        <f>'Growth Rates'!G137*$D$54</f>
        <v>0.1432132966296448</v>
      </c>
      <c r="H96" s="61">
        <f>'Growth Rates'!H137*$D$54</f>
        <v>0.17333524218736637</v>
      </c>
      <c r="I96" s="61">
        <f>'Growth Rates'!I137*$D$54</f>
        <v>0.20300212546354365</v>
      </c>
      <c r="J96" s="61">
        <f>'Growth Rates'!J137*$D$54</f>
        <v>0.23211868278364392</v>
      </c>
      <c r="K96" s="61">
        <f>'Growth Rates'!K137*$D$54</f>
        <v>0.26058898025206217</v>
      </c>
      <c r="L96" s="61">
        <f>'Growth Rates'!L137*$D$54</f>
        <v>0.28831691867735426</v>
      </c>
      <c r="M96" s="61">
        <f>'Growth Rates'!M137*$D$54</f>
        <v>0.31520675516629687</v>
      </c>
      <c r="N96" s="61">
        <f>'Growth Rates'!N137*$D$54</f>
        <v>0.34116363761356511</v>
      </c>
      <c r="O96" s="61">
        <f>'Growth Rates'!O137*$D$54</f>
        <v>0.36770593527701956</v>
      </c>
      <c r="P96" s="61">
        <f>'Growth Rates'!P137*$D$54</f>
        <v>0.39484685124358848</v>
      </c>
      <c r="Q96" s="61">
        <f>'Growth Rates'!Q137*$D$54</f>
        <v>0.42259988637432661</v>
      </c>
      <c r="R96" s="61">
        <f>'Growth Rates'!R137*$D$54</f>
        <v>0.45097884602022503</v>
      </c>
      <c r="S96" s="61">
        <f>'Growth Rates'!S137*$D$54</f>
        <v>0.47999784688948666</v>
      </c>
      <c r="T96" s="61">
        <f>'Growth Rates'!T137*$D$54</f>
        <v>0.50967132406968019</v>
      </c>
      <c r="U96" s="61">
        <f>'Growth Rates'!U137*$D$54</f>
        <v>0.5400140382082691</v>
      </c>
      <c r="V96" s="61">
        <f>'Growth Rates'!V137*$D$54</f>
        <v>0.57104108285508459</v>
      </c>
      <c r="W96" s="61">
        <f>'Growth Rates'!W137*$D$54</f>
        <v>0.60276789197039637</v>
      </c>
      <c r="X96" s="61">
        <f>'Growth Rates'!X137*$D$54</f>
        <v>0.6352102476023157</v>
      </c>
      <c r="Y96" s="61">
        <f>'Growth Rates'!Y137*$D$54</f>
        <v>0.66838428773735037</v>
      </c>
      <c r="Z96" s="61">
        <f>'Growth Rates'!Z137*$D$54</f>
        <v>0.7023065143280145</v>
      </c>
      <c r="AA96" s="61">
        <f>'Growth Rates'!AA137*$D$54</f>
        <v>0.73699380150149074</v>
      </c>
      <c r="AB96" s="61">
        <f>'Growth Rates'!AB137*$D$54</f>
        <v>0.77246340395342228</v>
      </c>
      <c r="AC96" s="61">
        <f>'Growth Rates'!AC137*$D$54</f>
        <v>0.80873296553101615</v>
      </c>
      <c r="AD96" s="61">
        <f>'Growth Rates'!AD137*$D$54</f>
        <v>0.84582052800972218</v>
      </c>
      <c r="AE96" s="61">
        <f>'Growth Rates'!AE137*$D$54</f>
        <v>0.88374454006785619</v>
      </c>
      <c r="AF96" s="61">
        <f>'Growth Rates'!AF137*$D$54</f>
        <v>0.92252386646363327</v>
      </c>
      <c r="AG96" s="61">
        <f>'Growth Rates'!AG137*$D$54</f>
        <v>0.96217779741917042</v>
      </c>
      <c r="AH96" s="61">
        <f>'Growth Rates'!AH137*$D$54</f>
        <v>1.002726058216133</v>
      </c>
      <c r="AI96" s="61">
        <f>'Growth Rates'!AI137*$D$54</f>
        <v>1.0441888190077944</v>
      </c>
      <c r="AJ96" s="61">
        <f>'Growth Rates'!AJ137*$D$54</f>
        <v>1.0865867048523907</v>
      </c>
      <c r="AK96" s="61">
        <f>'Growth Rates'!AK137*$D$54</f>
        <v>1.1299408059727607</v>
      </c>
    </row>
    <row r="97" spans="1:37" x14ac:dyDescent="0.25">
      <c r="A97" s="1" t="s">
        <v>29</v>
      </c>
      <c r="B97">
        <f>'Growth Rates'!B138*$D$54</f>
        <v>0</v>
      </c>
      <c r="C97" s="61">
        <f>'Growth Rates'!C138*$D$54</f>
        <v>3.1931045817682434E-3</v>
      </c>
      <c r="D97" s="61">
        <f>'Growth Rates'!D138*$D$54</f>
        <v>6.3984095791005738E-3</v>
      </c>
      <c r="E97" s="61">
        <f>'Growth Rates'!E138*$D$54</f>
        <v>9.6159616081150593E-3</v>
      </c>
      <c r="F97" s="61">
        <f>'Growth Rates'!F138*$D$54</f>
        <v>1.2845807463043543E-2</v>
      </c>
      <c r="G97" s="61">
        <f>'Growth Rates'!G138*$D$54</f>
        <v>1.6087994116911929E-2</v>
      </c>
      <c r="H97" s="61">
        <f>'Growth Rates'!H138*$D$54</f>
        <v>1.9796083850337653E-2</v>
      </c>
      <c r="I97" s="61">
        <f>'Growth Rates'!I138*$D$54</f>
        <v>2.397580537992057E-2</v>
      </c>
      <c r="J97" s="61">
        <f>'Growth Rates'!J138*$D$54</f>
        <v>2.8633662637600331E-2</v>
      </c>
      <c r="K97" s="61">
        <f>'Growth Rates'!K138*$D$54</f>
        <v>3.3776951584090581E-2</v>
      </c>
      <c r="L97" s="61">
        <f>'Growth Rates'!L138*$D$54</f>
        <v>3.9413779195037572E-2</v>
      </c>
      <c r="M97" s="61">
        <f>'Growth Rates'!M138*$D$54</f>
        <v>4.5553084688857028E-2</v>
      </c>
      <c r="N97" s="61">
        <f>'Growth Rates'!N138*$D$54</f>
        <v>5.2204663073821676E-2</v>
      </c>
      <c r="O97" s="61">
        <f>'Growth Rates'!O138*$D$54</f>
        <v>5.890644652932106E-2</v>
      </c>
      <c r="P97" s="61">
        <f>'Growth Rates'!P138*$D$54</f>
        <v>6.5658813995354323E-2</v>
      </c>
      <c r="Q97" s="61">
        <f>'Growth Rates'!Q138*$D$54</f>
        <v>7.2462147272100139E-2</v>
      </c>
      <c r="R97" s="61">
        <f>'Growth Rates'!R138*$D$54</f>
        <v>7.9316831041505359E-2</v>
      </c>
      <c r="S97" s="61">
        <f>'Growth Rates'!S138*$D$54</f>
        <v>8.6223252889035568E-2</v>
      </c>
      <c r="T97" s="61">
        <f>'Growth Rates'!T138*$D$54</f>
        <v>9.3181803325590867E-2</v>
      </c>
      <c r="U97" s="61">
        <f>'Growth Rates'!U138*$D$54</f>
        <v>0.10019287580958623</v>
      </c>
      <c r="V97" s="61">
        <f>'Growth Rates'!V138*$D$54</f>
        <v>0.1072568667691992</v>
      </c>
      <c r="W97" s="61">
        <f>'Growth Rates'!W138*$D$54</f>
        <v>0.11437417562478489</v>
      </c>
      <c r="X97" s="61">
        <f>'Growth Rates'!X138*$D$54</f>
        <v>0.12154520481146057</v>
      </c>
      <c r="Y97" s="61">
        <f>'Growth Rates'!Y138*$D$54</f>
        <v>0.12877035980186088</v>
      </c>
      <c r="Z97" s="61">
        <f>'Growth Rates'!Z138*$D$54</f>
        <v>0.13605004912906427</v>
      </c>
      <c r="AA97" s="61">
        <f>'Growth Rates'!AA138*$D$54</f>
        <v>0.14338468440969254</v>
      </c>
      <c r="AB97" s="61">
        <f>'Growth Rates'!AB138*$D$54</f>
        <v>0.15077468036718555</v>
      </c>
      <c r="AC97" s="61">
        <f>'Growth Rates'!AC138*$D$54</f>
        <v>0.15822045485525044</v>
      </c>
      <c r="AD97" s="61">
        <f>'Growth Rates'!AD138*$D$54</f>
        <v>0.16572242888148872</v>
      </c>
      <c r="AE97" s="61">
        <f>'Growth Rates'!AE138*$D$54</f>
        <v>0.17328102663120112</v>
      </c>
      <c r="AF97" s="61">
        <f>'Growth Rates'!AF138*$D$54</f>
        <v>0.18089667549137267</v>
      </c>
      <c r="AG97" s="61">
        <f>'Growth Rates'!AG138*$D$54</f>
        <v>0.18856980607483803</v>
      </c>
      <c r="AH97" s="61">
        <f>'Growth Rates'!AH138*$D$54</f>
        <v>0.1963008522446304</v>
      </c>
      <c r="AI97" s="61">
        <f>'Growth Rates'!AI138*$D$54</f>
        <v>0.20409025113851287</v>
      </c>
      <c r="AJ97" s="61">
        <f>'Growth Rates'!AJ138*$D$54</f>
        <v>0.21193844319369576</v>
      </c>
      <c r="AK97" s="61">
        <f>'Growth Rates'!AK138*$D$54</f>
        <v>0.21984587217174062</v>
      </c>
    </row>
    <row r="98" spans="1:37" x14ac:dyDescent="0.25">
      <c r="A98" s="1" t="s">
        <v>30</v>
      </c>
      <c r="B98">
        <f>'Growth Rates'!B139*$D$54</f>
        <v>0</v>
      </c>
      <c r="C98" s="61">
        <f>'Growth Rates'!C139*$D$54</f>
        <v>0</v>
      </c>
      <c r="D98" s="61">
        <f>'Growth Rates'!D139*$D$54</f>
        <v>0</v>
      </c>
      <c r="E98" s="61">
        <f>'Growth Rates'!E139*$D$54</f>
        <v>0</v>
      </c>
      <c r="F98" s="61">
        <f>'Growth Rates'!F139*$D$54</f>
        <v>0</v>
      </c>
      <c r="G98" s="61">
        <f>'Growth Rates'!G139*$D$54</f>
        <v>0</v>
      </c>
      <c r="H98" s="61">
        <f>'Growth Rates'!H139*$D$54</f>
        <v>2.0295630315772433E-3</v>
      </c>
      <c r="I98" s="61">
        <f>'Growth Rates'!I139*$D$54</f>
        <v>6.0985469723137363E-3</v>
      </c>
      <c r="J98" s="61">
        <f>'Growth Rates'!J139*$D$54</f>
        <v>1.2231668337843763E-2</v>
      </c>
      <c r="K98" s="61">
        <f>'Growth Rates'!K139*$D$54</f>
        <v>2.0468742385149025E-2</v>
      </c>
      <c r="L98" s="61">
        <f>'Growth Rates'!L139*$D$54</f>
        <v>3.0865106557712071E-2</v>
      </c>
      <c r="M98" s="61">
        <f>'Growth Rates'!M139*$D$54</f>
        <v>4.3492233442730718E-2</v>
      </c>
      <c r="N98" s="61">
        <f>'Growth Rates'!N139*$D$54</f>
        <v>5.8438542632297592E-2</v>
      </c>
      <c r="O98" s="61">
        <f>'Growth Rates'!O139*$D$54</f>
        <v>7.3638939078087232E-2</v>
      </c>
      <c r="P98" s="61">
        <f>'Growth Rates'!P139*$D$54</f>
        <v>8.909774226345521E-2</v>
      </c>
      <c r="Q98" s="61">
        <f>'Growth Rates'!Q139*$D$54</f>
        <v>0.10481934510297443</v>
      </c>
      <c r="R98" s="61">
        <f>'Growth Rates'!R139*$D$54</f>
        <v>0.12080821519076557</v>
      </c>
      <c r="S98" s="61">
        <f>'Growth Rates'!S139*$D$54</f>
        <v>0.13706889607004899</v>
      </c>
      <c r="T98" s="61">
        <f>'Growth Rates'!T139*$D$54</f>
        <v>0.15360600852428027</v>
      </c>
      <c r="U98" s="61">
        <f>'Growth Rates'!U139*$D$54</f>
        <v>0.17042425189023347</v>
      </c>
      <c r="V98" s="61">
        <f>'Growth Rates'!V139*$D$54</f>
        <v>0.18752840539340795</v>
      </c>
      <c r="W98" s="61">
        <f>'Growth Rates'!W139*$D$54</f>
        <v>0.20492332950613631</v>
      </c>
      <c r="X98" s="61">
        <f>'Growth Rates'!X139*$D$54</f>
        <v>0.22261396732878114</v>
      </c>
      <c r="Y98" s="61">
        <f>'Growth Rates'!Y139*$D$54</f>
        <v>0.24060534599441089</v>
      </c>
      <c r="Z98" s="61">
        <f>'Growth Rates'!Z139*$D$54</f>
        <v>0.25890257809735645</v>
      </c>
      <c r="AA98" s="61">
        <f>'Growth Rates'!AA139*$D$54</f>
        <v>0.27751086314605206</v>
      </c>
      <c r="AB98" s="61">
        <f>'Growth Rates'!AB139*$D$54</f>
        <v>0.29643548904057537</v>
      </c>
      <c r="AC98" s="61">
        <f>'Growth Rates'!AC139*$D$54</f>
        <v>0.31568183357530571</v>
      </c>
      <c r="AD98" s="61">
        <f>'Growth Rates'!AD139*$D$54</f>
        <v>0.3352553659671263</v>
      </c>
      <c r="AE98" s="61">
        <f>'Growth Rates'!AE139*$D$54</f>
        <v>0.35516164840960801</v>
      </c>
      <c r="AF98" s="61">
        <f>'Growth Rates'!AF139*$D$54</f>
        <v>0.37540633765361181</v>
      </c>
      <c r="AG98" s="61">
        <f>'Growth Rates'!AG139*$D$54</f>
        <v>0.39599518661476368</v>
      </c>
      <c r="AH98" s="61">
        <f>'Growth Rates'!AH139*$D$54</f>
        <v>0.41693404600825512</v>
      </c>
      <c r="AI98" s="61">
        <f>'Growth Rates'!AI139*$D$54</f>
        <v>0.4382288660114359</v>
      </c>
      <c r="AJ98" s="61">
        <f>'Growth Rates'!AJ139*$D$54</f>
        <v>0.45988569795467071</v>
      </c>
      <c r="AK98" s="61">
        <f>'Growth Rates'!AK139*$D$54</f>
        <v>0.48191069604094067</v>
      </c>
    </row>
    <row r="99" spans="1:37" x14ac:dyDescent="0.25">
      <c r="A99" s="1" t="s">
        <v>31</v>
      </c>
      <c r="B99">
        <f>'Growth Rates'!B140*$D$54</f>
        <v>0</v>
      </c>
      <c r="C99" s="61">
        <f>'Growth Rates'!C140*$D$54</f>
        <v>2.3399667893478651E-2</v>
      </c>
      <c r="D99" s="61">
        <f>'Growth Rates'!D140*$D$54</f>
        <v>4.7454526487974623E-2</v>
      </c>
      <c r="E99" s="61">
        <f>'Growth Rates'!E140*$D$54</f>
        <v>7.218292112311657E-2</v>
      </c>
      <c r="F99" s="61">
        <f>'Growth Rates'!F140*$D$54</f>
        <v>9.7603710808042476E-2</v>
      </c>
      <c r="G99" s="61">
        <f>'Growth Rates'!G140*$D$54</f>
        <v>0.12373628260414626</v>
      </c>
      <c r="H99" s="61">
        <f>'Growth Rates'!H140*$D$54</f>
        <v>0.15073762908302263</v>
      </c>
      <c r="I99" s="61">
        <f>'Growth Rates'!I140*$D$54</f>
        <v>0.17863979060621168</v>
      </c>
      <c r="J99" s="61">
        <f>'Growth Rates'!J140*$D$54</f>
        <v>0.20747609072896717</v>
      </c>
      <c r="K99" s="61">
        <f>'Growth Rates'!K140*$D$54</f>
        <v>0.23728119117171156</v>
      </c>
      <c r="L99" s="61">
        <f>'Growth Rates'!L140*$D$54</f>
        <v>0.26809114928652589</v>
      </c>
      <c r="M99" s="61">
        <f>'Growth Rates'!M140*$D$54</f>
        <v>0.2999434781377876</v>
      </c>
      <c r="N99" s="61">
        <f>'Growth Rates'!N140*$D$54</f>
        <v>0.33287720932202908</v>
      </c>
      <c r="O99" s="61">
        <f>'Growth Rates'!O140*$D$54</f>
        <v>0.36676601871061359</v>
      </c>
      <c r="P99" s="61">
        <f>'Growth Rates'!P140*$D$54</f>
        <v>0.40163760357146705</v>
      </c>
      <c r="Q99" s="61">
        <f>'Growth Rates'!Q140*$D$54</f>
        <v>0.43752046439328512</v>
      </c>
      <c r="R99" s="61">
        <f>'Growth Rates'!R140*$D$54</f>
        <v>0.47444392817893594</v>
      </c>
      <c r="S99" s="61">
        <f>'Growth Rates'!S140*$D$54</f>
        <v>0.51243817241437062</v>
      </c>
      <c r="T99" s="61">
        <f>'Growth Rates'!T140*$D$54</f>
        <v>0.5515342497326331</v>
      </c>
      <c r="U99" s="61">
        <f>'Growth Rates'!U140*$D$54</f>
        <v>0.59176411329312506</v>
      </c>
      <c r="V99" s="61">
        <f>'Growth Rates'!V140*$D$54</f>
        <v>0.63316064289687135</v>
      </c>
      <c r="W99" s="61">
        <f>'Growth Rates'!W140*$D$54</f>
        <v>0.67575767185912627</v>
      </c>
      <c r="X99" s="61">
        <f>'Growth Rates'!X140*$D$54</f>
        <v>0.71959001466128647</v>
      </c>
      <c r="Y99" s="61">
        <f>'Growth Rates'!Y140*$D$54</f>
        <v>0.76469349540470932</v>
      </c>
      <c r="Z99" s="61">
        <f>'Growth Rates'!Z140*$D$54</f>
        <v>0.81110497708969131</v>
      </c>
      <c r="AA99" s="61">
        <f>'Growth Rates'!AA140*$D$54</f>
        <v>0.85886239174353818</v>
      </c>
      <c r="AB99" s="61">
        <f>'Growth Rates'!AB140*$D$54</f>
        <v>0.90800477142234626</v>
      </c>
      <c r="AC99" s="61">
        <f>'Growth Rates'!AC140*$D$54</f>
        <v>0.95857228011183992</v>
      </c>
      <c r="AD99" s="61">
        <f>'Growth Rates'!AD140*$D$54</f>
        <v>1.010606246553329</v>
      </c>
      <c r="AE99" s="61">
        <f>'Growth Rates'!AE140*$D$54</f>
        <v>1.0641491980216209</v>
      </c>
      <c r="AF99" s="61">
        <f>'Growth Rates'!AF140*$D$54</f>
        <v>1.1192448950824936</v>
      </c>
      <c r="AG99" s="61">
        <f>'Growth Rates'!AG140*$D$54</f>
        <v>1.1759383673581314</v>
      </c>
      <c r="AH99" s="61">
        <f>'Growth Rates'!AH140*$D$54</f>
        <v>1.2342759503297629</v>
      </c>
      <c r="AI99" s="61">
        <f>'Growth Rates'!AI140*$D$54</f>
        <v>1.2943053232075714</v>
      </c>
      <c r="AJ99" s="61">
        <f>'Growth Rates'!AJ140*$D$54</f>
        <v>1.3560755478988364</v>
      </c>
      <c r="AK99" s="61">
        <f>'Growth Rates'!AK140*$D$54</f>
        <v>1.4196371091061482</v>
      </c>
    </row>
    <row r="100" spans="1:37" x14ac:dyDescent="0.25">
      <c r="A100" s="1" t="s">
        <v>32</v>
      </c>
      <c r="B100">
        <f>'Growth Rates'!B141*$D$54</f>
        <v>0</v>
      </c>
      <c r="C100" s="61">
        <f>'Growth Rates'!C141*$D$54</f>
        <v>2.0056858194410273E-2</v>
      </c>
      <c r="D100" s="61">
        <f>'Growth Rates'!D141*$D$54</f>
        <v>4.0595080985486316E-2</v>
      </c>
      <c r="E100" s="61">
        <f>'Growth Rates'!E141*$D$54</f>
        <v>6.162622112354834E-2</v>
      </c>
      <c r="F100" s="61">
        <f>'Growth Rates'!F141*$D$54</f>
        <v>8.3162108624923875E-2</v>
      </c>
      <c r="G100" s="61">
        <f>'Growth Rates'!G141*$D$54</f>
        <v>0.10521485742633238</v>
      </c>
      <c r="H100" s="61">
        <f>'Growth Rates'!H141*$D$54</f>
        <v>0.12752803868977666</v>
      </c>
      <c r="I100" s="61">
        <f>'Growth Rates'!I141*$D$54</f>
        <v>0.15009515240505181</v>
      </c>
      <c r="J100" s="61">
        <f>'Growth Rates'!J141*$D$54</f>
        <v>0.17290932490532143</v>
      </c>
      <c r="K100" s="61">
        <f>'Growth Rates'!K141*$D$54</f>
        <v>0.19596330775497678</v>
      </c>
      <c r="L100" s="61">
        <f>'Growth Rates'!L141*$D$54</f>
        <v>0.21924947714618914</v>
      </c>
      <c r="M100" s="61">
        <f>'Growth Rates'!M141*$D$54</f>
        <v>0.2427598338173993</v>
      </c>
      <c r="N100" s="61">
        <f>'Growth Rates'!N141*$D$54</f>
        <v>0.26648600350625823</v>
      </c>
      <c r="O100" s="61">
        <f>'Growth Rates'!O141*$D$54</f>
        <v>0.29073414892827204</v>
      </c>
      <c r="P100" s="61">
        <f>'Growth Rates'!P141*$D$54</f>
        <v>0.31551575354957012</v>
      </c>
      <c r="Q100" s="61">
        <f>'Growth Rates'!Q141*$D$54</f>
        <v>0.34084255347253672</v>
      </c>
      <c r="R100" s="61">
        <f>'Growth Rates'!R141*$D$54</f>
        <v>0.36672654299380869</v>
      </c>
      <c r="S100" s="61">
        <f>'Growth Rates'!S141*$D$54</f>
        <v>0.39317998028454848</v>
      </c>
      <c r="T100" s="61">
        <f>'Growth Rates'!T141*$D$54</f>
        <v>0.42021539319568463</v>
      </c>
      <c r="U100" s="61">
        <f>'Growth Rates'!U141*$D$54</f>
        <v>0.44784558519086581</v>
      </c>
      <c r="V100" s="61">
        <f>'Growth Rates'!V141*$D$54</f>
        <v>0.47608364140994092</v>
      </c>
      <c r="W100" s="61">
        <f>'Growth Rates'!W141*$D$54</f>
        <v>0.50494293486583575</v>
      </c>
      <c r="X100" s="61">
        <f>'Growth Rates'!X141*$D$54</f>
        <v>0.53443713277776017</v>
      </c>
      <c r="Y100" s="61">
        <f>'Growth Rates'!Y141*$D$54</f>
        <v>0.5645802030437469</v>
      </c>
      <c r="Z100" s="61">
        <f>'Growth Rates'!Z141*$D$54</f>
        <v>0.59538642085558535</v>
      </c>
      <c r="AA100" s="61">
        <f>'Growth Rates'!AA141*$D$54</f>
        <v>0.62687037545928437</v>
      </c>
      <c r="AB100" s="61">
        <f>'Growth Rates'!AB141*$D$54</f>
        <v>0.65904697706426463</v>
      </c>
      <c r="AC100" s="61">
        <f>'Growth Rates'!AC141*$D$54</f>
        <v>0.69193146390455451</v>
      </c>
      <c r="AD100" s="61">
        <f>'Growth Rates'!AD141*$D$54</f>
        <v>0.72553940945533069</v>
      </c>
      <c r="AE100" s="61">
        <f>'Growth Rates'!AE141*$D$54</f>
        <v>0.75988672980822414</v>
      </c>
      <c r="AF100" s="61">
        <f>'Growth Rates'!AF141*$D$54</f>
        <v>0.79498969120888119</v>
      </c>
      <c r="AG100" s="61">
        <f>'Growth Rates'!AG141*$D$54</f>
        <v>0.83086491776035265</v>
      </c>
      <c r="AH100" s="61">
        <f>'Growth Rates'!AH141*$D$54</f>
        <v>0.86752939929595663</v>
      </c>
      <c r="AI100" s="61">
        <f>'Growth Rates'!AI141*$D$54</f>
        <v>0.90500049942534389</v>
      </c>
      <c r="AJ100" s="61">
        <f>'Growth Rates'!AJ141*$D$54</f>
        <v>0.94329596375757752</v>
      </c>
      <c r="AK100" s="61">
        <f>'Growth Rates'!AK141*$D$54</f>
        <v>0.98243392830512022</v>
      </c>
    </row>
    <row r="101" spans="1:37" x14ac:dyDescent="0.25">
      <c r="A101" s="1" t="s">
        <v>33</v>
      </c>
      <c r="B101">
        <f>'Growth Rates'!B142*$D$54</f>
        <v>0</v>
      </c>
      <c r="C101" s="61">
        <f>'Growth Rates'!C142*$D$54</f>
        <v>6.6856193981367582E-3</v>
      </c>
      <c r="D101" s="61">
        <f>'Growth Rates'!D142*$D$54</f>
        <v>1.3424723751458664E-2</v>
      </c>
      <c r="E101" s="61">
        <f>'Growth Rates'!E142*$D$54</f>
        <v>2.0217740939607157E-2</v>
      </c>
      <c r="F101" s="61">
        <f>'Growth Rates'!F142*$D$54</f>
        <v>2.70651022652608E-2</v>
      </c>
      <c r="G101" s="61">
        <f>'Growth Rates'!G142*$D$54</f>
        <v>3.3967242481519569E-2</v>
      </c>
      <c r="H101" s="61">
        <f>'Growth Rates'!H142*$D$54</f>
        <v>4.2042746534542534E-2</v>
      </c>
      <c r="I101" s="61">
        <f>'Growth Rates'!I142*$D$54</f>
        <v>5.1321766916874262E-2</v>
      </c>
      <c r="J101" s="61">
        <f>'Growth Rates'!J142*$D$54</f>
        <v>6.1839339475412682E-2</v>
      </c>
      <c r="K101" s="61">
        <f>'Growth Rates'!K142*$D$54</f>
        <v>7.3635602662599914E-2</v>
      </c>
      <c r="L101" s="61">
        <f>'Growth Rates'!L142*$D$54</f>
        <v>8.6756051344085511E-2</v>
      </c>
      <c r="M101" s="61">
        <f>'Growth Rates'!M142*$D$54</f>
        <v>0.10125182739726118</v>
      </c>
      <c r="N101" s="61">
        <f>'Growth Rates'!N142*$D$54</f>
        <v>0.11718004968405514</v>
      </c>
      <c r="O101" s="61">
        <f>'Growth Rates'!O142*$D$54</f>
        <v>0.13337905174972467</v>
      </c>
      <c r="P101" s="61">
        <f>'Growth Rates'!P142*$D$54</f>
        <v>0.1498534368505105</v>
      </c>
      <c r="Q101" s="61">
        <f>'Growth Rates'!Q142*$D$54</f>
        <v>0.16660788649800976</v>
      </c>
      <c r="R101" s="61">
        <f>'Growth Rates'!R142*$D$54</f>
        <v>0.18364716178951637</v>
      </c>
      <c r="S101" s="61">
        <f>'Growth Rates'!S142*$D$54</f>
        <v>0.20097610476097874</v>
      </c>
      <c r="T101" s="61">
        <f>'Growth Rates'!T142*$D$54</f>
        <v>0.21859963976295588</v>
      </c>
      <c r="U101" s="61">
        <f>'Growth Rates'!U142*$D$54</f>
        <v>0.23652277485996659</v>
      </c>
      <c r="V101" s="61">
        <f>'Growth Rates'!V142*$D$54</f>
        <v>0.25475060325362658</v>
      </c>
      <c r="W101" s="61">
        <f>'Growth Rates'!W142*$D$54</f>
        <v>0.27328830472997873</v>
      </c>
      <c r="X101" s="61">
        <f>'Growth Rates'!X142*$D$54</f>
        <v>0.29214114713142891</v>
      </c>
      <c r="Y101" s="61">
        <f>'Growth Rates'!Y142*$D$54</f>
        <v>0.31131448785370358</v>
      </c>
      <c r="Z101" s="61">
        <f>'Growth Rates'!Z142*$D$54</f>
        <v>0.33081377536825701</v>
      </c>
      <c r="AA101" s="61">
        <f>'Growth Rates'!AA142*$D$54</f>
        <v>0.35064455077055778</v>
      </c>
      <c r="AB101" s="61">
        <f>'Growth Rates'!AB142*$D$54</f>
        <v>0.37081244935469776</v>
      </c>
      <c r="AC101" s="61">
        <f>'Growth Rates'!AC142*$D$54</f>
        <v>0.39132320221476818</v>
      </c>
      <c r="AD101" s="61">
        <f>'Growth Rates'!AD142*$D$54</f>
        <v>0.41218263787345971</v>
      </c>
      <c r="AE101" s="61">
        <f>'Growth Rates'!AE142*$D$54</f>
        <v>0.43339668393834907</v>
      </c>
      <c r="AF101" s="61">
        <f>'Growth Rates'!AF142*$D$54</f>
        <v>0.45497136878634148</v>
      </c>
      <c r="AG101" s="61">
        <f>'Growth Rates'!AG142*$D$54</f>
        <v>0.47691282327674978</v>
      </c>
      <c r="AH101" s="61">
        <f>'Growth Rates'!AH142*$D$54</f>
        <v>0.49922728249349507</v>
      </c>
      <c r="AI101" s="61">
        <f>'Growth Rates'!AI142*$D$54</f>
        <v>0.52192108751692501</v>
      </c>
      <c r="AJ101" s="61">
        <f>'Growth Rates'!AJ142*$D$54</f>
        <v>0.54500068722575312</v>
      </c>
      <c r="AK101" s="61">
        <f>'Growth Rates'!AK142*$D$54</f>
        <v>0.56847264012963139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43"/>
  <sheetViews>
    <sheetView tabSelected="1" workbookViewId="0"/>
  </sheetViews>
  <sheetFormatPr defaultRowHeight="15" x14ac:dyDescent="0.25"/>
  <cols>
    <col min="1" max="1" width="20.140625" customWidth="1"/>
    <col min="2" max="21" width="10.140625" customWidth="1"/>
    <col min="22" max="22" width="12.85546875" customWidth="1"/>
    <col min="23" max="33" width="10.140625" customWidth="1"/>
  </cols>
  <sheetData>
    <row r="1" spans="1:32" s="4" customFormat="1" x14ac:dyDescent="0.25">
      <c r="A1" s="5" t="s">
        <v>667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2" x14ac:dyDescent="0.25">
      <c r="A2" s="2" t="s">
        <v>3</v>
      </c>
      <c r="B2">
        <f>'Rescale to Fit GDP Proj'!G60</f>
        <v>9.6062035202881133E-2</v>
      </c>
      <c r="C2">
        <f>'Rescale to Fit GDP Proj'!H60</f>
        <v>0.11416488756801207</v>
      </c>
      <c r="D2">
        <f>'Rescale to Fit GDP Proj'!I60</f>
        <v>0.13017693654737533</v>
      </c>
      <c r="E2">
        <f>'Rescale to Fit GDP Proj'!J60</f>
        <v>0.14397521313758205</v>
      </c>
      <c r="F2">
        <f>'Rescale to Fit GDP Proj'!K60</f>
        <v>0.15545143689589411</v>
      </c>
      <c r="G2">
        <f>'Rescale to Fit GDP Proj'!L60</f>
        <v>0.16451341505967004</v>
      </c>
      <c r="H2">
        <f>'Rescale to Fit GDP Proj'!M60</f>
        <v>0.17108626200710325</v>
      </c>
      <c r="I2">
        <f>'Rescale to Fit GDP Proj'!N60</f>
        <v>0.17511341675420011</v>
      </c>
      <c r="J2">
        <f>'Rescale to Fit GDP Proj'!O60</f>
        <v>0.17915668012028529</v>
      </c>
      <c r="K2">
        <f>'Rescale to Fit GDP Proj'!P60</f>
        <v>0.1832161165398348</v>
      </c>
      <c r="L2">
        <f>'Rescale to Fit GDP Proj'!Q60</f>
        <v>0.18729179070506261</v>
      </c>
      <c r="M2">
        <f>'Rescale to Fit GDP Proj'!R60</f>
        <v>0.19138376756695119</v>
      </c>
      <c r="N2">
        <f>'Rescale to Fit GDP Proj'!S60</f>
        <v>0.19549211233628744</v>
      </c>
      <c r="O2">
        <f>'Rescale to Fit GDP Proj'!T60</f>
        <v>0.19961689048470102</v>
      </c>
      <c r="P2">
        <f>'Rescale to Fit GDP Proj'!U60</f>
        <v>0.20375816774570815</v>
      </c>
      <c r="Q2">
        <f>'Rescale to Fit GDP Proj'!V60</f>
        <v>0.20791601011575928</v>
      </c>
      <c r="R2">
        <f>'Rescale to Fit GDP Proj'!W60</f>
        <v>0.21209048385529061</v>
      </c>
      <c r="S2">
        <f>'Rescale to Fit GDP Proj'!X60</f>
        <v>0.21628165548978015</v>
      </c>
      <c r="T2">
        <f>'Rescale to Fit GDP Proj'!Y60</f>
        <v>0.2204895918108076</v>
      </c>
      <c r="U2">
        <f>'Rescale to Fit GDP Proj'!Z60</f>
        <v>0.22471435987711916</v>
      </c>
      <c r="V2">
        <f>'Rescale to Fit GDP Proj'!AA60</f>
        <v>0.22895602701569606</v>
      </c>
      <c r="W2">
        <f>'Rescale to Fit GDP Proj'!AB60</f>
        <v>0.23321466082282713</v>
      </c>
      <c r="X2">
        <f>'Rescale to Fit GDP Proj'!AC60</f>
        <v>0.23749032916518678</v>
      </c>
      <c r="Y2">
        <f>'Rescale to Fit GDP Proj'!AD60</f>
        <v>0.24178310018091587</v>
      </c>
      <c r="Z2">
        <f>'Rescale to Fit GDP Proj'!AE60</f>
        <v>0.24609304228070794</v>
      </c>
      <c r="AA2">
        <f>'Rescale to Fit GDP Proj'!AF60</f>
        <v>0.25042022414889925</v>
      </c>
      <c r="AB2">
        <f>'Rescale to Fit GDP Proj'!AG60</f>
        <v>0.25476471474456319</v>
      </c>
      <c r="AC2">
        <f>'Rescale to Fit GDP Proj'!AH60</f>
        <v>0.25912658330260979</v>
      </c>
      <c r="AD2">
        <f>'Rescale to Fit GDP Proj'!AI60</f>
        <v>0.26350589933488866</v>
      </c>
      <c r="AE2">
        <f>'Rescale to Fit GDP Proj'!AJ60</f>
        <v>0.26790273263129655</v>
      </c>
      <c r="AF2">
        <f>'Rescale to Fit GDP Proj'!AK60</f>
        <v>0.27231715326089012</v>
      </c>
    </row>
    <row r="3" spans="1:32" x14ac:dyDescent="0.25">
      <c r="A3" s="2" t="s">
        <v>40</v>
      </c>
      <c r="B3">
        <f>'Rescale to Fit GDP Proj'!G61</f>
        <v>-5.2926561862082513E-2</v>
      </c>
      <c r="C3">
        <f>'Rescale to Fit GDP Proj'!H61</f>
        <v>-6.1872571723854068E-2</v>
      </c>
      <c r="D3">
        <f>'Rescale to Fit GDP Proj'!I61</f>
        <v>-6.9500323132423214E-2</v>
      </c>
      <c r="E3">
        <f>'Rescale to Fit GDP Proj'!J61</f>
        <v>-7.5848854831681967E-2</v>
      </c>
      <c r="F3">
        <f>'Rescale to Fit GDP Proj'!K61</f>
        <v>-8.0950728801248234E-2</v>
      </c>
      <c r="G3">
        <f>'Rescale to Fit GDP Proj'!L61</f>
        <v>-8.4832308951929739E-2</v>
      </c>
      <c r="H3">
        <f>'Rescale to Fit GDP Proj'!M61</f>
        <v>-8.7513987936983922E-2</v>
      </c>
      <c r="I3">
        <f>'Rescale to Fit GDP Proj'!N61</f>
        <v>-8.9010364810644158E-2</v>
      </c>
      <c r="J3">
        <f>'Rescale to Fit GDP Proj'!O61</f>
        <v>-9.0503748930557029E-2</v>
      </c>
      <c r="K3">
        <f>'Rescale to Fit GDP Proj'!P61</f>
        <v>-9.1994146282230141E-2</v>
      </c>
      <c r="L3">
        <f>'Rescale to Fit GDP Proj'!Q61</f>
        <v>-9.3481562839199894E-2</v>
      </c>
      <c r="M3">
        <f>'Rescale to Fit GDP Proj'!R61</f>
        <v>-9.4966004563055692E-2</v>
      </c>
      <c r="N3">
        <f>'Rescale to Fit GDP Proj'!S61</f>
        <v>-9.6447477403463752E-2</v>
      </c>
      <c r="O3">
        <f>'Rescale to Fit GDP Proj'!T61</f>
        <v>-9.7925987298190978E-2</v>
      </c>
      <c r="P3">
        <f>'Rescale to Fit GDP Proj'!U61</f>
        <v>-9.9401540173128758E-2</v>
      </c>
      <c r="Q3">
        <f>'Rescale to Fit GDP Proj'!V61</f>
        <v>-0.10087414194231666</v>
      </c>
      <c r="R3">
        <f>'Rescale to Fit GDP Proj'!W61</f>
        <v>-0.10234379850796617</v>
      </c>
      <c r="S3">
        <f>'Rescale to Fit GDP Proj'!X61</f>
        <v>-0.10381051576048446</v>
      </c>
      <c r="T3">
        <f>'Rescale to Fit GDP Proj'!Y61</f>
        <v>-0.10527429957849765</v>
      </c>
      <c r="U3">
        <f>'Rescale to Fit GDP Proj'!Z61</f>
        <v>-0.10673515582887487</v>
      </c>
      <c r="V3">
        <f>'Rescale to Fit GDP Proj'!AA61</f>
        <v>-0.10819309036675134</v>
      </c>
      <c r="W3">
        <f>'Rescale to Fit GDP Proj'!AB61</f>
        <v>-0.10964810903555203</v>
      </c>
      <c r="X3">
        <f>'Rescale to Fit GDP Proj'!AC61</f>
        <v>-0.11110021766701512</v>
      </c>
      <c r="Y3">
        <f>'Rescale to Fit GDP Proj'!AD61</f>
        <v>-0.11254942208121525</v>
      </c>
      <c r="Z3">
        <f>'Rescale to Fit GDP Proj'!AE61</f>
        <v>-0.11399572808658705</v>
      </c>
      <c r="AA3">
        <f>'Rescale to Fit GDP Proj'!AF61</f>
        <v>-0.11543914147994802</v>
      </c>
      <c r="AB3">
        <f>'Rescale to Fit GDP Proj'!AG61</f>
        <v>-0.11687966804652236</v>
      </c>
      <c r="AC3">
        <f>'Rescale to Fit GDP Proj'!AH61</f>
        <v>-0.11831731355996354</v>
      </c>
      <c r="AD3">
        <f>'Rescale to Fit GDP Proj'!AI61</f>
        <v>-0.11975208378237781</v>
      </c>
      <c r="AE3">
        <f>'Rescale to Fit GDP Proj'!AJ61</f>
        <v>-0.12118398446434721</v>
      </c>
      <c r="AF3">
        <f>'Rescale to Fit GDP Proj'!AK61</f>
        <v>-0.12261302134495267</v>
      </c>
    </row>
    <row r="4" spans="1:32" x14ac:dyDescent="0.25">
      <c r="A4" s="2" t="s">
        <v>41</v>
      </c>
      <c r="B4">
        <f>'Rescale to Fit GDP Proj'!G62</f>
        <v>0.25652722166283715</v>
      </c>
      <c r="C4">
        <f>'Rescale to Fit GDP Proj'!H62</f>
        <v>0.31332316327719362</v>
      </c>
      <c r="D4">
        <f>'Rescale to Fit GDP Proj'!I62</f>
        <v>0.36962541709136365</v>
      </c>
      <c r="E4">
        <f>'Rescale to Fit GDP Proj'!J62</f>
        <v>0.4250704978168528</v>
      </c>
      <c r="F4">
        <f>'Rescale to Fit GDP Proj'!K62</f>
        <v>0.47928373348796244</v>
      </c>
      <c r="G4">
        <f>'Rescale to Fit GDP Proj'!L62</f>
        <v>0.53188317981816458</v>
      </c>
      <c r="H4">
        <f>'Rescale to Fit GDP Proj'!M62</f>
        <v>0.58248384718781909</v>
      </c>
      <c r="I4">
        <f>'Rescale to Fit GDP Proj'!N62</f>
        <v>0.63070218043428616</v>
      </c>
      <c r="J4">
        <f>'Rescale to Fit GDP Proj'!O62</f>
        <v>0.68055993701113304</v>
      </c>
      <c r="K4">
        <f>'Rescale to Fit GDP Proj'!P62</f>
        <v>0.73211285731159281</v>
      </c>
      <c r="L4">
        <f>'Rescale to Fit GDP Proj'!Q62</f>
        <v>0.78541857690226813</v>
      </c>
      <c r="M4">
        <f>'Rescale to Fit GDP Proj'!R62</f>
        <v>0.84053669095902639</v>
      </c>
      <c r="N4">
        <f>'Rescale to Fit GDP Proj'!S62</f>
        <v>0.89752882089371466</v>
      </c>
      <c r="O4">
        <f>'Rescale to Fit GDP Proj'!T62</f>
        <v>0.95645868324618222</v>
      </c>
      <c r="P4">
        <f>'Rescale to Fit GDP Proj'!U62</f>
        <v>1.0173921609186336</v>
      </c>
      <c r="Q4">
        <f>'Rescale to Fit GDP Proj'!V62</f>
        <v>1.0803973768319481</v>
      </c>
      <c r="R4">
        <f>'Rescale to Fit GDP Proj'!W62</f>
        <v>1.1455447700863159</v>
      </c>
      <c r="S4">
        <f>'Rescale to Fit GDP Proj'!X62</f>
        <v>1.2129071747113318</v>
      </c>
      <c r="T4">
        <f>'Rescale to Fit GDP Proj'!Y62</f>
        <v>1.2825599010935984</v>
      </c>
      <c r="U4">
        <f>'Rescale to Fit GDP Proj'!Z62</f>
        <v>1.3545808201728622</v>
      </c>
      <c r="V4">
        <f>'Rescale to Fit GDP Proj'!AA62</f>
        <v>1.4290504505008208</v>
      </c>
      <c r="W4">
        <f>'Rescale to Fit GDP Proj'!AB62</f>
        <v>1.50605204825993</v>
      </c>
      <c r="X4">
        <f>'Rescale to Fit GDP Proj'!AC62</f>
        <v>1.5856717003428487</v>
      </c>
      <c r="Y4">
        <f>'Rescale to Fit GDP Proj'!AD62</f>
        <v>1.667998420596587</v>
      </c>
      <c r="Z4">
        <f>'Rescale to Fit GDP Proj'!AE62</f>
        <v>1.7531242493389521</v>
      </c>
      <c r="AA4">
        <f>'Rescale to Fit GDP Proj'!AF62</f>
        <v>1.8411443562585577</v>
      </c>
      <c r="AB4">
        <f>'Rescale to Fit GDP Proj'!AG62</f>
        <v>1.9321571468134302</v>
      </c>
      <c r="AC4">
        <f>'Rescale to Fit GDP Proj'!AH62</f>
        <v>2.026264372247168</v>
      </c>
      <c r="AD4">
        <f>'Rescale to Fit GDP Proj'!AI62</f>
        <v>2.1235712433456535</v>
      </c>
      <c r="AE4">
        <f>'Rescale to Fit GDP Proj'!AJ62</f>
        <v>2.2241865480614869</v>
      </c>
      <c r="AF4">
        <f>'Rescale to Fit GDP Proj'!AK62</f>
        <v>2.3282227731376586</v>
      </c>
    </row>
    <row r="5" spans="1:32" x14ac:dyDescent="0.25">
      <c r="A5" s="2" t="s">
        <v>4</v>
      </c>
      <c r="B5">
        <f>'Rescale to Fit GDP Proj'!G63</f>
        <v>-6.2552016567298432E-2</v>
      </c>
      <c r="C5">
        <f>'Rescale to Fit GDP Proj'!H63</f>
        <v>-7.1674157176856296E-2</v>
      </c>
      <c r="D5">
        <f>'Rescale to Fit GDP Proj'!I63</f>
        <v>-7.7907065108165197E-2</v>
      </c>
      <c r="E5">
        <f>'Rescale to Fit GDP Proj'!J63</f>
        <v>-8.1330213834234208E-2</v>
      </c>
      <c r="F5">
        <f>'Rescale to Fit GDP Proj'!K63</f>
        <v>-8.1991450611207453E-2</v>
      </c>
      <c r="G5">
        <f>'Rescale to Fit GDP Proj'!L63</f>
        <v>-7.9908066416920456E-2</v>
      </c>
      <c r="H5">
        <f>'Rescale to Fit GDP Proj'!M63</f>
        <v>-7.5067297033217933E-2</v>
      </c>
      <c r="I5">
        <f>'Rescale to Fit GDP Proj'!N63</f>
        <v>-6.7426272929543757E-2</v>
      </c>
      <c r="J5">
        <f>'Rescale to Fit GDP Proj'!O63</f>
        <v>-5.9708490276041838E-2</v>
      </c>
      <c r="K5">
        <f>'Rescale to Fit GDP Proj'!P63</f>
        <v>-5.1913177988248634E-2</v>
      </c>
      <c r="L5">
        <f>'Rescale to Fit GDP Proj'!Q63</f>
        <v>-4.4039557235706746E-2</v>
      </c>
      <c r="M5">
        <f>'Rescale to Fit GDP Proj'!R63</f>
        <v>-3.6086841364152168E-2</v>
      </c>
      <c r="N5">
        <f>'Rescale to Fit GDP Proj'!S63</f>
        <v>-2.805423581691923E-2</v>
      </c>
      <c r="O5">
        <f>'Rescale to Fit GDP Proj'!T63</f>
        <v>-1.9940938055556579E-2</v>
      </c>
      <c r="P5">
        <f>'Rescale to Fit GDP Proj'!U63</f>
        <v>-1.1746137479645305E-2</v>
      </c>
      <c r="Q5">
        <f>'Rescale to Fit GDP Proj'!V63</f>
        <v>-3.4690153458119327E-3</v>
      </c>
      <c r="R5">
        <f>'Rescale to Fit GDP Proj'!W63</f>
        <v>4.8912553140724076E-3</v>
      </c>
      <c r="S5">
        <f>'Rescale to Fit GDP Proj'!X63</f>
        <v>1.3335509775514455E-2</v>
      </c>
      <c r="T5">
        <f>'Rescale to Fit GDP Proj'!Y63</f>
        <v>2.1864591704851239E-2</v>
      </c>
      <c r="U5">
        <f>'Rescale to Fit GDP Proj'!Z63</f>
        <v>3.0479353243540779E-2</v>
      </c>
      <c r="V5">
        <f>'Rescale to Fit GDP Proj'!AA63</f>
        <v>3.9180655093300057E-2</v>
      </c>
      <c r="W5">
        <f>'Rescale to Fit GDP Proj'!AB63</f>
        <v>4.7969366602097052E-2</v>
      </c>
      <c r="X5">
        <f>'Rescale to Fit GDP Proj'!AC63</f>
        <v>5.6846365851008079E-2</v>
      </c>
      <c r="Y5">
        <f>'Rescale to Fit GDP Proj'!AD63</f>
        <v>6.581253974194648E-2</v>
      </c>
      <c r="Z5">
        <f>'Rescale to Fit GDP Proj'!AE63</f>
        <v>7.4868784086273718E-2</v>
      </c>
      <c r="AA5">
        <f>'Rescale to Fit GDP Proj'!AF63</f>
        <v>8.4016003694299277E-2</v>
      </c>
      <c r="AB5">
        <f>'Rescale to Fit GDP Proj'!AG63</f>
        <v>9.3255112465680606E-2</v>
      </c>
      <c r="AC5">
        <f>'Rescale to Fit GDP Proj'!AH63</f>
        <v>0.10258703348073112</v>
      </c>
      <c r="AD5">
        <f>'Rescale to Fit GDP Proj'!AI63</f>
        <v>0.11201269909264515</v>
      </c>
      <c r="AE5">
        <f>'Rescale to Fit GDP Proj'!AJ63</f>
        <v>0.12153305102064918</v>
      </c>
      <c r="AF5">
        <f>'Rescale to Fit GDP Proj'!AK63</f>
        <v>0.13114904044408945</v>
      </c>
    </row>
    <row r="6" spans="1:32" x14ac:dyDescent="0.25">
      <c r="A6" s="2" t="s">
        <v>5</v>
      </c>
      <c r="B6">
        <f>'Rescale to Fit GDP Proj'!G64</f>
        <v>-4.1701634524343601E-3</v>
      </c>
      <c r="C6">
        <f>'Rescale to Fit GDP Proj'!H64</f>
        <v>-1.4379860224004253E-3</v>
      </c>
      <c r="D6">
        <f>'Rescale to Fit GDP Proj'!I64</f>
        <v>4.8785875852380232E-3</v>
      </c>
      <c r="E6">
        <f>'Rescale to Fit GDP Proj'!J64</f>
        <v>1.4845476731701385E-2</v>
      </c>
      <c r="F6">
        <f>'Rescale to Fit GDP Proj'!K64</f>
        <v>2.8575749998753459E-2</v>
      </c>
      <c r="G6">
        <f>'Rescale to Fit GDP Proj'!L64</f>
        <v>4.6231718426112969E-2</v>
      </c>
      <c r="H6">
        <f>'Rescale to Fit GDP Proj'!M64</f>
        <v>6.802809082217362E-2</v>
      </c>
      <c r="I6">
        <f>'Rescale to Fit GDP Proj'!N64</f>
        <v>9.4236275774262371E-2</v>
      </c>
      <c r="J6">
        <f>'Rescale to Fit GDP Proj'!O64</f>
        <v>0.12120449808996173</v>
      </c>
      <c r="K6">
        <f>'Rescale to Fit GDP Proj'!P64</f>
        <v>0.14895479885281632</v>
      </c>
      <c r="L6">
        <f>'Rescale to Fit GDP Proj'!Q64</f>
        <v>0.17750985833779362</v>
      </c>
      <c r="M6">
        <f>'Rescale to Fit GDP Proj'!R64</f>
        <v>0.20689301454783521</v>
      </c>
      <c r="N6">
        <f>'Rescale to Fit GDP Proj'!S64</f>
        <v>0.23712828228796801</v>
      </c>
      <c r="O6">
        <f>'Rescale to Fit GDP Proj'!T64</f>
        <v>0.26824037279256469</v>
      </c>
      <c r="P6">
        <f>'Rescale to Fit GDP Proj'!U64</f>
        <v>0.30025471392179465</v>
      </c>
      <c r="Q6">
        <f>'Rescale to Fit GDP Proj'!V64</f>
        <v>0.33319747094377222</v>
      </c>
      <c r="R6">
        <f>'Rescale to Fit GDP Proj'!W64</f>
        <v>0.36709556791938736</v>
      </c>
      <c r="S6">
        <f>'Rescale to Fit GDP Proj'!X64</f>
        <v>0.40197670970729515</v>
      </c>
      <c r="T6">
        <f>'Rescale to Fit GDP Proj'!Y64</f>
        <v>0.43786940460705226</v>
      </c>
      <c r="U6">
        <f>'Rescale to Fit GDP Proj'!Z64</f>
        <v>0.47480298765890233</v>
      </c>
      <c r="V6">
        <f>'Rescale to Fit GDP Proj'!AA64</f>
        <v>0.51280764461925599</v>
      </c>
      <c r="W6">
        <f>'Rescale to Fit GDP Proj'!AB64</f>
        <v>0.55191443663146</v>
      </c>
      <c r="X6">
        <f>'Rescale to Fit GDP Proj'!AC64</f>
        <v>0.59215532561201778</v>
      </c>
      <c r="Y6">
        <f>'Rescale to Fit GDP Proj'!AD64</f>
        <v>0.63356320037301195</v>
      </c>
      <c r="Z6">
        <f>'Rescale to Fit GDP Proj'!AE64</f>
        <v>0.67617190350207479</v>
      </c>
      <c r="AA6">
        <f>'Rescale to Fit GDP Proj'!AF64</f>
        <v>0.7200162590218806</v>
      </c>
      <c r="AB6">
        <f>'Rescale to Fit GDP Proj'!AG64</f>
        <v>0.76513210085176064</v>
      </c>
      <c r="AC6">
        <f>'Rescale to Fit GDP Proj'!AH64</f>
        <v>0.8115563020947073</v>
      </c>
      <c r="AD6">
        <f>'Rescale to Fit GDP Proj'!AI64</f>
        <v>0.85932680517369942</v>
      </c>
      <c r="AE6">
        <f>'Rescale to Fit GDP Proj'!AJ64</f>
        <v>0.90848265284198215</v>
      </c>
      <c r="AF6">
        <f>'Rescale to Fit GDP Proj'!AK64</f>
        <v>0.95906402009264524</v>
      </c>
    </row>
    <row r="7" spans="1:32" x14ac:dyDescent="0.25">
      <c r="A7" s="2" t="s">
        <v>6</v>
      </c>
      <c r="B7">
        <f>'Rescale to Fit GDP Proj'!G65</f>
        <v>3.9617831381857253E-2</v>
      </c>
      <c r="C7">
        <f>'Rescale to Fit GDP Proj'!H65</f>
        <v>4.7225477884051043E-2</v>
      </c>
      <c r="D7">
        <f>'Rescale to Fit GDP Proj'!I65</f>
        <v>5.4356056659446053E-2</v>
      </c>
      <c r="E7">
        <f>'Rescale to Fit GDP Proj'!J65</f>
        <v>6.0996647747182629E-2</v>
      </c>
      <c r="F7">
        <f>'Rescale to Fit GDP Proj'!K65</f>
        <v>6.7135123234441194E-2</v>
      </c>
      <c r="G7">
        <f>'Rescale to Fit GDP Proj'!L65</f>
        <v>7.27601839852976E-2</v>
      </c>
      <c r="H7">
        <f>'Rescale to Fit GDP Proj'!M65</f>
        <v>7.7861394139432522E-2</v>
      </c>
      <c r="I7">
        <f>'Rescale to Fit GDP Proj'!N65</f>
        <v>8.2429213233964974E-2</v>
      </c>
      <c r="J7">
        <f>'Rescale to Fit GDP Proj'!O65</f>
        <v>8.7019871423970122E-2</v>
      </c>
      <c r="K7">
        <f>'Rescale to Fit GDP Proj'!P65</f>
        <v>9.1633482904925276E-2</v>
      </c>
      <c r="L7">
        <f>'Rescale to Fit GDP Proj'!Q65</f>
        <v>9.6270162443285331E-2</v>
      </c>
      <c r="M7">
        <f>'Rescale to Fit GDP Proj'!R65</f>
        <v>0.10093002537933719</v>
      </c>
      <c r="N7">
        <f>'Rescale to Fit GDP Proj'!S65</f>
        <v>0.10561318763006929</v>
      </c>
      <c r="O7">
        <f>'Rescale to Fit GDP Proj'!T65</f>
        <v>0.11031976569205502</v>
      </c>
      <c r="P7">
        <f>'Rescale to Fit GDP Proj'!U65</f>
        <v>0.11504987664435075</v>
      </c>
      <c r="Q7">
        <f>'Rescale to Fit GDP Proj'!V65</f>
        <v>0.11980363815140796</v>
      </c>
      <c r="R7">
        <f>'Rescale to Fit GDP Proj'!W65</f>
        <v>0.12458116846600038</v>
      </c>
      <c r="S7">
        <f>'Rescale to Fit GDP Proj'!X65</f>
        <v>0.12938258643216574</v>
      </c>
      <c r="T7">
        <f>'Rescale to Fit GDP Proj'!Y65</f>
        <v>0.13420801148816192</v>
      </c>
      <c r="U7">
        <f>'Rescale to Fit GDP Proj'!Z65</f>
        <v>0.13905756366943817</v>
      </c>
      <c r="V7">
        <f>'Rescale to Fit GDP Proj'!AA65</f>
        <v>0.14393136361162079</v>
      </c>
      <c r="W7">
        <f>'Rescale to Fit GDP Proj'!AB65</f>
        <v>0.14882953255351419</v>
      </c>
      <c r="X7">
        <f>'Rescale to Fit GDP Proj'!AC65</f>
        <v>0.15375219234011708</v>
      </c>
      <c r="Y7">
        <f>'Rescale to Fit GDP Proj'!AD65</f>
        <v>0.15869946542565297</v>
      </c>
      <c r="Z7">
        <f>'Rescale to Fit GDP Proj'!AE65</f>
        <v>0.16367147487661651</v>
      </c>
      <c r="AA7">
        <f>'Rescale to Fit GDP Proj'!AF65</f>
        <v>0.16866834437483486</v>
      </c>
      <c r="AB7">
        <f>'Rescale to Fit GDP Proj'!AG65</f>
        <v>0.17369019822054446</v>
      </c>
      <c r="AC7">
        <f>'Rescale to Fit GDP Proj'!AH65</f>
        <v>0.17873716133548262</v>
      </c>
      <c r="AD7">
        <f>'Rescale to Fit GDP Proj'!AI65</f>
        <v>0.18380935926599545</v>
      </c>
      <c r="AE7">
        <f>'Rescale to Fit GDP Proj'!AJ65</f>
        <v>0.18890691818616084</v>
      </c>
      <c r="AF7">
        <f>'Rescale to Fit GDP Proj'!AK65</f>
        <v>0.19402996490092703</v>
      </c>
    </row>
    <row r="8" spans="1:32" x14ac:dyDescent="0.25">
      <c r="A8" s="2" t="s">
        <v>7</v>
      </c>
      <c r="B8">
        <f>'Rescale to Fit GDP Proj'!G66</f>
        <v>-2.1646879833900921E-2</v>
      </c>
      <c r="C8">
        <f>'Rescale to Fit GDP Proj'!H66</f>
        <v>-2.5648578271650138E-2</v>
      </c>
      <c r="D8">
        <f>'Rescale to Fit GDP Proj'!I66</f>
        <v>-2.9371961082066536E-2</v>
      </c>
      <c r="E8">
        <f>'Rescale to Fit GDP Proj'!J66</f>
        <v>-3.2820774094533683E-2</v>
      </c>
      <c r="F8">
        <f>'Rescale to Fit GDP Proj'!K66</f>
        <v>-3.5998481720481888E-2</v>
      </c>
      <c r="G8">
        <f>'Rescale to Fit GDP Proj'!L66</f>
        <v>-3.8908272761414293E-2</v>
      </c>
      <c r="H8">
        <f>'Rescale to Fit GDP Proj'!M66</f>
        <v>-4.1553065748381621E-2</v>
      </c>
      <c r="I8">
        <f>'Rescale to Fit GDP Proj'!N66</f>
        <v>-4.3935513825437734E-2</v>
      </c>
      <c r="J8">
        <f>'Rescale to Fit GDP Proj'!O66</f>
        <v>-4.6310814558262678E-2</v>
      </c>
      <c r="K8">
        <f>'Rescale to Fit GDP Proj'!P66</f>
        <v>-4.8678989388889204E-2</v>
      </c>
      <c r="L8">
        <f>'Rescale to Fit GDP Proj'!Q66</f>
        <v>-5.1040059695023822E-2</v>
      </c>
      <c r="M8">
        <f>'Rescale to Fit GDP Proj'!R66</f>
        <v>-5.3394046790239992E-2</v>
      </c>
      <c r="N8">
        <f>'Rescale to Fit GDP Proj'!S66</f>
        <v>-5.5740971924170539E-2</v>
      </c>
      <c r="O8">
        <f>'Rescale to Fit GDP Proj'!T66</f>
        <v>-5.8080856282699357E-2</v>
      </c>
      <c r="P8">
        <f>'Rescale to Fit GDP Proj'!U66</f>
        <v>-6.0413720988152508E-2</v>
      </c>
      <c r="Q8">
        <f>'Rescale to Fit GDP Proj'!V66</f>
        <v>-6.2739587099489291E-2</v>
      </c>
      <c r="R8">
        <f>'Rescale to Fit GDP Proj'!W66</f>
        <v>-6.5058475612492145E-2</v>
      </c>
      <c r="S8">
        <f>'Rescale to Fit GDP Proj'!X66</f>
        <v>-6.7370407459955928E-2</v>
      </c>
      <c r="T8">
        <f>'Rescale to Fit GDP Proj'!Y66</f>
        <v>-6.9675403511877315E-2</v>
      </c>
      <c r="U8">
        <f>'Rescale to Fit GDP Proj'!Z66</f>
        <v>-7.1973484575642996E-2</v>
      </c>
      <c r="V8">
        <f>'Rescale to Fit GDP Proj'!AA66</f>
        <v>-7.4264671396217313E-2</v>
      </c>
      <c r="W8">
        <f>'Rescale to Fit GDP Proj'!AB66</f>
        <v>-7.6548984656329949E-2</v>
      </c>
      <c r="X8">
        <f>'Rescale to Fit GDP Proj'!AC66</f>
        <v>-7.882644497666226E-2</v>
      </c>
      <c r="Y8">
        <f>'Rescale to Fit GDP Proj'!AD66</f>
        <v>-8.1097072916033547E-2</v>
      </c>
      <c r="Z8">
        <f>'Rescale to Fit GDP Proj'!AE66</f>
        <v>-8.3360888971586708E-2</v>
      </c>
      <c r="AA8">
        <f>'Rescale to Fit GDP Proj'!AF66</f>
        <v>-8.5617913578973276E-2</v>
      </c>
      <c r="AB8">
        <f>'Rescale to Fit GDP Proj'!AG66</f>
        <v>-8.7868167112537671E-2</v>
      </c>
      <c r="AC8">
        <f>'Rescale to Fit GDP Proj'!AH66</f>
        <v>-9.0111669885501344E-2</v>
      </c>
      <c r="AD8">
        <f>'Rescale to Fit GDP Proj'!AI66</f>
        <v>-9.2348442150146148E-2</v>
      </c>
      <c r="AE8">
        <f>'Rescale to Fit GDP Proj'!AJ66</f>
        <v>-9.4578504097997049E-2</v>
      </c>
      <c r="AF8">
        <f>'Rescale to Fit GDP Proj'!AK66</f>
        <v>-9.6801875860004341E-2</v>
      </c>
    </row>
    <row r="9" spans="1:32" x14ac:dyDescent="0.25">
      <c r="A9" s="2" t="s">
        <v>8</v>
      </c>
      <c r="B9">
        <f>'Rescale to Fit GDP Proj'!G67</f>
        <v>0.10521485742633238</v>
      </c>
      <c r="C9">
        <f>'Rescale to Fit GDP Proj'!H67</f>
        <v>0.12362995280640365</v>
      </c>
      <c r="D9">
        <f>'Rescale to Fit GDP Proj'!I67</f>
        <v>0.13815698595251666</v>
      </c>
      <c r="E9">
        <f>'Rescale to Fit GDP Proj'!J67</f>
        <v>0.14859119392451253</v>
      </c>
      <c r="F9">
        <f>'Rescale to Fit GDP Proj'!K67</f>
        <v>0.15477818238485977</v>
      </c>
      <c r="G9">
        <f>'Rescale to Fit GDP Proj'!L67</f>
        <v>0.15661764636957043</v>
      </c>
      <c r="H9">
        <f>'Rescale to Fit GDP Proj'!M67</f>
        <v>0.1540659661866475</v>
      </c>
      <c r="I9">
        <f>'Rescale to Fit GDP Proj'!N67</f>
        <v>0.14713758744997135</v>
      </c>
      <c r="J9">
        <f>'Rescale to Fit GDP Proj'!O67</f>
        <v>0.14025770736445184</v>
      </c>
      <c r="K9">
        <f>'Rescale to Fit GDP Proj'!P67</f>
        <v>0.13342598643953094</v>
      </c>
      <c r="L9">
        <f>'Rescale to Fit GDP Proj'!Q67</f>
        <v>0.12664208756108458</v>
      </c>
      <c r="M9">
        <f>'Rescale to Fit GDP Proj'!R67</f>
        <v>0.11990567597478725</v>
      </c>
      <c r="N9">
        <f>'Rescale to Fit GDP Proj'!S67</f>
        <v>0.113216419269594</v>
      </c>
      <c r="O9">
        <f>'Rescale to Fit GDP Proj'!T67</f>
        <v>0.10657398736133722</v>
      </c>
      <c r="P9">
        <f>'Rescale to Fit GDP Proj'!U67</f>
        <v>9.9978052476438137E-2</v>
      </c>
      <c r="Q9">
        <f>'Rescale to Fit GDP Proj'!V67</f>
        <v>9.3428289135733422E-2</v>
      </c>
      <c r="R9">
        <f>'Rescale to Fit GDP Proj'!W67</f>
        <v>8.6924374138413654E-2</v>
      </c>
      <c r="S9">
        <f>'Rescale to Fit GDP Proj'!X67</f>
        <v>8.0465986546075022E-2</v>
      </c>
      <c r="T9">
        <f>'Rescale to Fit GDP Proj'!Y67</f>
        <v>7.4052807666882839E-2</v>
      </c>
      <c r="U9">
        <f>'Rescale to Fit GDP Proj'!Z67</f>
        <v>6.7684521039845083E-2</v>
      </c>
      <c r="V9">
        <f>'Rescale to Fit GDP Proj'!AA67</f>
        <v>6.1360812419196456E-2</v>
      </c>
      <c r="W9">
        <f>'Rescale to Fit GDP Proj'!AB67</f>
        <v>5.5081369758892385E-2</v>
      </c>
      <c r="X9">
        <f>'Rescale to Fit GDP Proj'!AC67</f>
        <v>4.8845883197210421E-2</v>
      </c>
      <c r="Y9">
        <f>'Rescale to Fit GDP Proj'!AD67</f>
        <v>4.2654045041460205E-2</v>
      </c>
      <c r="Z9">
        <f>'Rescale to Fit GDP Proj'!AE67</f>
        <v>3.650554975280032E-2</v>
      </c>
      <c r="AA9">
        <f>'Rescale to Fit GDP Proj'!AF67</f>
        <v>3.0400093931161071E-2</v>
      </c>
      <c r="AB9">
        <f>'Rescale to Fit GDP Proj'!AG67</f>
        <v>2.4337376300273272E-2</v>
      </c>
      <c r="AC9">
        <f>'Rescale to Fit GDP Proj'!AH67</f>
        <v>1.8317097692801643E-2</v>
      </c>
      <c r="AD9">
        <f>'Rescale to Fit GDP Proj'!AI67</f>
        <v>1.2338961035582347E-2</v>
      </c>
      <c r="AE9">
        <f>'Rescale to Fit GDP Proj'!AJ67</f>
        <v>6.4026713349636614E-3</v>
      </c>
      <c r="AF9">
        <f>'Rescale to Fit GDP Proj'!AK67</f>
        <v>5.0793566224930384E-4</v>
      </c>
    </row>
    <row r="10" spans="1:32" x14ac:dyDescent="0.25">
      <c r="A10" s="2" t="s">
        <v>9</v>
      </c>
      <c r="B10">
        <f>'Rescale to Fit GDP Proj'!G68</f>
        <v>1.640264688978823E-3</v>
      </c>
      <c r="C10">
        <f>'Rescale to Fit GDP Proj'!H68</f>
        <v>9.6482081380033769E-4</v>
      </c>
      <c r="D10">
        <f>'Rescale to Fit GDP Proj'!I68</f>
        <v>-7.1315136968373087E-4</v>
      </c>
      <c r="E10">
        <f>'Rescale to Fit GDP Proj'!J68</f>
        <v>-3.3888197575399986E-3</v>
      </c>
      <c r="F10">
        <f>'Rescale to Fit GDP Proj'!K68</f>
        <v>-7.0537677554946259E-3</v>
      </c>
      <c r="G10">
        <f>'Rescale to Fit GDP Proj'!L68</f>
        <v>-1.1696037532698355E-2</v>
      </c>
      <c r="H10">
        <f>'Rescale to Fit GDP Proj'!M68</f>
        <v>-1.7300194468390557E-2</v>
      </c>
      <c r="I10">
        <f>'Rescale to Fit GDP Proj'!N68</f>
        <v>-2.3847412310780164E-2</v>
      </c>
      <c r="J10">
        <f>'Rescale to Fit GDP Proj'!O68</f>
        <v>-3.0342252410430724E-2</v>
      </c>
      <c r="K10">
        <f>'Rescale to Fit GDP Proj'!P68</f>
        <v>-3.6785133789284039E-2</v>
      </c>
      <c r="L10">
        <f>'Rescale to Fit GDP Proj'!Q68</f>
        <v>-4.3176472117106554E-2</v>
      </c>
      <c r="M10">
        <f>'Rescale to Fit GDP Proj'!R68</f>
        <v>-4.9516679738306431E-2</v>
      </c>
      <c r="N10">
        <f>'Rescale to Fit GDP Proj'!S68</f>
        <v>-5.5806165698536747E-2</v>
      </c>
      <c r="O10">
        <f>'Rescale to Fit GDP Proj'!T68</f>
        <v>-6.2045335771085175E-2</v>
      </c>
      <c r="P10">
        <f>'Rescale to Fit GDP Proj'!U68</f>
        <v>-6.8234592483053261E-2</v>
      </c>
      <c r="Q10">
        <f>'Rescale to Fit GDP Proj'!V68</f>
        <v>-7.4374335141325562E-2</v>
      </c>
      <c r="R10">
        <f>'Rescale to Fit GDP Proj'!W68</f>
        <v>-8.04649598583317E-2</v>
      </c>
      <c r="S10">
        <f>'Rescale to Fit GDP Proj'!X68</f>
        <v>-8.6506859577601777E-2</v>
      </c>
      <c r="T10">
        <f>'Rescale to Fit GDP Proj'!Y68</f>
        <v>-9.2500424099117712E-2</v>
      </c>
      <c r="U10">
        <f>'Rescale to Fit GDP Proj'!Z68</f>
        <v>-9.8446040104461563E-2</v>
      </c>
      <c r="V10">
        <f>'Rescale to Fit GDP Proj'!AA68</f>
        <v>-0.10434409118176258</v>
      </c>
      <c r="W10">
        <f>'Rescale to Fit GDP Proj'!AB68</f>
        <v>-0.11019495785044521</v>
      </c>
      <c r="X10">
        <f>'Rescale to Fit GDP Proj'!AC68</f>
        <v>-0.11599901758577845</v>
      </c>
      <c r="Y10">
        <f>'Rescale to Fit GDP Proj'!AD68</f>
        <v>-0.12175664484322898</v>
      </c>
      <c r="Z10">
        <f>'Rescale to Fit GDP Proj'!AE68</f>
        <v>-0.12746821108261991</v>
      </c>
      <c r="AA10">
        <f>'Rescale to Fit GDP Proj'!AF68</f>
        <v>-0.13313408479209574</v>
      </c>
      <c r="AB10">
        <f>'Rescale to Fit GDP Proj'!AG68</f>
        <v>-0.13875463151189574</v>
      </c>
      <c r="AC10">
        <f>'Rescale to Fit GDP Proj'!AH68</f>
        <v>-0.14433021385793735</v>
      </c>
      <c r="AD10">
        <f>'Rescale to Fit GDP Proj'!AI68</f>
        <v>-0.1498611915452106</v>
      </c>
      <c r="AE10">
        <f>'Rescale to Fit GDP Proj'!AJ68</f>
        <v>-0.15534792141098569</v>
      </c>
      <c r="AF10">
        <f>'Rescale to Fit GDP Proj'!AK68</f>
        <v>-0.16079075743783453</v>
      </c>
    </row>
    <row r="11" spans="1:32" x14ac:dyDescent="0.25">
      <c r="A11" s="2" t="s">
        <v>10</v>
      </c>
      <c r="B11">
        <f>'Rescale to Fit GDP Proj'!G69</f>
        <v>2.966195556095395E-2</v>
      </c>
      <c r="C11">
        <f>'Rescale to Fit GDP Proj'!H69</f>
        <v>3.5472259257442164E-2</v>
      </c>
      <c r="D11">
        <f>'Rescale to Fit GDP Proj'!I69</f>
        <v>4.1072667940457032E-2</v>
      </c>
      <c r="E11">
        <f>'Rescale to Fit GDP Proj'!J69</f>
        <v>4.6458572081374869E-2</v>
      </c>
      <c r="F11">
        <f>'Rescale to Fit GDP Proj'!K69</f>
        <v>5.1625515062915905E-2</v>
      </c>
      <c r="G11">
        <f>'Rescale to Fit GDP Proj'!L69</f>
        <v>5.6569199299111722E-2</v>
      </c>
      <c r="H11">
        <f>'Rescale to Fit GDP Proj'!M69</f>
        <v>6.1285492169175913E-2</v>
      </c>
      <c r="I11">
        <f>'Rescale to Fit GDP Proj'!N69</f>
        <v>6.5770431753857092E-2</v>
      </c>
      <c r="J11">
        <f>'Rescale to Fit GDP Proj'!O69</f>
        <v>7.027779603646174E-2</v>
      </c>
      <c r="K11">
        <f>'Rescale to Fit GDP Proj'!P69</f>
        <v>7.4807697140479426E-2</v>
      </c>
      <c r="L11">
        <f>'Rescale to Fit GDP Proj'!Q69</f>
        <v>7.9360247750017168E-2</v>
      </c>
      <c r="M11">
        <f>'Rescale to Fit GDP Proj'!R69</f>
        <v>8.3935561112602572E-2</v>
      </c>
      <c r="N11">
        <f>'Rescale to Fit GDP Proj'!S69</f>
        <v>8.8533751042001035E-2</v>
      </c>
      <c r="O11">
        <f>'Rescale to Fit GDP Proj'!T69</f>
        <v>9.3154931921046333E-2</v>
      </c>
      <c r="P11">
        <f>'Rescale to Fit GDP Proj'!U69</f>
        <v>9.779921870448699E-2</v>
      </c>
      <c r="Q11">
        <f>'Rescale to Fit GDP Proj'!V69</f>
        <v>0.10246672692184486</v>
      </c>
      <c r="R11">
        <f>'Rescale to Fit GDP Proj'!W69</f>
        <v>0.10715757268028948</v>
      </c>
      <c r="S11">
        <f>'Rescale to Fit GDP Proj'!X69</f>
        <v>0.11187187266752625</v>
      </c>
      <c r="T11">
        <f>'Rescale to Fit GDP Proj'!Y69</f>
        <v>0.11660974415469932</v>
      </c>
      <c r="U11">
        <f>'Rescale to Fit GDP Proj'!Z69</f>
        <v>0.12137130499930829</v>
      </c>
      <c r="V11">
        <f>'Rescale to Fit GDP Proj'!AA69</f>
        <v>0.12615667364814026</v>
      </c>
      <c r="W11">
        <f>'Rescale to Fit GDP Proj'!AB69</f>
        <v>0.13096596914021627</v>
      </c>
      <c r="X11">
        <f>'Rescale to Fit GDP Proj'!AC69</f>
        <v>0.13579931110975269</v>
      </c>
      <c r="Y11">
        <f>'Rescale to Fit GDP Proj'!AD69</f>
        <v>0.14065681978913686</v>
      </c>
      <c r="Z11">
        <f>'Rescale to Fit GDP Proj'!AE69</f>
        <v>0.14553861601191787</v>
      </c>
      <c r="AA11">
        <f>'Rescale to Fit GDP Proj'!AF69</f>
        <v>0.15044482121581276</v>
      </c>
      <c r="AB11">
        <f>'Rescale to Fit GDP Proj'!AG69</f>
        <v>0.15537555744572717</v>
      </c>
      <c r="AC11">
        <f>'Rescale to Fit GDP Proj'!AH69</f>
        <v>0.16033094735679121</v>
      </c>
      <c r="AD11">
        <f>'Rescale to Fit GDP Proj'!AI69</f>
        <v>0.1653111142174106</v>
      </c>
      <c r="AE11">
        <f>'Rescale to Fit GDP Proj'!AJ69</f>
        <v>0.17031618191233305</v>
      </c>
      <c r="AF11">
        <f>'Rescale to Fit GDP Proj'!AK69</f>
        <v>0.1753462749457301</v>
      </c>
    </row>
    <row r="12" spans="1:32" x14ac:dyDescent="0.25">
      <c r="A12" s="2" t="s">
        <v>36</v>
      </c>
      <c r="B12">
        <f>'Rescale to Fit GDP Proj'!G70</f>
        <v>9.7248709302761902E-2</v>
      </c>
      <c r="C12">
        <f>'Rescale to Fit GDP Proj'!H70</f>
        <v>0.11624907483606087</v>
      </c>
      <c r="D12">
        <f>'Rescale to Fit GDP Proj'!I70</f>
        <v>0.13383310591011821</v>
      </c>
      <c r="E12">
        <f>'Rescale to Fit GDP Proj'!J70</f>
        <v>0.14990533833967681</v>
      </c>
      <c r="F12">
        <f>'Rescale to Fit GDP Proj'!K70</f>
        <v>0.1643769551845686</v>
      </c>
      <c r="G12">
        <f>'Rescale to Fit GDP Proj'!L70</f>
        <v>0.17716659511479191</v>
      </c>
      <c r="H12">
        <f>'Rescale to Fit GDP Proj'!M70</f>
        <v>0.18820110662237646</v>
      </c>
      <c r="I12">
        <f>'Rescale to Fit GDP Proj'!N70</f>
        <v>0.19741623840488162</v>
      </c>
      <c r="J12">
        <f>'Rescale to Fit GDP Proj'!O70</f>
        <v>0.20671430637342925</v>
      </c>
      <c r="K12">
        <f>'Rescale to Fit GDP Proj'!P70</f>
        <v>0.21609605695369377</v>
      </c>
      <c r="L12">
        <f>'Rescale to Fit GDP Proj'!Q70</f>
        <v>0.22556224328918079</v>
      </c>
      <c r="M12">
        <f>'Rescale to Fit GDP Proj'!R70</f>
        <v>0.23511362530168722</v>
      </c>
      <c r="N12">
        <f>'Rescale to Fit GDP Proj'!S70</f>
        <v>0.24475096975230617</v>
      </c>
      <c r="O12">
        <f>'Rescale to Fit GDP Proj'!T70</f>
        <v>0.25447505030298062</v>
      </c>
      <c r="P12">
        <f>'Rescale to Fit GDP Proj'!U70</f>
        <v>0.26428664757861109</v>
      </c>
      <c r="Q12">
        <f>'Rescale to Fit GDP Proj'!V70</f>
        <v>0.27418654922972241</v>
      </c>
      <c r="R12">
        <f>'Rescale to Fit GDP Proj'!W70</f>
        <v>0.28417554999569355</v>
      </c>
      <c r="S12">
        <f>'Rescale to Fit GDP Proj'!X70</f>
        <v>0.29425445176855847</v>
      </c>
      <c r="T12">
        <f>'Rescale to Fit GDP Proj'!Y70</f>
        <v>0.30442406365737917</v>
      </c>
      <c r="U12">
        <f>'Rescale to Fit GDP Proj'!Z70</f>
        <v>0.31468520205319933</v>
      </c>
      <c r="V12">
        <f>'Rescale to Fit GDP Proj'!AA70</f>
        <v>0.3250386906945818</v>
      </c>
      <c r="W12">
        <f>'Rescale to Fit GDP Proj'!AB70</f>
        <v>0.33548536073373675</v>
      </c>
      <c r="X12">
        <f>'Rescale to Fit GDP Proj'!AC70</f>
        <v>0.34602605080324417</v>
      </c>
      <c r="Y12">
        <f>'Rescale to Fit GDP Proj'!AD70</f>
        <v>0.35666160708337713</v>
      </c>
      <c r="Z12">
        <f>'Rescale to Fit GDP Proj'!AE70</f>
        <v>0.36739288337003118</v>
      </c>
      <c r="AA12">
        <f>'Rescale to Fit GDP Proj'!AF70</f>
        <v>0.3782207411432652</v>
      </c>
      <c r="AB12">
        <f>'Rescale to Fit GDP Proj'!AG70</f>
        <v>0.38914604963645838</v>
      </c>
      <c r="AC12">
        <f>'Rescale to Fit GDP Proj'!AH70</f>
        <v>0.40016968590609026</v>
      </c>
      <c r="AD12">
        <f>'Rescale to Fit GDP Proj'!AI70</f>
        <v>0.41129253490214884</v>
      </c>
      <c r="AE12">
        <f>'Rescale to Fit GDP Proj'!AJ70</f>
        <v>0.4225154895391719</v>
      </c>
      <c r="AF12">
        <f>'Rescale to Fit GDP Proj'!AK70</f>
        <v>0.43383945076792818</v>
      </c>
    </row>
    <row r="13" spans="1:32" x14ac:dyDescent="0.25">
      <c r="A13" s="2" t="s">
        <v>37</v>
      </c>
      <c r="B13">
        <f>'Rescale to Fit GDP Proj'!G71</f>
        <v>-1.6580869888087685E-2</v>
      </c>
      <c r="C13">
        <f>'Rescale to Fit GDP Proj'!H71</f>
        <v>-1.7282974077983956E-2</v>
      </c>
      <c r="D13">
        <f>'Rescale to Fit GDP Proj'!I71</f>
        <v>-1.541230104783744E-2</v>
      </c>
      <c r="E13">
        <f>'Rescale to Fit GDP Proj'!J71</f>
        <v>-1.0959297519075796E-2</v>
      </c>
      <c r="F13">
        <f>'Rescale to Fit GDP Proj'!K71</f>
        <v>-3.8900707140927379E-3</v>
      </c>
      <c r="G13">
        <f>'Rescale to Fit GDP Proj'!L71</f>
        <v>5.8540168619566745E-3</v>
      </c>
      <c r="H13">
        <f>'Rescale to Fit GDP Proj'!M71</f>
        <v>1.8357141137588316E-2</v>
      </c>
      <c r="I13">
        <f>'Rescale to Fit GDP Proj'!N71</f>
        <v>3.3730213323872521E-2</v>
      </c>
      <c r="J13">
        <f>'Rescale to Fit GDP Proj'!O71</f>
        <v>4.9380000809509869E-2</v>
      </c>
      <c r="K13">
        <f>'Rescale to Fit GDP Proj'!P71</f>
        <v>6.5311484469888673E-2</v>
      </c>
      <c r="L13">
        <f>'Rescale to Fit GDP Proj'!Q71</f>
        <v>8.1529734836154444E-2</v>
      </c>
      <c r="M13">
        <f>'Rescale to Fit GDP Proj'!R71</f>
        <v>9.8039913709013007E-2</v>
      </c>
      <c r="N13">
        <f>'Rescale to Fit GDP Proj'!S71</f>
        <v>0.11484727580158295</v>
      </c>
      <c r="O13">
        <f>'Rescale to Fit GDP Proj'!T71</f>
        <v>0.13195717041181917</v>
      </c>
      <c r="P13">
        <f>'Rescale to Fit GDP Proj'!U71</f>
        <v>0.14937504312503969</v>
      </c>
      <c r="Q13">
        <f>'Rescale to Fit GDP Proj'!V71</f>
        <v>0.16710643754709809</v>
      </c>
      <c r="R13">
        <f>'Rescale to Fit GDP Proj'!W71</f>
        <v>0.18515699706875349</v>
      </c>
      <c r="S13">
        <f>'Rescale to Fit GDP Proj'!X71</f>
        <v>0.20353246666179883</v>
      </c>
      <c r="T13">
        <f>'Rescale to Fit GDP Proj'!Y71</f>
        <v>0.22223869470751886</v>
      </c>
      <c r="U13">
        <f>'Rescale to Fit GDP Proj'!Z71</f>
        <v>0.24128163485806201</v>
      </c>
      <c r="V13">
        <f>'Rescale to Fit GDP Proj'!AA71</f>
        <v>0.26066734793131474</v>
      </c>
      <c r="W13">
        <f>'Rescale to Fit GDP Proj'!AB71</f>
        <v>0.28040200383988617</v>
      </c>
      <c r="X13">
        <f>'Rescale to Fit GDP Proj'!AC71</f>
        <v>0.30049188355481177</v>
      </c>
      <c r="Y13">
        <f>'Rescale to Fit GDP Proj'!AD71</f>
        <v>0.32094338110460602</v>
      </c>
      <c r="Z13">
        <f>'Rescale to Fit GDP Proj'!AE71</f>
        <v>0.34176300561029666</v>
      </c>
      <c r="AA13">
        <f>'Rescale to Fit GDP Proj'!AF71</f>
        <v>0.36295738335708971</v>
      </c>
      <c r="AB13">
        <f>'Rescale to Fit GDP Proj'!AG71</f>
        <v>0.38453325990332499</v>
      </c>
      <c r="AC13">
        <f>'Rescale to Fit GDP Proj'!AH71</f>
        <v>0.40649750222739256</v>
      </c>
      <c r="AD13">
        <f>'Rescale to Fit GDP Proj'!AI71</f>
        <v>0.42885710091329338</v>
      </c>
      <c r="AE13">
        <f>'Rescale to Fit GDP Proj'!AJ71</f>
        <v>0.45161917237554039</v>
      </c>
      <c r="AF13">
        <f>'Rescale to Fit GDP Proj'!AK71</f>
        <v>0.47479096112410796</v>
      </c>
    </row>
    <row r="14" spans="1:32" x14ac:dyDescent="0.25">
      <c r="A14" s="2" t="s">
        <v>11</v>
      </c>
      <c r="B14">
        <f>'Rescale to Fit GDP Proj'!G72</f>
        <v>7.7970072473301635E-2</v>
      </c>
      <c r="C14">
        <f>'Rescale to Fit GDP Proj'!H72</f>
        <v>9.3763554211314201E-2</v>
      </c>
      <c r="D14">
        <f>'Rescale to Fit GDP Proj'!I72</f>
        <v>0.10916613329152794</v>
      </c>
      <c r="E14">
        <f>'Rescale to Fit GDP Proj'!J72</f>
        <v>0.12414904899788611</v>
      </c>
      <c r="F14">
        <f>'Rescale to Fit GDP Proj'!K72</f>
        <v>0.13868394274347001</v>
      </c>
      <c r="G14">
        <f>'Rescale to Fit GDP Proj'!L72</f>
        <v>0.15274294604612246</v>
      </c>
      <c r="H14">
        <f>'Rescale to Fit GDP Proj'!M72</f>
        <v>0.16629876827441806</v>
      </c>
      <c r="I14">
        <f>'Rescale to Fit GDP Proj'!N72</f>
        <v>0.17932478378395766</v>
      </c>
      <c r="J14">
        <f>'Rescale to Fit GDP Proj'!O72</f>
        <v>0.19252013749512117</v>
      </c>
      <c r="K14">
        <f>'Rescale to Fit GDP Proj'!P72</f>
        <v>0.20588703080452991</v>
      </c>
      <c r="L14">
        <f>'Rescale to Fit GDP Proj'!Q72</f>
        <v>0.219427693726961</v>
      </c>
      <c r="M14">
        <f>'Rescale to Fit GDP Proj'!R72</f>
        <v>0.23314438526738354</v>
      </c>
      <c r="N14">
        <f>'Rescale to Fit GDP Proj'!S72</f>
        <v>0.2470393937978316</v>
      </c>
      <c r="O14">
        <f>'Rescale to Fit GDP Proj'!T72</f>
        <v>0.26111503743917563</v>
      </c>
      <c r="P14">
        <f>'Rescale to Fit GDP Proj'!U72</f>
        <v>0.27537366444785694</v>
      </c>
      <c r="Q14">
        <f>'Rescale to Fit GDP Proj'!V72</f>
        <v>0.2898176536076511</v>
      </c>
      <c r="R14">
        <f>'Rescale to Fit GDP Proj'!W72</f>
        <v>0.30444941462652275</v>
      </c>
      <c r="S14">
        <f>'Rescale to Fit GDP Proj'!X72</f>
        <v>0.31927138853863962</v>
      </c>
      <c r="T14">
        <f>'Rescale to Fit GDP Proj'!Y72</f>
        <v>0.33428604811161405</v>
      </c>
      <c r="U14">
        <f>'Rescale to Fit GDP Proj'!Z72</f>
        <v>0.34949589825903715</v>
      </c>
      <c r="V14">
        <f>'Rescale to Fit GDP Proj'!AA72</f>
        <v>0.36490347645837667</v>
      </c>
      <c r="W14">
        <f>'Rescale to Fit GDP Proj'!AB72</f>
        <v>0.38051135317430773</v>
      </c>
      <c r="X14">
        <f>'Rescale to Fit GDP Proj'!AC72</f>
        <v>0.39632213228754581</v>
      </c>
      <c r="Y14">
        <f>'Rescale to Fit GDP Proj'!AD72</f>
        <v>0.41233845152925602</v>
      </c>
      <c r="Z14">
        <f>'Rescale to Fit GDP Proj'!AE72</f>
        <v>0.42856298292110845</v>
      </c>
      <c r="AA14">
        <f>'Rescale to Fit GDP Proj'!AF72</f>
        <v>0.44499843322105498</v>
      </c>
      <c r="AB14">
        <f>'Rescale to Fit GDP Proj'!AG72</f>
        <v>0.46164754437490074</v>
      </c>
      <c r="AC14">
        <f>'Rescale to Fit GDP Proj'!AH72</f>
        <v>0.47851309397374647</v>
      </c>
      <c r="AD14">
        <f>'Rescale to Fit GDP Proj'!AI72</f>
        <v>0.49559789571737733</v>
      </c>
      <c r="AE14">
        <f>'Rescale to Fit GDP Proj'!AJ72</f>
        <v>0.51290479988367532</v>
      </c>
      <c r="AF14">
        <f>'Rescale to Fit GDP Proj'!AK72</f>
        <v>0.53043669380413516</v>
      </c>
    </row>
    <row r="15" spans="1:32" x14ac:dyDescent="0.25">
      <c r="A15" s="2" t="s">
        <v>42</v>
      </c>
      <c r="B15">
        <f>'Rescale to Fit GDP Proj'!G73</f>
        <v>0.19580700944246773</v>
      </c>
      <c r="C15">
        <f>'Rescale to Fit GDP Proj'!H73</f>
        <v>0.23249927360220779</v>
      </c>
      <c r="D15">
        <f>'Rescale to Fit GDP Proj'!I73</f>
        <v>0.26256152139917249</v>
      </c>
      <c r="E15">
        <f>'Rescale to Fit GDP Proj'!J73</f>
        <v>0.28531127456975941</v>
      </c>
      <c r="F15">
        <f>'Rescale to Fit GDP Proj'!K73</f>
        <v>0.30020474228952054</v>
      </c>
      <c r="G15">
        <f>'Rescale to Fit GDP Proj'!L73</f>
        <v>0.30685791283942343</v>
      </c>
      <c r="H15">
        <f>'Rescale to Fit GDP Proj'!M73</f>
        <v>0.30506246088032757</v>
      </c>
      <c r="I15">
        <f>'Rescale to Fit GDP Proj'!N73</f>
        <v>0.29479557690950081</v>
      </c>
      <c r="J15">
        <f>'Rescale to Fit GDP Proj'!O73</f>
        <v>0.28462109489441151</v>
      </c>
      <c r="K15">
        <f>'Rescale to Fit GDP Proj'!P73</f>
        <v>0.27453818321745804</v>
      </c>
      <c r="L15">
        <f>'Rescale to Fit GDP Proj'!Q73</f>
        <v>0.26454601774559711</v>
      </c>
      <c r="M15">
        <f>'Rescale to Fit GDP Proj'!R73</f>
        <v>0.25464378176298286</v>
      </c>
      <c r="N15">
        <f>'Rescale to Fit GDP Proj'!S73</f>
        <v>0.24483066590421207</v>
      </c>
      <c r="O15">
        <f>'Rescale to Fit GDP Proj'!T73</f>
        <v>0.23510586808817022</v>
      </c>
      <c r="P15">
        <f>'Rescale to Fit GDP Proj'!U73</f>
        <v>0.22546859345247275</v>
      </c>
      <c r="Q15">
        <f>'Rescale to Fit GDP Proj'!V73</f>
        <v>0.21591805428849667</v>
      </c>
      <c r="R15">
        <f>'Rescale to Fit GDP Proj'!W73</f>
        <v>0.20645346997699629</v>
      </c>
      <c r="S15">
        <f>'Rescale to Fit GDP Proj'!X73</f>
        <v>0.19707406692429938</v>
      </c>
      <c r="T15">
        <f>'Rescale to Fit GDP Proj'!Y73</f>
        <v>0.18777907849907682</v>
      </c>
      <c r="U15">
        <f>'Rescale to Fit GDP Proj'!Z73</f>
        <v>0.17856774496968131</v>
      </c>
      <c r="V15">
        <f>'Rescale to Fit GDP Proj'!AA73</f>
        <v>0.16943931344205038</v>
      </c>
      <c r="W15">
        <f>'Rescale to Fit GDP Proj'!AB73</f>
        <v>0.16039303779816805</v>
      </c>
      <c r="X15">
        <f>'Rescale to Fit GDP Proj'!AC73</f>
        <v>0.15142817863508076</v>
      </c>
      <c r="Y15">
        <f>'Rescale to Fit GDP Proj'!AD73</f>
        <v>0.14254400320446109</v>
      </c>
      <c r="Z15">
        <f>'Rescale to Fit GDP Proj'!AE73</f>
        <v>0.13373978535271716</v>
      </c>
      <c r="AA15">
        <f>'Rescale to Fit GDP Proj'!AF73</f>
        <v>0.12501480546163893</v>
      </c>
      <c r="AB15">
        <f>'Rescale to Fit GDP Proj'!AG73</f>
        <v>0.11636835038958035</v>
      </c>
      <c r="AC15">
        <f>'Rescale to Fit GDP Proj'!AH73</f>
        <v>0.10779971341317025</v>
      </c>
      <c r="AD15">
        <f>'Rescale to Fit GDP Proj'!AI73</f>
        <v>9.9308194169547809E-2</v>
      </c>
      <c r="AE15">
        <f>'Rescale to Fit GDP Proj'!AJ73</f>
        <v>9.0893098599118052E-2</v>
      </c>
      <c r="AF15">
        <f>'Rescale to Fit GDP Proj'!AK73</f>
        <v>8.2553738888822184E-2</v>
      </c>
    </row>
    <row r="16" spans="1:32" x14ac:dyDescent="0.25">
      <c r="A16" s="2" t="s">
        <v>43</v>
      </c>
      <c r="B16">
        <f>'Rescale to Fit GDP Proj'!G74</f>
        <v>9.2043267679015994E-2</v>
      </c>
      <c r="C16">
        <f>'Rescale to Fit GDP Proj'!H74</f>
        <v>0.11016098782500439</v>
      </c>
      <c r="D16">
        <f>'Rescale to Fit GDP Proj'!I74</f>
        <v>0.12713037409544153</v>
      </c>
      <c r="E16">
        <f>'Rescale to Fit GDP Proj'!J74</f>
        <v>0.14287510190467043</v>
      </c>
      <c r="F16">
        <f>'Rescale to Fit GDP Proj'!K74</f>
        <v>0.15732319087916749</v>
      </c>
      <c r="G16">
        <f>'Rescale to Fit GDP Proj'!L74</f>
        <v>0.17040754695026167</v>
      </c>
      <c r="H16">
        <f>'Rescale to Fit GDP Proj'!M74</f>
        <v>0.18206647623290848</v>
      </c>
      <c r="I16">
        <f>'Rescale to Fit GDP Proj'!N74</f>
        <v>0.19224416524290844</v>
      </c>
      <c r="J16">
        <f>'Rescale to Fit GDP Proj'!O74</f>
        <v>0.20252363114300845</v>
      </c>
      <c r="K16">
        <f>'Rescale to Fit GDP Proj'!P74</f>
        <v>0.21290589170210955</v>
      </c>
      <c r="L16">
        <f>'Rescale to Fit GDP Proj'!Q74</f>
        <v>0.22339197486680162</v>
      </c>
      <c r="M16">
        <f>'Rescale to Fit GDP Proj'!R74</f>
        <v>0.23398291886314052</v>
      </c>
      <c r="N16">
        <f>'Rescale to Fit GDP Proj'!S74</f>
        <v>0.24467977229944282</v>
      </c>
      <c r="O16">
        <f>'Rescale to Fit GDP Proj'!T74</f>
        <v>0.25548359427010819</v>
      </c>
      <c r="P16">
        <f>'Rescale to Fit GDP Proj'!U74</f>
        <v>0.26639545446048013</v>
      </c>
      <c r="Q16">
        <f>'Rescale to Fit GDP Proj'!V74</f>
        <v>0.27741643325275589</v>
      </c>
      <c r="R16">
        <f>'Rescale to Fit GDP Proj'!W74</f>
        <v>0.28854762183295446</v>
      </c>
      <c r="S16">
        <f>'Rescale to Fit GDP Proj'!X74</f>
        <v>0.29979012229895502</v>
      </c>
      <c r="T16">
        <f>'Rescale to Fit GDP Proj'!Y74</f>
        <v>0.3111450477696156</v>
      </c>
      <c r="U16">
        <f>'Rescale to Fit GDP Proj'!Z74</f>
        <v>0.3226135224949826</v>
      </c>
      <c r="V16">
        <f>'Rescale to Fit GDP Proj'!AA74</f>
        <v>0.33419668196760333</v>
      </c>
      <c r="W16">
        <f>'Rescale to Fit GDP Proj'!AB74</f>
        <v>0.34589567303495034</v>
      </c>
      <c r="X16">
        <f>'Rescale to Fit GDP Proj'!AC74</f>
        <v>0.35771165401297089</v>
      </c>
      <c r="Y16">
        <f>'Rescale to Fit GDP Proj'!AD74</f>
        <v>0.36964579480077148</v>
      </c>
      <c r="Z16">
        <f>'Rescale to Fit GDP Proj'!AE74</f>
        <v>0.38169927699645018</v>
      </c>
      <c r="AA16">
        <f>'Rescale to Fit GDP Proj'!AF74</f>
        <v>0.39387329401408566</v>
      </c>
      <c r="AB16">
        <f>'Rescale to Fit GDP Proj'!AG74</f>
        <v>0.40616905120189739</v>
      </c>
      <c r="AC16">
        <f>'Rescale to Fit GDP Proj'!AH74</f>
        <v>0.41858776596158737</v>
      </c>
      <c r="AD16">
        <f>'Rescale to Fit GDP Proj'!AI74</f>
        <v>0.43113066786887422</v>
      </c>
      <c r="AE16">
        <f>'Rescale to Fit GDP Proj'!AJ74</f>
        <v>0.44379899879523388</v>
      </c>
      <c r="AF16">
        <f>'Rescale to Fit GDP Proj'!AK74</f>
        <v>0.45659401303085728</v>
      </c>
    </row>
    <row r="17" spans="1:32" x14ac:dyDescent="0.25">
      <c r="A17" s="2" t="s">
        <v>44</v>
      </c>
      <c r="B17">
        <f>'Rescale to Fit GDP Proj'!G75</f>
        <v>7.7970072473301635E-2</v>
      </c>
      <c r="C17">
        <f>'Rescale to Fit GDP Proj'!H75</f>
        <v>9.1414110646981794E-2</v>
      </c>
      <c r="D17">
        <f>'Rescale to Fit GDP Proj'!I75</f>
        <v>0.10200972819457114</v>
      </c>
      <c r="E17">
        <f>'Rescale to Fit GDP Proj'!J75</f>
        <v>0.10964538429725906</v>
      </c>
      <c r="F17">
        <f>'Rescale to Fit GDP Proj'!K75</f>
        <v>0.11423707365557165</v>
      </c>
      <c r="G17">
        <f>'Rescale to Fit GDP Proj'!L75</f>
        <v>0.11572983572452153</v>
      </c>
      <c r="H17">
        <f>'Rescale to Fit GDP Proj'!M75</f>
        <v>0.11409880899225021</v>
      </c>
      <c r="I17">
        <f>'Rescale to Fit GDP Proj'!N75</f>
        <v>0.10934980282345355</v>
      </c>
      <c r="J17">
        <f>'Rescale to Fit GDP Proj'!O75</f>
        <v>0.10462454168550088</v>
      </c>
      <c r="K17">
        <f>'Rescale to Fit GDP Proj'!P75</f>
        <v>9.9922906853237972E-2</v>
      </c>
      <c r="L17">
        <f>'Rescale to Fit GDP Proj'!Q75</f>
        <v>9.5244780195136255E-2</v>
      </c>
      <c r="M17">
        <f>'Rescale to Fit GDP Proj'!R75</f>
        <v>9.0590044170325068E-2</v>
      </c>
      <c r="N17">
        <f>'Rescale to Fit GDP Proj'!S75</f>
        <v>8.5958581825638009E-2</v>
      </c>
      <c r="O17">
        <f>'Rescale to Fit GDP Proj'!T75</f>
        <v>8.13502767926743E-2</v>
      </c>
      <c r="P17">
        <f>'Rescale to Fit GDP Proj'!U75</f>
        <v>7.6765013284875491E-2</v>
      </c>
      <c r="Q17">
        <f>'Rescale to Fit GDP Proj'!V75</f>
        <v>7.2202676094615656E-2</v>
      </c>
      <c r="R17">
        <f>'Rescale to Fit GDP Proj'!W75</f>
        <v>6.7663150590307045E-2</v>
      </c>
      <c r="S17">
        <f>'Rescale to Fit GDP Proj'!X75</f>
        <v>6.3146322713520095E-2</v>
      </c>
      <c r="T17">
        <f>'Rescale to Fit GDP Proj'!Y75</f>
        <v>5.8652078976117024E-2</v>
      </c>
      <c r="U17">
        <f>'Rescale to Fit GDP Proj'!Z75</f>
        <v>5.4180306457401052E-2</v>
      </c>
      <c r="V17">
        <f>'Rescale to Fit GDP Proj'!AA75</f>
        <v>4.9730892801278577E-2</v>
      </c>
      <c r="W17">
        <f>'Rescale to Fit GDP Proj'!AB75</f>
        <v>4.5303726213436743E-2</v>
      </c>
      <c r="X17">
        <f>'Rescale to Fit GDP Proj'!AC75</f>
        <v>4.0898695458534029E-2</v>
      </c>
      <c r="Y17">
        <f>'Rescale to Fit GDP Proj'!AD75</f>
        <v>3.6515689857405859E-2</v>
      </c>
      <c r="Z17">
        <f>'Rescale to Fit GDP Proj'!AE75</f>
        <v>3.2154599284283339E-2</v>
      </c>
      <c r="AA17">
        <f>'Rescale to Fit GDP Proj'!AF75</f>
        <v>2.7815314164026387E-2</v>
      </c>
      <c r="AB17">
        <f>'Rescale to Fit GDP Proj'!AG75</f>
        <v>2.3497725469370841E-2</v>
      </c>
      <c r="AC17">
        <f>'Rescale to Fit GDP Proj'!AH75</f>
        <v>1.9201724718188481E-2</v>
      </c>
      <c r="AD17">
        <f>'Rescale to Fit GDP Proj'!AI75</f>
        <v>1.4927203970762E-2</v>
      </c>
      <c r="AE17">
        <f>'Rescale to Fit GDP Proj'!AJ75</f>
        <v>1.0674055827072648E-2</v>
      </c>
      <c r="AF17">
        <f>'Rescale to Fit GDP Proj'!AK75</f>
        <v>6.4421734241017587E-3</v>
      </c>
    </row>
    <row r="18" spans="1:32" x14ac:dyDescent="0.25">
      <c r="A18" s="2" t="s">
        <v>45</v>
      </c>
      <c r="B18">
        <f>'Rescale to Fit GDP Proj'!G76</f>
        <v>8.6344262481498055E-2</v>
      </c>
      <c r="C18">
        <f>'Rescale to Fit GDP Proj'!H76</f>
        <v>0.10309332621611789</v>
      </c>
      <c r="D18">
        <f>'Rescale to Fit GDP Proj'!I76</f>
        <v>0.11855614724525769</v>
      </c>
      <c r="E18">
        <f>'Rescale to Fit GDP Proj'!J76</f>
        <v>0.13265696717990993</v>
      </c>
      <c r="F18">
        <f>'Rescale to Fit GDP Proj'!K76</f>
        <v>0.14532557390672199</v>
      </c>
      <c r="G18">
        <f>'Rescale to Fit GDP Proj'!L76</f>
        <v>0.15649787814504573</v>
      </c>
      <c r="H18">
        <f>'Rescale to Fit GDP Proj'!M76</f>
        <v>0.16611644861122968</v>
      </c>
      <c r="I18">
        <f>'Rescale to Fit GDP Proj'!N76</f>
        <v>0.17413099959825634</v>
      </c>
      <c r="J18">
        <f>'Rescale to Fit GDP Proj'!O76</f>
        <v>0.18220966699317911</v>
      </c>
      <c r="K18">
        <f>'Rescale to Fit GDP Proj'!P76</f>
        <v>0.19035296372726124</v>
      </c>
      <c r="L18">
        <f>'Rescale to Fit GDP Proj'!Q76</f>
        <v>0.19856140683521617</v>
      </c>
      <c r="M18">
        <f>'Rescale to Fit GDP Proj'!R76</f>
        <v>0.20683551748803469</v>
      </c>
      <c r="N18">
        <f>'Rescale to Fit GDP Proj'!S76</f>
        <v>0.21517582102607569</v>
      </c>
      <c r="O18">
        <f>'Rescale to Fit GDP Proj'!T76</f>
        <v>0.22358284699242109</v>
      </c>
      <c r="P18">
        <f>'Rescale to Fit GDP Proj'!U76</f>
        <v>0.23205712916649723</v>
      </c>
      <c r="Q18">
        <f>'Rescale to Fit GDP Proj'!V76</f>
        <v>0.24059920559796591</v>
      </c>
      <c r="R18">
        <f>'Rescale to Fit GDP Proj'!W76</f>
        <v>0.24920961864088648</v>
      </c>
      <c r="S18">
        <f>'Rescale to Fit GDP Proj'!X76</f>
        <v>0.25788891498815036</v>
      </c>
      <c r="T18">
        <f>'Rescale to Fit GDP Proj'!Y76</f>
        <v>0.26663764570619236</v>
      </c>
      <c r="U18">
        <f>'Rescale to Fit GDP Proj'!Z76</f>
        <v>0.27545636626997871</v>
      </c>
      <c r="V18">
        <f>'Rescale to Fit GDP Proj'!AA76</f>
        <v>0.28434563659827522</v>
      </c>
      <c r="W18">
        <f>'Rescale to Fit GDP Proj'!AB76</f>
        <v>0.29330602108919818</v>
      </c>
      <c r="X18">
        <f>'Rescale to Fit GDP Proj'!AC76</f>
        <v>0.30233808865604844</v>
      </c>
      <c r="Y18">
        <f>'Rescale to Fit GDP Proj'!AD76</f>
        <v>0.31144241276343365</v>
      </c>
      <c r="Z18">
        <f>'Rescale to Fit GDP Proj'!AE76</f>
        <v>0.32061957146367798</v>
      </c>
      <c r="AA18">
        <f>'Rescale to Fit GDP Proj'!AF76</f>
        <v>0.32987014743352411</v>
      </c>
      <c r="AB18">
        <f>'Rescale to Fit GDP Proj'!AG76</f>
        <v>0.33919472801112904</v>
      </c>
      <c r="AC18">
        <f>'Rescale to Fit GDP Proj'!AH76</f>
        <v>0.34859390523335493</v>
      </c>
      <c r="AD18">
        <f>'Rescale to Fit GDP Proj'!AI76</f>
        <v>0.35806827587335854</v>
      </c>
      <c r="AE18">
        <f>'Rescale to Fit GDP Proj'!AJ76</f>
        <v>0.36761844147848222</v>
      </c>
      <c r="AF18">
        <f>'Rescale to Fit GDP Proj'!AK76</f>
        <v>0.37724500840844682</v>
      </c>
    </row>
    <row r="19" spans="1:32" x14ac:dyDescent="0.25">
      <c r="A19" s="2" t="s">
        <v>12</v>
      </c>
      <c r="B19">
        <f>'Rescale to Fit GDP Proj'!G77</f>
        <v>0.11907882195245427</v>
      </c>
      <c r="C19">
        <f>'Rescale to Fit GDP Proj'!H77</f>
        <v>0.14199357187372341</v>
      </c>
      <c r="D19">
        <f>'Rescale to Fit GDP Proj'!I77</f>
        <v>0.16252518780318045</v>
      </c>
      <c r="E19">
        <f>'Rescale to Fit GDP Proj'!J77</f>
        <v>0.18049328482944535</v>
      </c>
      <c r="F19">
        <f>'Rescale to Fit GDP Proj'!K77</f>
        <v>0.19573622047339334</v>
      </c>
      <c r="G19">
        <f>'Rescale to Fit GDP Proj'!L77</f>
        <v>0.2081134842162792</v>
      </c>
      <c r="H19">
        <f>'Rescale to Fit GDP Proj'!M77</f>
        <v>0.21750782739712954</v>
      </c>
      <c r="I19">
        <f>'Rescale to Fit GDP Proj'!N77</f>
        <v>0.22382708891011494</v>
      </c>
      <c r="J19">
        <f>'Rescale to Fit GDP Proj'!O77</f>
        <v>0.23018426599217823</v>
      </c>
      <c r="K19">
        <f>'Rescale to Fit GDP Proj'!P77</f>
        <v>0.23657958613673391</v>
      </c>
      <c r="L19">
        <f>'Rescale to Fit GDP Proj'!Q77</f>
        <v>0.24301327820215685</v>
      </c>
      <c r="M19">
        <f>'Rescale to Fit GDP Proj'!R77</f>
        <v>0.24948557241997241</v>
      </c>
      <c r="N19">
        <f>'Rescale to Fit GDP Proj'!S77</f>
        <v>0.2559967004030948</v>
      </c>
      <c r="O19">
        <f>'Rescale to Fit GDP Proj'!T77</f>
        <v>0.26254689515411589</v>
      </c>
      <c r="P19">
        <f>'Rescale to Fit GDP Proj'!U77</f>
        <v>0.26913639107364323</v>
      </c>
      <c r="Q19">
        <f>'Rescale to Fit GDP Proj'!V77</f>
        <v>0.27576542396868758</v>
      </c>
      <c r="R19">
        <f>'Rescale to Fit GDP Proj'!W77</f>
        <v>0.28243423106110233</v>
      </c>
      <c r="S19">
        <f>'Rescale to Fit GDP Proj'!X77</f>
        <v>0.28914305099607157</v>
      </c>
      <c r="T19">
        <f>'Rescale to Fit GDP Proj'!Y77</f>
        <v>0.29589212385065056</v>
      </c>
      <c r="U19">
        <f>'Rescale to Fit GDP Proj'!Z77</f>
        <v>0.3026816911423571</v>
      </c>
      <c r="V19">
        <f>'Rescale to Fit GDP Proj'!AA77</f>
        <v>0.3095119958378138</v>
      </c>
      <c r="W19">
        <f>'Rescale to Fit GDP Proj'!AB77</f>
        <v>0.31638328236144331</v>
      </c>
      <c r="X19">
        <f>'Rescale to Fit GDP Proj'!AC77</f>
        <v>0.32329579660421448</v>
      </c>
      <c r="Y19">
        <f>'Rescale to Fit GDP Proj'!AD77</f>
        <v>0.33024978593244242</v>
      </c>
      <c r="Z19">
        <f>'Rescale to Fit GDP Proj'!AE77</f>
        <v>0.33724549919663971</v>
      </c>
      <c r="AA19">
        <f>'Rescale to Fit GDP Proj'!AF77</f>
        <v>0.34428318674042213</v>
      </c>
      <c r="AB19">
        <f>'Rescale to Fit GDP Proj'!AG77</f>
        <v>0.35136310040946722</v>
      </c>
      <c r="AC19">
        <f>'Rescale to Fit GDP Proj'!AH77</f>
        <v>0.35848549356052667</v>
      </c>
      <c r="AD19">
        <f>'Rescale to Fit GDP Proj'!AI77</f>
        <v>0.36565062107049245</v>
      </c>
      <c r="AE19">
        <f>'Rescale to Fit GDP Proj'!AJ77</f>
        <v>0.372858739345518</v>
      </c>
      <c r="AF19">
        <f>'Rescale to Fit GDP Proj'!AK77</f>
        <v>0.38011010633019365</v>
      </c>
    </row>
    <row r="20" spans="1:32" x14ac:dyDescent="0.25">
      <c r="A20" s="2" t="s">
        <v>13</v>
      </c>
      <c r="B20">
        <f>'Rescale to Fit GDP Proj'!G78</f>
        <v>8.2466483552758027E-2</v>
      </c>
      <c r="C20">
        <f>'Rescale to Fit GDP Proj'!H78</f>
        <v>0.10030519377154358</v>
      </c>
      <c r="D20">
        <f>'Rescale to Fit GDP Proj'!I78</f>
        <v>0.11889163076823935</v>
      </c>
      <c r="E20">
        <f>'Rescale to Fit GDP Proj'!J78</f>
        <v>0.13825625303767042</v>
      </c>
      <c r="F20">
        <f>'Rescale to Fit GDP Proj'!K78</f>
        <v>0.15843111136362617</v>
      </c>
      <c r="G20">
        <f>'Rescale to Fit GDP Proj'!L78</f>
        <v>0.17944993469896137</v>
      </c>
      <c r="H20">
        <f>'Rescale to Fit GDP Proj'!M78</f>
        <v>0.2013482213103005</v>
      </c>
      <c r="I20">
        <f>'Rescale to Fit GDP Proj'!N78</f>
        <v>0.22416333552400314</v>
      </c>
      <c r="J20">
        <f>'Rescale to Fit GDP Proj'!O78</f>
        <v>0.24748038225040722</v>
      </c>
      <c r="K20">
        <f>'Rescale to Fit GDP Proj'!P78</f>
        <v>0.27131040400479217</v>
      </c>
      <c r="L20">
        <f>'Rescale to Fit GDP Proj'!Q78</f>
        <v>0.2956646862377737</v>
      </c>
      <c r="M20">
        <f>'Rescale to Fit GDP Proj'!R78</f>
        <v>0.32055476267988081</v>
      </c>
      <c r="N20">
        <f>'Rescale to Fit GDP Proj'!S78</f>
        <v>0.34599242080371423</v>
      </c>
      <c r="O20">
        <f>'Rescale to Fit GDP Proj'!T78</f>
        <v>0.37198970740627213</v>
      </c>
      <c r="P20">
        <f>'Rescale to Fit GDP Proj'!U78</f>
        <v>0.39855893431408612</v>
      </c>
      <c r="Q20">
        <f>'Rescale to Fit GDP Proj'!V78</f>
        <v>0.42571268421387209</v>
      </c>
      <c r="R20">
        <f>'Rescale to Fit GDP Proj'!W78</f>
        <v>0.45346381661145335</v>
      </c>
      <c r="S20">
        <f>'Rescale to Fit GDP Proj'!X78</f>
        <v>0.48182547392178143</v>
      </c>
      <c r="T20">
        <f>'Rescale to Fit GDP Proj'!Y78</f>
        <v>0.51081108769293682</v>
      </c>
      <c r="U20">
        <f>'Rescale to Fit GDP Proj'!Z78</f>
        <v>0.54043438496705754</v>
      </c>
      <c r="V20">
        <f>'Rescale to Fit GDP Proj'!AA78</f>
        <v>0.57070939478120875</v>
      </c>
      <c r="W20">
        <f>'Rescale to Fit GDP Proj'!AB78</f>
        <v>0.60165045481127144</v>
      </c>
      <c r="X20">
        <f>'Rescale to Fit GDP Proj'!AC78</f>
        <v>0.63327221816199541</v>
      </c>
      <c r="Y20">
        <f>'Rescale to Fit GDP Proj'!AD78</f>
        <v>0.6655896603064354</v>
      </c>
      <c r="Z20">
        <f>'Rescale to Fit GDP Proj'!AE78</f>
        <v>0.6986180861780531</v>
      </c>
      <c r="AA20">
        <f>'Rescale to Fit GDP Proj'!AF78</f>
        <v>0.73237313741884624</v>
      </c>
      <c r="AB20">
        <f>'Rescale to Fit GDP Proj'!AG78</f>
        <v>0.76687079978693695</v>
      </c>
      <c r="AC20">
        <f>'Rescale to Fit GDP Proj'!AH78</f>
        <v>0.80212741072712557</v>
      </c>
      <c r="AD20">
        <f>'Rescale to Fit GDP Proj'!AI78</f>
        <v>0.83815966710799839</v>
      </c>
      <c r="AE20">
        <f>'Rescale to Fit GDP Proj'!AJ78</f>
        <v>0.87498463312925046</v>
      </c>
      <c r="AF20">
        <f>'Rescale to Fit GDP Proj'!AK78</f>
        <v>0.91261974840297011</v>
      </c>
    </row>
    <row r="21" spans="1:32" x14ac:dyDescent="0.25">
      <c r="A21" s="2" t="s">
        <v>14</v>
      </c>
      <c r="B21">
        <f>'Rescale to Fit GDP Proj'!G79</f>
        <v>0.10062949928713336</v>
      </c>
      <c r="C21">
        <f>'Rescale to Fit GDP Proj'!H79</f>
        <v>0.1218976101335079</v>
      </c>
      <c r="D21">
        <f>'Rescale to Fit GDP Proj'!I79</f>
        <v>0.1433752109162785</v>
      </c>
      <c r="E21">
        <f>'Rescale to Fit GDP Proj'!J79</f>
        <v>0.16505478713498178</v>
      </c>
      <c r="F21">
        <f>'Rescale to Fit GDP Proj'!K79</f>
        <v>0.18692848048084137</v>
      </c>
      <c r="G21">
        <f>'Rescale to Fit GDP Proj'!L79</f>
        <v>0.20898809000833257</v>
      </c>
      <c r="H21">
        <f>'Rescale to Fit GDP Proj'!M79</f>
        <v>0.23122507382283808</v>
      </c>
      <c r="I21">
        <f>'Rescale to Fit GDP Proj'!N79</f>
        <v>0.25363055129322659</v>
      </c>
      <c r="J21">
        <f>'Rescale to Fit GDP Proj'!O79</f>
        <v>0.27650654379049333</v>
      </c>
      <c r="K21">
        <f>'Rescale to Fit GDP Proj'!P79</f>
        <v>0.29986293213020249</v>
      </c>
      <c r="L21">
        <f>'Rescale to Fit GDP Proj'!Q79</f>
        <v>0.32370980462504562</v>
      </c>
      <c r="M21">
        <f>'Rescale to Fit GDP Proj'!R79</f>
        <v>0.34805746144228039</v>
      </c>
      <c r="N21">
        <f>'Rescale to Fit GDP Proj'!S79</f>
        <v>0.37291641905267714</v>
      </c>
      <c r="O21">
        <f>'Rescale to Fit GDP Proj'!T79</f>
        <v>0.39829741477289221</v>
      </c>
      <c r="P21">
        <f>'Rescale to Fit GDP Proj'!U79</f>
        <v>0.42421141140323193</v>
      </c>
      <c r="Q21">
        <f>'Rescale to Fit GDP Proj'!V79</f>
        <v>0.45066960196280864</v>
      </c>
      <c r="R21">
        <f>'Rescale to Fit GDP Proj'!W79</f>
        <v>0.47768341452413648</v>
      </c>
      <c r="S21">
        <f>'Rescale to Fit GDP Proj'!X79</f>
        <v>0.50526451714925213</v>
      </c>
      <c r="T21">
        <f>'Rescale to Fit GDP Proj'!Y79</f>
        <v>0.53342482292949522</v>
      </c>
      <c r="U21">
        <f>'Rescale to Fit GDP Proj'!Z79</f>
        <v>0.56217649513112344</v>
      </c>
      <c r="V21">
        <f>'Rescale to Fit GDP Proj'!AA79</f>
        <v>0.59153195244898571</v>
      </c>
      <c r="W21">
        <f>'Rescale to Fit GDP Proj'!AB79</f>
        <v>0.62150387437052335</v>
      </c>
      <c r="X21">
        <f>'Rescale to Fit GDP Proj'!AC79</f>
        <v>0.65210520665241323</v>
      </c>
      <c r="Y21">
        <f>'Rescale to Fit GDP Proj'!AD79</f>
        <v>0.68334916691222281</v>
      </c>
      <c r="Z21">
        <f>'Rescale to Fit GDP Proj'!AE79</f>
        <v>0.71524925033748832</v>
      </c>
      <c r="AA21">
        <f>'Rescale to Fit GDP Proj'!AF79</f>
        <v>0.74781923551468443</v>
      </c>
      <c r="AB21">
        <f>'Rescale to Fit GDP Proj'!AG79</f>
        <v>0.78107319038060152</v>
      </c>
      <c r="AC21">
        <f>'Rescale to Fit GDP Proj'!AH79</f>
        <v>0.81502547829870298</v>
      </c>
      <c r="AD21">
        <f>'Rescale to Fit GDP Proj'!AI79</f>
        <v>0.84969076426308476</v>
      </c>
      <c r="AE21">
        <f>'Rescale to Fit GDP Proj'!AJ79</f>
        <v>0.88508402123271823</v>
      </c>
      <c r="AF21">
        <f>'Rescale to Fit GDP Proj'!AK79</f>
        <v>0.92122053659871417</v>
      </c>
    </row>
    <row r="22" spans="1:32" x14ac:dyDescent="0.25">
      <c r="A22" s="2" t="s">
        <v>15</v>
      </c>
      <c r="B22">
        <f>'Rescale to Fit GDP Proj'!G80</f>
        <v>0.10981816214700552</v>
      </c>
      <c r="C22">
        <f>'Rescale to Fit GDP Proj'!H80</f>
        <v>0.13183528438514816</v>
      </c>
      <c r="D22">
        <f>'Rescale to Fit GDP Proj'!I80</f>
        <v>0.15270645496828947</v>
      </c>
      <c r="E22">
        <f>'Rescale to Fit GDP Proj'!J80</f>
        <v>0.17233343129446346</v>
      </c>
      <c r="F22">
        <f>'Rescale to Fit GDP Proj'!K80</f>
        <v>0.1906220818258661</v>
      </c>
      <c r="G22">
        <f>'Rescale to Fit GDP Proj'!L80</f>
        <v>0.20748312729132182</v>
      </c>
      <c r="H22">
        <f>'Rescale to Fit GDP Proj'!M80</f>
        <v>0.22283285755732424</v>
      </c>
      <c r="I22">
        <f>'Rescale to Fit GDP Proj'!N80</f>
        <v>0.23659381622754153</v>
      </c>
      <c r="J22">
        <f>'Rescale to Fit GDP Proj'!O80</f>
        <v>0.25053366736047172</v>
      </c>
      <c r="K22">
        <f>'Rescale to Fit GDP Proj'!P80</f>
        <v>0.26465473655812993</v>
      </c>
      <c r="L22">
        <f>'Rescale to Fit GDP Proj'!Q80</f>
        <v>0.27895937965535772</v>
      </c>
      <c r="M22">
        <f>'Rescale to Fit GDP Proj'!R80</f>
        <v>0.29344998311284953</v>
      </c>
      <c r="N22">
        <f>'Rescale to Fit GDP Proj'!S80</f>
        <v>0.3081289644152887</v>
      </c>
      <c r="O22">
        <f>'Rescale to Fit GDP Proj'!T80</f>
        <v>0.32299877247465963</v>
      </c>
      <c r="P22">
        <f>'Rescale to Fit GDP Proj'!U80</f>
        <v>0.33806188803880233</v>
      </c>
      <c r="Q22">
        <f>'Rescale to Fit GDP Proj'!V80</f>
        <v>0.35332082410527887</v>
      </c>
      <c r="R22">
        <f>'Rescale to Fit GDP Proj'!W80</f>
        <v>0.36877812634061968</v>
      </c>
      <c r="S22">
        <f>'Rescale to Fit GDP Proj'!X80</f>
        <v>0.38443637350501986</v>
      </c>
      <c r="T22">
        <f>'Rescale to Fit GDP Proj'!Y80</f>
        <v>0.40029817788255717</v>
      </c>
      <c r="U22">
        <f>'Rescale to Fit GDP Proj'!Z80</f>
        <v>0.41636618571700251</v>
      </c>
      <c r="V22">
        <f>'Rescale to Fit GDP Proj'!AA80</f>
        <v>0.43264307765329557</v>
      </c>
      <c r="W22">
        <f>'Rescale to Fit GDP Proj'!AB80</f>
        <v>0.44913156918476055</v>
      </c>
      <c r="X22">
        <f>'Rescale to Fit GDP Proj'!AC80</f>
        <v>0.46583441110613449</v>
      </c>
      <c r="Y22">
        <f>'Rescale to Fit GDP Proj'!AD80</f>
        <v>0.48275438997248638</v>
      </c>
      <c r="Z22">
        <f>'Rescale to Fit GDP Proj'!AE80</f>
        <v>0.49989432856410088</v>
      </c>
      <c r="AA22">
        <f>'Rescale to Fit GDP Proj'!AF80</f>
        <v>0.5172570863574063</v>
      </c>
      <c r="AB22">
        <f>'Rescale to Fit GDP Proj'!AG80</f>
        <v>0.53484556000202466</v>
      </c>
      <c r="AC22">
        <f>'Rescale to Fit GDP Proj'!AH80</f>
        <v>0.55266268380402306</v>
      </c>
      <c r="AD22">
        <f>'Rescale to Fit GDP Proj'!AI80</f>
        <v>0.57071143021544757</v>
      </c>
      <c r="AE22">
        <f>'Rescale to Fit GDP Proj'!AJ80</f>
        <v>0.58899481033022039</v>
      </c>
      <c r="AF22">
        <f>'Rescale to Fit GDP Proj'!AK80</f>
        <v>0.60751587438648524</v>
      </c>
    </row>
    <row r="23" spans="1:32" x14ac:dyDescent="0.25">
      <c r="A23" s="2" t="s">
        <v>16</v>
      </c>
      <c r="B23">
        <f>'Rescale to Fit GDP Proj'!G81</f>
        <v>0.35682110896527003</v>
      </c>
      <c r="C23">
        <f>'Rescale to Fit GDP Proj'!H81</f>
        <v>0.43385839738047821</v>
      </c>
      <c r="D23">
        <f>'Rescale to Fit GDP Proj'!I81</f>
        <v>0.50431926089112666</v>
      </c>
      <c r="E23">
        <f>'Rescale to Fit GDP Proj'!J81</f>
        <v>0.56649646797280706</v>
      </c>
      <c r="F23">
        <f>'Rescale to Fit GDP Proj'!K81</f>
        <v>0.6187986443125586</v>
      </c>
      <c r="G23">
        <f>'Rescale to Fit GDP Proj'!L81</f>
        <v>0.65981568347431374</v>
      </c>
      <c r="H23">
        <f>'Rescale to Fit GDP Proj'!M81</f>
        <v>0.68838013538567655</v>
      </c>
      <c r="I23">
        <f>'Rescale to Fit GDP Proj'!N81</f>
        <v>0.70362096098720439</v>
      </c>
      <c r="J23">
        <f>'Rescale to Fit GDP Proj'!O81</f>
        <v>0.71901419484474738</v>
      </c>
      <c r="K23">
        <f>'Rescale to Fit GDP Proj'!P81</f>
        <v>0.73456136104086578</v>
      </c>
      <c r="L23">
        <f>'Rescale to Fit GDP Proj'!Q81</f>
        <v>0.75026399889894535</v>
      </c>
      <c r="M23">
        <f>'Rescale to Fit GDP Proj'!R81</f>
        <v>0.76612366313560576</v>
      </c>
      <c r="N23">
        <f>'Rescale to Fit GDP Proj'!S81</f>
        <v>0.78214192401463289</v>
      </c>
      <c r="O23">
        <f>'Rescale to Fit GDP Proj'!T81</f>
        <v>0.79832036750245017</v>
      </c>
      <c r="P23">
        <f>'Rescale to Fit GDP Proj'!U81</f>
        <v>0.81466059542514546</v>
      </c>
      <c r="Q23">
        <f>'Rescale to Fit GDP Proj'!V81</f>
        <v>0.83116422562706782</v>
      </c>
      <c r="R23">
        <f>'Rescale to Fit GDP Proj'!W81</f>
        <v>0.84783289213100954</v>
      </c>
      <c r="S23">
        <f>'Rescale to Fit GDP Proj'!X81</f>
        <v>0.86466824529999065</v>
      </c>
      <c r="T23">
        <f>'Rescale to Fit GDP Proj'!Y81</f>
        <v>0.88167195200066129</v>
      </c>
      <c r="U23">
        <f>'Rescale to Fit GDP Proj'!Z81</f>
        <v>0.89884569576833884</v>
      </c>
      <c r="V23">
        <f>'Rescale to Fit GDP Proj'!AA81</f>
        <v>0.91619117697369334</v>
      </c>
      <c r="W23">
        <f>'Rescale to Fit GDP Proj'!AB81</f>
        <v>0.93371011299110129</v>
      </c>
      <c r="X23">
        <f>'Rescale to Fit GDP Proj'!AC81</f>
        <v>0.95140423836868349</v>
      </c>
      <c r="Y23">
        <f>'Rescale to Fit GDP Proj'!AD81</f>
        <v>0.96927530500004111</v>
      </c>
      <c r="Z23">
        <f>'Rescale to Fit GDP Proj'!AE81</f>
        <v>0.98732508229771265</v>
      </c>
      <c r="AA23">
        <f>'Rescale to Fit GDP Proj'!AF81</f>
        <v>1.0055553573683607</v>
      </c>
      <c r="AB23">
        <f>'Rescale to Fit GDP Proj'!AG81</f>
        <v>1.0239679351897155</v>
      </c>
      <c r="AC23">
        <f>'Rescale to Fit GDP Proj'!AH81</f>
        <v>1.0425646387892835</v>
      </c>
      <c r="AD23">
        <f>'Rescale to Fit GDP Proj'!AI81</f>
        <v>1.0613473094248471</v>
      </c>
      <c r="AE23">
        <f>'Rescale to Fit GDP Proj'!AJ81</f>
        <v>1.0803178067667667</v>
      </c>
      <c r="AF23">
        <f>'Rescale to Fit GDP Proj'!AK81</f>
        <v>1.0994780090821055</v>
      </c>
    </row>
    <row r="24" spans="1:32" x14ac:dyDescent="0.25">
      <c r="A24" s="2" t="s">
        <v>17</v>
      </c>
      <c r="B24">
        <f>'Rescale to Fit GDP Proj'!G82</f>
        <v>7.7507961446714319E-2</v>
      </c>
      <c r="C24">
        <f>'Rescale to Fit GDP Proj'!H82</f>
        <v>9.282145888616164E-2</v>
      </c>
      <c r="D24">
        <f>'Rescale to Fit GDP Proj'!I82</f>
        <v>0.10734423814185655</v>
      </c>
      <c r="E24">
        <f>'Rescale to Fit GDP Proj'!J82</f>
        <v>0.12103027221608989</v>
      </c>
      <c r="F24">
        <f>'Rescale to Fit GDP Proj'!K82</f>
        <v>0.13383559419649813</v>
      </c>
      <c r="G24">
        <f>'Rescale to Fit GDP Proj'!L82</f>
        <v>0.14571853020527251</v>
      </c>
      <c r="H24">
        <f>'Rescale to Fit GDP Proj'!M82</f>
        <v>0.15663992332030338</v>
      </c>
      <c r="I24">
        <f>'Rescale to Fit GDP Proj'!N82</f>
        <v>0.16656334680117732</v>
      </c>
      <c r="J24">
        <f>'Rescale to Fit GDP Proj'!O82</f>
        <v>0.17658600451686002</v>
      </c>
      <c r="K24">
        <f>'Rescale to Fit GDP Proj'!P82</f>
        <v>0.18670888880969949</v>
      </c>
      <c r="L24">
        <f>'Rescale to Fit GDP Proj'!Q82</f>
        <v>0.19693300194546751</v>
      </c>
      <c r="M24">
        <f>'Rescale to Fit GDP Proj'!R82</f>
        <v>0.20725935621259312</v>
      </c>
      <c r="N24">
        <f>'Rescale to Fit GDP Proj'!S82</f>
        <v>0.21768897402239007</v>
      </c>
      <c r="O24">
        <f>'Rescale to Fit GDP Proj'!T82</f>
        <v>0.22822288801028501</v>
      </c>
      <c r="P24">
        <f>'Rescale to Fit GDP Proj'!U82</f>
        <v>0.23886214113805879</v>
      </c>
      <c r="Q24">
        <f>'Rescale to Fit GDP Proj'!V82</f>
        <v>0.24960778679711024</v>
      </c>
      <c r="R24">
        <f>'Rescale to Fit GDP Proj'!W82</f>
        <v>0.26046088891275238</v>
      </c>
      <c r="S24">
        <f>'Rescale to Fit GDP Proj'!X82</f>
        <v>0.27142252204955081</v>
      </c>
      <c r="T24">
        <f>'Rescale to Fit GDP Proj'!Y82</f>
        <v>0.28249377151771721</v>
      </c>
      <c r="U24">
        <f>'Rescale to Fit GDP Proj'!Z82</f>
        <v>0.29367573348056536</v>
      </c>
      <c r="V24">
        <f>'Rescale to Fit GDP Proj'!AA82</f>
        <v>0.30496951506304193</v>
      </c>
      <c r="W24">
        <f>'Rescale to Fit GDP Proj'!AB82</f>
        <v>0.31637623446134322</v>
      </c>
      <c r="X24">
        <f>'Rescale to Fit GDP Proj'!AC82</f>
        <v>0.32789702105362756</v>
      </c>
      <c r="Y24">
        <f>'Rescale to Fit GDP Proj'!AD82</f>
        <v>0.33953301551183473</v>
      </c>
      <c r="Z24">
        <f>'Rescale to Fit GDP Proj'!AE82</f>
        <v>0.351285369914624</v>
      </c>
      <c r="AA24">
        <f>'Rescale to Fit GDP Proj'!AF82</f>
        <v>0.36315524786144121</v>
      </c>
      <c r="AB24">
        <f>'Rescale to Fit GDP Proj'!AG82</f>
        <v>0.37514382458772666</v>
      </c>
      <c r="AC24">
        <f>'Rescale to Fit GDP Proj'!AH82</f>
        <v>0.3872522870812749</v>
      </c>
      <c r="AD24">
        <f>'Rescale to Fit GDP Proj'!AI82</f>
        <v>0.39948183419975858</v>
      </c>
      <c r="AE24">
        <f>'Rescale to Fit GDP Proj'!AJ82</f>
        <v>0.41183367678942717</v>
      </c>
      <c r="AF24">
        <f>'Rescale to Fit GDP Proj'!AK82</f>
        <v>0.42430903780499241</v>
      </c>
    </row>
    <row r="25" spans="1:32" x14ac:dyDescent="0.25">
      <c r="A25" s="2" t="s">
        <v>18</v>
      </c>
      <c r="B25">
        <f>'Rescale to Fit GDP Proj'!G83</f>
        <v>2.6135113488398417E-2</v>
      </c>
      <c r="C25">
        <f>'Rescale to Fit GDP Proj'!H83</f>
        <v>3.1806872267199256E-2</v>
      </c>
      <c r="D25">
        <f>'Rescale to Fit GDP Proj'!I83</f>
        <v>3.786570676476101E-2</v>
      </c>
      <c r="E25">
        <f>'Rescale to Fit GDP Proj'!J83</f>
        <v>4.4319049755354403E-2</v>
      </c>
      <c r="F25">
        <f>'Rescale to Fit GDP Proj'!K83</f>
        <v>5.1174860085051545E-2</v>
      </c>
      <c r="G25">
        <f>'Rescale to Fit GDP Proj'!L83</f>
        <v>5.8441638968737865E-2</v>
      </c>
      <c r="H25">
        <f>'Rescale to Fit GDP Proj'!M83</f>
        <v>6.6128447487695821E-2</v>
      </c>
      <c r="I25">
        <f>'Rescale to Fit GDP Proj'!N83</f>
        <v>7.4244925337988751E-2</v>
      </c>
      <c r="J25">
        <f>'Rescale to Fit GDP Proj'!O83</f>
        <v>8.243445148893444E-2</v>
      </c>
      <c r="K25">
        <f>'Rescale to Fit GDP Proj'!P83</f>
        <v>9.0697683375238577E-2</v>
      </c>
      <c r="L25">
        <f>'Rescale to Fit GDP Proj'!Q83</f>
        <v>9.9035284348519478E-2</v>
      </c>
      <c r="M25">
        <f>'Rescale to Fit GDP Proj'!R83</f>
        <v>0.10744792373055992</v>
      </c>
      <c r="N25">
        <f>'Rescale to Fit GDP Proj'!S83</f>
        <v>0.11593627686703867</v>
      </c>
      <c r="O25">
        <f>'Rescale to Fit GDP Proj'!T83</f>
        <v>0.12450102518174568</v>
      </c>
      <c r="P25">
        <f>'Rescale to Fit GDP Proj'!U83</f>
        <v>0.13314285623128505</v>
      </c>
      <c r="Q25">
        <f>'Rescale to Fit GDP Proj'!V83</f>
        <v>0.14186246376027031</v>
      </c>
      <c r="R25">
        <f>'Rescale to Fit GDP Proj'!W83</f>
        <v>0.15066054775701643</v>
      </c>
      <c r="S25">
        <f>'Rescale to Fit GDP Proj'!X83</f>
        <v>0.15953781450973331</v>
      </c>
      <c r="T25">
        <f>'Rescale to Fit GDP Proj'!Y83</f>
        <v>0.1684949766632246</v>
      </c>
      <c r="U25">
        <f>'Rescale to Fit GDP Proj'!Z83</f>
        <v>0.17753275327609735</v>
      </c>
      <c r="V25">
        <f>'Rescale to Fit GDP Proj'!AA83</f>
        <v>0.18665186987848595</v>
      </c>
      <c r="W25">
        <f>'Rescale to Fit GDP Proj'!AB83</f>
        <v>0.19585305853029611</v>
      </c>
      <c r="X25">
        <f>'Rescale to Fit GDP Proj'!AC83</f>
        <v>0.20513705787997244</v>
      </c>
      <c r="Y25">
        <f>'Rescale to Fit GDP Proj'!AD83</f>
        <v>0.21450461322379596</v>
      </c>
      <c r="Z25">
        <f>'Rescale to Fit GDP Proj'!AE83</f>
        <v>0.22395647656571391</v>
      </c>
      <c r="AA25">
        <f>'Rescale to Fit GDP Proj'!AF83</f>
        <v>0.23349340667770899</v>
      </c>
      <c r="AB25">
        <f>'Rescale to Fit GDP Proj'!AG83</f>
        <v>0.24311616916071208</v>
      </c>
      <c r="AC25">
        <f>'Rescale to Fit GDP Proj'!AH83</f>
        <v>0.25282553650606215</v>
      </c>
      <c r="AD25">
        <f>'Rescale to Fit GDP Proj'!AI83</f>
        <v>0.26262228815752042</v>
      </c>
      <c r="AE25">
        <f>'Rescale to Fit GDP Proj'!AJ83</f>
        <v>0.27250721057384192</v>
      </c>
      <c r="AF25">
        <f>'Rescale to Fit GDP Proj'!AK83</f>
        <v>0.28248109729191012</v>
      </c>
    </row>
    <row r="26" spans="1:32" x14ac:dyDescent="0.25">
      <c r="A26" s="2" t="s">
        <v>46</v>
      </c>
      <c r="B26">
        <f>'Rescale to Fit GDP Proj'!G84</f>
        <v>2.1102533467581206E-2</v>
      </c>
      <c r="C26">
        <f>'Rescale to Fit GDP Proj'!H84</f>
        <v>2.6855366758585405E-2</v>
      </c>
      <c r="D26">
        <f>'Rescale to Fit GDP Proj'!I84</f>
        <v>3.4125496715730452E-2</v>
      </c>
      <c r="E26">
        <f>'Rescale to Fit GDP Proj'!J84</f>
        <v>4.2948037062199136E-2</v>
      </c>
      <c r="F26">
        <f>'Rescale to Fit GDP Proj'!K84</f>
        <v>5.336632110960348E-2</v>
      </c>
      <c r="G26">
        <f>'Rescale to Fit GDP Proj'!L84</f>
        <v>6.5432254089358696E-2</v>
      </c>
      <c r="H26">
        <f>'Rescale to Fit GDP Proj'!M84</f>
        <v>7.9206741323307378E-2</v>
      </c>
      <c r="I26">
        <f>'Rescale to Fit GDP Proj'!N84</f>
        <v>9.4760197146844083E-2</v>
      </c>
      <c r="J26">
        <f>'Rescale to Fit GDP Proj'!O84</f>
        <v>0.11057806171938102</v>
      </c>
      <c r="K26">
        <f>'Rescale to Fit GDP Proj'!P84</f>
        <v>0.12666482998965109</v>
      </c>
      <c r="L26">
        <f>'Rescale to Fit GDP Proj'!Q84</f>
        <v>0.1430250733205157</v>
      </c>
      <c r="M26">
        <f>'Rescale to Fit GDP Proj'!R84</f>
        <v>0.15966344078800493</v>
      </c>
      <c r="N26">
        <f>'Rescale to Fit GDP Proj'!S84</f>
        <v>0.17658466050244145</v>
      </c>
      <c r="O26">
        <f>'Rescale to Fit GDP Proj'!T84</f>
        <v>0.19379354095202347</v>
      </c>
      <c r="P26">
        <f>'Rescale to Fit GDP Proj'!U84</f>
        <v>0.21129497236924841</v>
      </c>
      <c r="Q26">
        <f>'Rescale to Fit GDP Proj'!V84</f>
        <v>0.22909392812056606</v>
      </c>
      <c r="R26">
        <f>'Rescale to Fit GDP Proj'!W84</f>
        <v>0.24719546611965609</v>
      </c>
      <c r="S26">
        <f>'Rescale to Fit GDP Proj'!X84</f>
        <v>0.2656047302647308</v>
      </c>
      <c r="T26">
        <f>'Rescale to Fit GDP Proj'!Y84</f>
        <v>0.28432695190027163</v>
      </c>
      <c r="U26">
        <f>'Rescale to Fit GDP Proj'!Z84</f>
        <v>0.3033674513036167</v>
      </c>
      <c r="V26">
        <f>'Rescale to Fit GDP Proj'!AA84</f>
        <v>0.32273163919681874</v>
      </c>
      <c r="W26">
        <f>'Rescale to Fit GDP Proj'!AB84</f>
        <v>0.34242501828420513</v>
      </c>
      <c r="X26">
        <f>'Rescale to Fit GDP Proj'!AC84</f>
        <v>0.36245318481607713</v>
      </c>
      <c r="Y26">
        <f>'Rescale to Fit GDP Proj'!AD84</f>
        <v>0.38282183017899102</v>
      </c>
      <c r="Z26">
        <f>'Rescale to Fit GDP Proj'!AE84</f>
        <v>0.40353674251307431</v>
      </c>
      <c r="AA26">
        <f>'Rescale to Fit GDP Proj'!AF84</f>
        <v>0.42460380835683714</v>
      </c>
      <c r="AB26">
        <f>'Rescale to Fit GDP Proj'!AG84</f>
        <v>0.4460290143199438</v>
      </c>
      <c r="AC26">
        <f>'Rescale to Fit GDP Proj'!AH84</f>
        <v>0.4678184487844233</v>
      </c>
      <c r="AD26">
        <f>'Rescale to Fit GDP Proj'!AI84</f>
        <v>0.489978303634799</v>
      </c>
      <c r="AE26">
        <f>'Rescale to Fit GDP Proj'!AJ84</f>
        <v>0.51251487601763102</v>
      </c>
      <c r="AF26">
        <f>'Rescale to Fit GDP Proj'!AK84</f>
        <v>0.53543457013097129</v>
      </c>
    </row>
    <row r="27" spans="1:32" x14ac:dyDescent="0.25">
      <c r="A27" s="2" t="s">
        <v>47</v>
      </c>
      <c r="B27">
        <f>'Rescale to Fit GDP Proj'!G85</f>
        <v>8.3905192677385318E-3</v>
      </c>
      <c r="C27">
        <f>'Rescale to Fit GDP Proj'!H85</f>
        <v>1.0802213393552366E-2</v>
      </c>
      <c r="D27">
        <f>'Rescale to Fit GDP Proj'!I85</f>
        <v>1.3946373478149168E-2</v>
      </c>
      <c r="E27">
        <f>'Rescale to Fit GDP Proj'!J85</f>
        <v>1.7830482270127592E-2</v>
      </c>
      <c r="F27">
        <f>'Rescale to Fit GDP Proj'!K85</f>
        <v>2.2463946622615347E-2</v>
      </c>
      <c r="G27">
        <f>'Rescale to Fit GDP Proj'!L85</f>
        <v>2.7858135242779202E-2</v>
      </c>
      <c r="H27">
        <f>'Rescale to Fit GDP Proj'!M85</f>
        <v>3.4026424957135412E-2</v>
      </c>
      <c r="I27">
        <f>'Rescale to Fit GDP Proj'!N85</f>
        <v>4.0984255754929165E-2</v>
      </c>
      <c r="J27">
        <f>'Rescale to Fit GDP Proj'!O85</f>
        <v>4.7997749199105419E-2</v>
      </c>
      <c r="K27">
        <f>'Rescale to Fit GDP Proj'!P85</f>
        <v>5.5067350590835097E-2</v>
      </c>
      <c r="L27">
        <f>'Rescale to Fit GDP Proj'!Q85</f>
        <v>6.2193508793698525E-2</v>
      </c>
      <c r="M27">
        <f>'Rescale to Fit GDP Proj'!R85</f>
        <v>6.9376676262184925E-2</v>
      </c>
      <c r="N27">
        <f>'Rescale to Fit GDP Proj'!S85</f>
        <v>7.661730907041911E-2</v>
      </c>
      <c r="O27">
        <f>'Rescale to Fit GDP Proj'!T85</f>
        <v>8.391586694111923E-2</v>
      </c>
      <c r="P27">
        <f>'Rescale to Fit GDP Proj'!U85</f>
        <v>9.1272813274784995E-2</v>
      </c>
      <c r="Q27">
        <f>'Rescale to Fit GDP Proj'!V85</f>
        <v>9.868861517911999E-2</v>
      </c>
      <c r="R27">
        <f>'Rescale to Fit GDP Proj'!W85</f>
        <v>0.10616374349868975</v>
      </c>
      <c r="S27">
        <f>'Rescale to Fit GDP Proj'!X85</f>
        <v>0.11369867284481605</v>
      </c>
      <c r="T27">
        <f>'Rescale to Fit GDP Proj'!Y85</f>
        <v>0.12129388162571129</v>
      </c>
      <c r="U27">
        <f>'Rescale to Fit GDP Proj'!Z85</f>
        <v>0.1289498520768538</v>
      </c>
      <c r="V27">
        <f>'Rescale to Fit GDP Proj'!AA85</f>
        <v>0.13666707029160546</v>
      </c>
      <c r="W27">
        <f>'Rescale to Fit GDP Proj'!AB85</f>
        <v>0.14444602625207498</v>
      </c>
      <c r="X27">
        <f>'Rescale to Fit GDP Proj'!AC85</f>
        <v>0.15228721386022842</v>
      </c>
      <c r="Y27">
        <f>'Rescale to Fit GDP Proj'!AD85</f>
        <v>0.16019113096924703</v>
      </c>
      <c r="Z27">
        <f>'Rescale to Fit GDP Proj'!AE85</f>
        <v>0.16815827941513767</v>
      </c>
      <c r="AA27">
        <f>'Rescale to Fit GDP Proj'!AF85</f>
        <v>0.17618916504859544</v>
      </c>
      <c r="AB27">
        <f>'Rescale to Fit GDP Proj'!AG85</f>
        <v>0.18428429776712107</v>
      </c>
      <c r="AC27">
        <f>'Rescale to Fit GDP Proj'!AH85</f>
        <v>0.19244419154739478</v>
      </c>
      <c r="AD27">
        <f>'Rescale to Fit GDP Proj'!AI85</f>
        <v>0.20066936447791067</v>
      </c>
      <c r="AE27">
        <f>'Rescale to Fit GDP Proj'!AJ85</f>
        <v>0.20896033879187068</v>
      </c>
      <c r="AF27">
        <f>'Rescale to Fit GDP Proj'!AK85</f>
        <v>0.21731764090034231</v>
      </c>
    </row>
    <row r="28" spans="1:32" x14ac:dyDescent="0.25">
      <c r="A28" s="2" t="s">
        <v>48</v>
      </c>
      <c r="B28">
        <f>'Rescale to Fit GDP Proj'!G86</f>
        <v>6.3050375713841325E-2</v>
      </c>
      <c r="C28">
        <f>'Rescale to Fit GDP Proj'!H86</f>
        <v>7.6441933635938167E-2</v>
      </c>
      <c r="D28">
        <f>'Rescale to Fit GDP Proj'!I86</f>
        <v>9.025809768021939E-2</v>
      </c>
      <c r="E28">
        <f>'Rescale to Fit GDP Proj'!J86</f>
        <v>0.10451201276658049</v>
      </c>
      <c r="F28">
        <f>'Rescale to Fit GDP Proj'!K86</f>
        <v>0.119217343718884</v>
      </c>
      <c r="G28">
        <f>'Rescale to Fit GDP Proj'!L86</f>
        <v>0.13438829649868303</v>
      </c>
      <c r="H28">
        <f>'Rescale to Fit GDP Proj'!M86</f>
        <v>0.15003964042295329</v>
      </c>
      <c r="I28">
        <f>'Rescale to Fit GDP Proj'!N86</f>
        <v>0.16618673141338886</v>
      </c>
      <c r="J28">
        <f>'Rescale to Fit GDP Proj'!O86</f>
        <v>0.18259832217172589</v>
      </c>
      <c r="K28">
        <f>'Rescale to Fit GDP Proj'!P86</f>
        <v>0.19927874537480753</v>
      </c>
      <c r="L28">
        <f>'Rescale to Fit GDP Proj'!Q86</f>
        <v>0.21623240467151889</v>
      </c>
      <c r="M28">
        <f>'Rescale to Fit GDP Proj'!R86</f>
        <v>0.23346377584535513</v>
      </c>
      <c r="N28">
        <f>'Rescale to Fit GDP Proj'!S86</f>
        <v>0.25097740799603252</v>
      </c>
      <c r="O28">
        <f>'Rescale to Fit GDP Proj'!T86</f>
        <v>0.26877792474045548</v>
      </c>
      <c r="P28">
        <f>'Rescale to Fit GDP Proj'!U86</f>
        <v>0.28687002543335638</v>
      </c>
      <c r="Q28">
        <f>'Rescale to Fit GDP Proj'!V86</f>
        <v>0.30525848640793002</v>
      </c>
      <c r="R28">
        <f>'Rescale to Fit GDP Proj'!W86</f>
        <v>0.3239481622367904</v>
      </c>
      <c r="S28">
        <f>'Rescale to Fit GDP Proj'!X86</f>
        <v>0.34294398701358292</v>
      </c>
      <c r="T28">
        <f>'Rescale to Fit GDP Proj'!Y86</f>
        <v>0.36225097565559022</v>
      </c>
      <c r="U28">
        <f>'Rescale to Fit GDP Proj'!Z86</f>
        <v>0.38187422522767522</v>
      </c>
      <c r="V28">
        <f>'Rescale to Fit GDP Proj'!AA86</f>
        <v>0.40181891628791205</v>
      </c>
      <c r="W28">
        <f>'Rescale to Fit GDP Proj'!AB86</f>
        <v>0.42209031425525811</v>
      </c>
      <c r="X28">
        <f>'Rescale to Fit GDP Proj'!AC86</f>
        <v>0.44269377079963068</v>
      </c>
      <c r="Y28">
        <f>'Rescale to Fit GDP Proj'!AD86</f>
        <v>0.46363472525475258</v>
      </c>
      <c r="Z28">
        <f>'Rescale to Fit GDP Proj'!AE86</f>
        <v>0.4849187060541425</v>
      </c>
      <c r="AA28">
        <f>'Rescale to Fit GDP Proj'!AF86</f>
        <v>0.50655133219062709</v>
      </c>
      <c r="AB28">
        <f>'Rescale to Fit GDP Proj'!AG86</f>
        <v>0.52853831469976009</v>
      </c>
      <c r="AC28">
        <f>'Rescale to Fit GDP Proj'!AH86</f>
        <v>0.55088545816754286</v>
      </c>
      <c r="AD28">
        <f>'Rescale to Fit GDP Proj'!AI86</f>
        <v>0.57359866226283984</v>
      </c>
      <c r="AE28">
        <f>'Rescale to Fit GDP Proj'!AJ86</f>
        <v>0.59668392329489783</v>
      </c>
      <c r="AF28">
        <f>'Rescale to Fit GDP Proj'!AK86</f>
        <v>0.62014733579637782</v>
      </c>
    </row>
    <row r="29" spans="1:32" x14ac:dyDescent="0.25">
      <c r="A29" s="2" t="s">
        <v>19</v>
      </c>
      <c r="B29">
        <f>'Rescale to Fit GDP Proj'!G87</f>
        <v>8.6980579605946726E-2</v>
      </c>
      <c r="C29">
        <f>'Rescale to Fit GDP Proj'!H87</f>
        <v>0.10372068554242911</v>
      </c>
      <c r="D29">
        <f>'Rescale to Fit GDP Proj'!I87</f>
        <v>0.11901986191032699</v>
      </c>
      <c r="E29">
        <f>'Rescale to Fit GDP Proj'!J87</f>
        <v>0.13279514061810116</v>
      </c>
      <c r="F29">
        <f>'Rescale to Fit GDP Proj'!K87</f>
        <v>0.14497053858294376</v>
      </c>
      <c r="G29">
        <f>'Rescale to Fit GDP Proj'!L87</f>
        <v>0.15547774890455124</v>
      </c>
      <c r="H29">
        <f>'Rescale to Fit GDP Proj'!M87</f>
        <v>0.16425677329992863</v>
      </c>
      <c r="I29">
        <f>'Rescale to Fit GDP Proj'!N87</f>
        <v>0.17125648768639767</v>
      </c>
      <c r="J29">
        <f>'Rescale to Fit GDP Proj'!O87</f>
        <v>0.17830520007357209</v>
      </c>
      <c r="K29">
        <f>'Rescale to Fit GDP Proj'!P87</f>
        <v>0.18540325344745662</v>
      </c>
      <c r="L29">
        <f>'Rescale to Fit GDP Proj'!Q87</f>
        <v>0.19255099319495844</v>
      </c>
      <c r="M29">
        <f>'Rescale to Fit GDP Proj'!R87</f>
        <v>0.19974876712069267</v>
      </c>
      <c r="N29">
        <f>'Rescale to Fit GDP Proj'!S87</f>
        <v>0.20699692546390699</v>
      </c>
      <c r="O29">
        <f>'Rescale to Fit GDP Proj'!T87</f>
        <v>0.21429582091552396</v>
      </c>
      <c r="P29">
        <f>'Rescale to Fit GDP Proj'!U87</f>
        <v>0.22164580863530212</v>
      </c>
      <c r="Q29">
        <f>'Rescale to Fit GDP Proj'!V87</f>
        <v>0.22904724626911882</v>
      </c>
      <c r="R29">
        <f>'Rescale to Fit GDP Proj'!W87</f>
        <v>0.23650049396637218</v>
      </c>
      <c r="S29">
        <f>'Rescale to Fit GDP Proj'!X87</f>
        <v>0.24400591439750627</v>
      </c>
      <c r="T29">
        <f>'Rescale to Fit GDP Proj'!Y87</f>
        <v>0.25156387277165831</v>
      </c>
      <c r="U29">
        <f>'Rescale to Fit GDP Proj'!Z87</f>
        <v>0.25917473685442938</v>
      </c>
      <c r="V29">
        <f>'Rescale to Fit GDP Proj'!AA87</f>
        <v>0.2668388769857799</v>
      </c>
      <c r="W29">
        <f>'Rescale to Fit GDP Proj'!AB87</f>
        <v>0.27455666609804991</v>
      </c>
      <c r="X29">
        <f>'Rescale to Fit GDP Proj'!AC87</f>
        <v>0.28232847973410585</v>
      </c>
      <c r="Y29">
        <f>'Rescale to Fit GDP Proj'!AD87</f>
        <v>0.29015469606561417</v>
      </c>
      <c r="Z29">
        <f>'Rescale to Fit GDP Proj'!AE87</f>
        <v>0.29803569591144302</v>
      </c>
      <c r="AA29">
        <f>'Rescale to Fit GDP Proj'!AF87</f>
        <v>0.30597186275619276</v>
      </c>
      <c r="AB29">
        <f>'Rescale to Fit GDP Proj'!AG87</f>
        <v>0.31396358276885566</v>
      </c>
      <c r="AC29">
        <f>'Rescale to Fit GDP Proj'!AH87</f>
        <v>0.32201124482160726</v>
      </c>
      <c r="AD29">
        <f>'Rescale to Fit GDP Proj'!AI87</f>
        <v>0.33011524050872815</v>
      </c>
      <c r="AE29">
        <f>'Rescale to Fit GDP Proj'!AJ87</f>
        <v>0.3382759641656588</v>
      </c>
      <c r="AF29">
        <f>'Rescale to Fit GDP Proj'!AK87</f>
        <v>0.34649381288818792</v>
      </c>
    </row>
    <row r="30" spans="1:32" x14ac:dyDescent="0.25">
      <c r="A30" s="2" t="s">
        <v>20</v>
      </c>
      <c r="B30">
        <f>'Rescale to Fit GDP Proj'!G88</f>
        <v>0.18612761435889574</v>
      </c>
      <c r="C30">
        <f>'Rescale to Fit GDP Proj'!H88</f>
        <v>0.22572093247466574</v>
      </c>
      <c r="D30">
        <f>'Rescale to Fit GDP Proj'!I88</f>
        <v>0.26442016470113272</v>
      </c>
      <c r="E30">
        <f>'Rescale to Fit GDP Proj'!J88</f>
        <v>0.30201360241876968</v>
      </c>
      <c r="F30">
        <f>'Rescale to Fit GDP Proj'!K88</f>
        <v>0.33828892304069597</v>
      </c>
      <c r="G30">
        <f>'Rescale to Fit GDP Proj'!L88</f>
        <v>0.37303510915106597</v>
      </c>
      <c r="H30">
        <f>'Rescale to Fit GDP Proj'!M88</f>
        <v>0.40604442707594479</v>
      </c>
      <c r="I30">
        <f>'Rescale to Fit GDP Proj'!N88</f>
        <v>0.43711444003117927</v>
      </c>
      <c r="J30">
        <f>'Rescale to Fit GDP Proj'!O88</f>
        <v>0.46896186241056947</v>
      </c>
      <c r="K30">
        <f>'Rescale to Fit GDP Proj'!P88</f>
        <v>0.50160614594120778</v>
      </c>
      <c r="L30">
        <f>'Rescale to Fit GDP Proj'!Q88</f>
        <v>0.53506722905600113</v>
      </c>
      <c r="M30">
        <f>'Rescale to Fit GDP Proj'!R88</f>
        <v>0.56936554907164105</v>
      </c>
      <c r="N30">
        <f>'Rescale to Fit GDP Proj'!S88</f>
        <v>0.60452205467128051</v>
      </c>
      <c r="O30">
        <f>'Rescale to Fit GDP Proj'!T88</f>
        <v>0.64055821869954432</v>
      </c>
      <c r="P30">
        <f>'Rescale to Fit GDP Proj'!U88</f>
        <v>0.67749605127768486</v>
      </c>
      <c r="Q30">
        <f>'Rescale to Fit GDP Proj'!V88</f>
        <v>0.71535811324689469</v>
      </c>
      <c r="R30">
        <f>'Rescale to Fit GDP Proj'!W88</f>
        <v>0.7541675299479883</v>
      </c>
      <c r="S30">
        <f>'Rescale to Fit GDP Proj'!X88</f>
        <v>0.79394800534586729</v>
      </c>
      <c r="T30">
        <f>'Rescale to Fit GDP Proj'!Y88</f>
        <v>0.83472383650739723</v>
      </c>
      <c r="U30">
        <f>'Rescale to Fit GDP Proj'!Z88</f>
        <v>0.8765199284415387</v>
      </c>
      <c r="V30">
        <f>'Rescale to Fit GDP Proj'!AA88</f>
        <v>0.91936180931079547</v>
      </c>
      <c r="W30">
        <f>'Rescale to Fit GDP Proj'!AB88</f>
        <v>0.96327564602327331</v>
      </c>
      <c r="X30">
        <f>'Rescale to Fit GDP Proj'!AC88</f>
        <v>1.0082882602148693</v>
      </c>
      <c r="Y30">
        <f>'Rescale to Fit GDP Proj'!AD88</f>
        <v>1.0544271446313551</v>
      </c>
      <c r="Z30">
        <f>'Rescale to Fit GDP Proj'!AE88</f>
        <v>1.1017204799203619</v>
      </c>
      <c r="AA30">
        <f>'Rescale to Fit GDP Proj'!AF88</f>
        <v>1.1501971518435183</v>
      </c>
      <c r="AB30">
        <f>'Rescale to Fit GDP Proj'!AG88</f>
        <v>1.1998867689192583</v>
      </c>
      <c r="AC30">
        <f>'Rescale to Fit GDP Proj'!AH88</f>
        <v>1.2508196805070741</v>
      </c>
      <c r="AD30">
        <f>'Rescale to Fit GDP Proj'!AI88</f>
        <v>1.3030269953442579</v>
      </c>
      <c r="AE30">
        <f>'Rescale to Fit GDP Proj'!AJ88</f>
        <v>1.3565406005464558</v>
      </c>
      <c r="AF30">
        <f>'Rescale to Fit GDP Proj'!AK88</f>
        <v>1.4113931810836395</v>
      </c>
    </row>
    <row r="31" spans="1:32" x14ac:dyDescent="0.25">
      <c r="A31" s="2" t="s">
        <v>21</v>
      </c>
      <c r="B31">
        <f>'Rescale to Fit GDP Proj'!G89</f>
        <v>7.7970072473301635E-2</v>
      </c>
      <c r="C31">
        <f>'Rescale to Fit GDP Proj'!H89</f>
        <v>9.415512813870297E-2</v>
      </c>
      <c r="D31">
        <f>'Rescale to Fit GDP Proj'!I89</f>
        <v>0.11036121691791817</v>
      </c>
      <c r="E31">
        <f>'Rescale to Fit GDP Proj'!J89</f>
        <v>0.1265794507753755</v>
      </c>
      <c r="F31">
        <f>'Rescale to Fit GDP Proj'!K89</f>
        <v>0.14280077382023426</v>
      </c>
      <c r="G31">
        <f>'Rescale to Fit GDP Proj'!L89</f>
        <v>0.1590159696825387</v>
      </c>
      <c r="H31">
        <f>'Rescale to Fit GDP Proj'!M89</f>
        <v>0.17521566924928975</v>
      </c>
      <c r="I31">
        <f>'Rescale to Fit GDP Proj'!N89</f>
        <v>0.19139035875355184</v>
      </c>
      <c r="J31">
        <f>'Rescale to Fit GDP Proj'!O89</f>
        <v>0.20782384328988213</v>
      </c>
      <c r="K31">
        <f>'Rescale to Fit GDP Proj'!P89</f>
        <v>0.22452026357879368</v>
      </c>
      <c r="L31">
        <f>'Rescale to Fit GDP Proj'!Q89</f>
        <v>0.24148382659232781</v>
      </c>
      <c r="M31">
        <f>'Rescale to Fit GDP Proj'!R89</f>
        <v>0.25871880661407859</v>
      </c>
      <c r="N31">
        <f>'Rescale to Fit GDP Proj'!S89</f>
        <v>0.27622954631617735</v>
      </c>
      <c r="O31">
        <f>'Rescale to Fit GDP Proj'!T89</f>
        <v>0.29402045785350961</v>
      </c>
      <c r="P31">
        <f>'Rescale to Fit GDP Proj'!U89</f>
        <v>0.31209602397543929</v>
      </c>
      <c r="Q31">
        <f>'Rescale to Fit GDP Proj'!V89</f>
        <v>0.33046079915531984</v>
      </c>
      <c r="R31">
        <f>'Rescale to Fit GDP Proj'!W89</f>
        <v>0.3491194107380784</v>
      </c>
      <c r="S31">
        <f>'Rescale to Fit GDP Proj'!X89</f>
        <v>0.36807656010616124</v>
      </c>
      <c r="T31">
        <f>'Rescale to Fit GDP Proj'!Y89</f>
        <v>0.38733702386413343</v>
      </c>
      <c r="U31">
        <f>'Rescale to Fit GDP Proj'!Z89</f>
        <v>0.40690565504223308</v>
      </c>
      <c r="V31">
        <f>'Rescale to Fit GDP Proj'!AA89</f>
        <v>0.42678738431918228</v>
      </c>
      <c r="W31">
        <f>'Rescale to Fit GDP Proj'!AB89</f>
        <v>0.44698722126456264</v>
      </c>
      <c r="X31">
        <f>'Rescale to Fit GDP Proj'!AC89</f>
        <v>0.46751025560106929</v>
      </c>
      <c r="Y31">
        <f>'Rescale to Fit GDP Proj'!AD89</f>
        <v>0.48836165848695989</v>
      </c>
      <c r="Z31">
        <f>'Rescale to Fit GDP Proj'!AE89</f>
        <v>0.50954668381902479</v>
      </c>
      <c r="AA31">
        <f>'Rescale to Fit GDP Proj'!AF89</f>
        <v>0.53107066955640259</v>
      </c>
      <c r="AB31">
        <f>'Rescale to Fit GDP Proj'!AG89</f>
        <v>0.55293903906557862</v>
      </c>
      <c r="AC31">
        <f>'Rescale to Fit GDP Proj'!AH89</f>
        <v>0.57515730248690133</v>
      </c>
      <c r="AD31">
        <f>'Rescale to Fit GDP Proj'!AI89</f>
        <v>0.59773105812296523</v>
      </c>
      <c r="AE31">
        <f>'Rescale to Fit GDP Proj'!AJ89</f>
        <v>0.62066599384920618</v>
      </c>
      <c r="AF31">
        <f>'Rescale to Fit GDP Proj'!AK89</f>
        <v>0.64396788854706699</v>
      </c>
    </row>
    <row r="32" spans="1:32" x14ac:dyDescent="0.25">
      <c r="A32" s="2" t="s">
        <v>22</v>
      </c>
      <c r="B32">
        <f>'Rescale to Fit GDP Proj'!G90</f>
        <v>0.13781782311941948</v>
      </c>
      <c r="C32">
        <f>'Rescale to Fit GDP Proj'!H90</f>
        <v>0.16660620759263492</v>
      </c>
      <c r="D32">
        <f>'Rescale to Fit GDP Proj'!I90</f>
        <v>0.19481403624618748</v>
      </c>
      <c r="E32">
        <f>'Rescale to Fit GDP Proj'!J90</f>
        <v>0.22234354741897083</v>
      </c>
      <c r="F32">
        <f>'Rescale to Fit GDP Proj'!K90</f>
        <v>0.24909699557281853</v>
      </c>
      <c r="G32">
        <f>'Rescale to Fit GDP Proj'!L90</f>
        <v>0.27497721031521344</v>
      </c>
      <c r="H32">
        <f>'Rescale to Fit GDP Proj'!M90</f>
        <v>0.29988816784491668</v>
      </c>
      <c r="I32">
        <f>'Rescale to Fit GDP Proj'!N90</f>
        <v>0.32373557028976868</v>
      </c>
      <c r="J32">
        <f>'Rescale to Fit GDP Proj'!O90</f>
        <v>0.34808376818596265</v>
      </c>
      <c r="K32">
        <f>'Rescale to Fit GDP Proj'!P90</f>
        <v>0.37294327823797679</v>
      </c>
      <c r="L32">
        <f>'Rescale to Fit GDP Proj'!Q90</f>
        <v>0.39832483800108315</v>
      </c>
      <c r="M32">
        <f>'Rescale to Fit GDP Proj'!R90</f>
        <v>0.42423941051921477</v>
      </c>
      <c r="N32">
        <f>'Rescale to Fit GDP Proj'!S90</f>
        <v>0.45069818906022707</v>
      </c>
      <c r="O32">
        <f>'Rescale to Fit GDP Proj'!T90</f>
        <v>0.47771260195060067</v>
      </c>
      <c r="P32">
        <f>'Rescale to Fit GDP Proj'!U90</f>
        <v>0.50529431751167209</v>
      </c>
      <c r="Q32">
        <f>'Rescale to Fit GDP Proj'!V90</f>
        <v>0.53345524909952602</v>
      </c>
      <c r="R32">
        <f>'Rescale to Fit GDP Proj'!W90</f>
        <v>0.56220756025072494</v>
      </c>
      <c r="S32">
        <f>'Rescale to Fit GDP Proj'!X90</f>
        <v>0.59156366993609888</v>
      </c>
      <c r="T32">
        <f>'Rescale to Fit GDP Proj'!Y90</f>
        <v>0.62153625792486578</v>
      </c>
      <c r="U32">
        <f>'Rescale to Fit GDP Proj'!Z90</f>
        <v>0.65213827026139681</v>
      </c>
      <c r="V32">
        <f>'Rescale to Fit GDP Proj'!AA90</f>
        <v>0.68338292485699503</v>
      </c>
      <c r="W32">
        <f>'Rescale to Fit GDP Proj'!AB90</f>
        <v>0.71528371719910078</v>
      </c>
      <c r="X32">
        <f>'Rescale to Fit GDP Proj'!AC90</f>
        <v>0.74785442618039066</v>
      </c>
      <c r="Y32">
        <f>'Rescale to Fit GDP Proj'!AD90</f>
        <v>0.78110912005028765</v>
      </c>
      <c r="Z32">
        <f>'Rescale to Fit GDP Proj'!AE90</f>
        <v>0.81506216249145247</v>
      </c>
      <c r="AA32">
        <f>'Rescale to Fit GDP Proj'!AF90</f>
        <v>0.84972821882388183</v>
      </c>
      <c r="AB32">
        <f>'Rescale to Fit GDP Proj'!AG90</f>
        <v>0.88512226233929236</v>
      </c>
      <c r="AC32">
        <f>'Rescale to Fit GDP Proj'!AH90</f>
        <v>0.92125958076852621</v>
      </c>
      <c r="AD32">
        <f>'Rescale to Fit GDP Proj'!AI90</f>
        <v>0.9581557828847741</v>
      </c>
      <c r="AE32">
        <f>'Rescale to Fit GDP Proj'!AJ90</f>
        <v>0.99582680524546319</v>
      </c>
      <c r="AF32">
        <f>'Rescale to Fit GDP Proj'!AK90</f>
        <v>1.034288919075727</v>
      </c>
    </row>
    <row r="33" spans="1:32" x14ac:dyDescent="0.25">
      <c r="A33" s="2" t="s">
        <v>23</v>
      </c>
      <c r="B33">
        <f>'Rescale to Fit GDP Proj'!G91</f>
        <v>9.8045344639131587E-2</v>
      </c>
      <c r="C33">
        <f>'Rescale to Fit GDP Proj'!H91</f>
        <v>0.11952262391650591</v>
      </c>
      <c r="D33">
        <f>'Rescale to Fit GDP Proj'!I91</f>
        <v>0.14203499376150919</v>
      </c>
      <c r="E33">
        <f>'Rescale to Fit GDP Proj'!J91</f>
        <v>0.16563176676885574</v>
      </c>
      <c r="F33">
        <f>'Rescale to Fit GDP Proj'!K91</f>
        <v>0.19036523256413254</v>
      </c>
      <c r="G33">
        <f>'Rescale to Fit GDP Proj'!L91</f>
        <v>0.2162908447570191</v>
      </c>
      <c r="H33">
        <f>'Rescale to Fit GDP Proj'!M91</f>
        <v>0.24346742115586242</v>
      </c>
      <c r="I33">
        <f>'Rescale to Fit GDP Proj'!N91</f>
        <v>0.27195735822909761</v>
      </c>
      <c r="J33">
        <f>'Rescale to Fit GDP Proj'!O91</f>
        <v>0.3011994257640051</v>
      </c>
      <c r="K33">
        <f>'Rescale to Fit GDP Proj'!P91</f>
        <v>0.33121347990241934</v>
      </c>
      <c r="L33">
        <f>'Rescale to Fit GDP Proj'!Q91</f>
        <v>0.36201990098561665</v>
      </c>
      <c r="M33">
        <f>'Rescale to Fit GDP Proj'!R91</f>
        <v>0.39363960739310988</v>
      </c>
      <c r="N33">
        <f>'Rescale to Fit GDP Proj'!S91</f>
        <v>0.42609406974678432</v>
      </c>
      <c r="O33">
        <f>'Rescale to Fit GDP Proj'!T91</f>
        <v>0.45940532549002133</v>
      </c>
      <c r="P33">
        <f>'Rescale to Fit GDP Proj'!U91</f>
        <v>0.49359599385170816</v>
      </c>
      <c r="Q33">
        <f>'Rescale to Fit GDP Proj'!V91</f>
        <v>0.52868929120529673</v>
      </c>
      <c r="R33">
        <f>'Rescale to Fit GDP Proj'!W91</f>
        <v>0.56470904683333889</v>
      </c>
      <c r="S33">
        <f>'Rescale to Fit GDP Proj'!X91</f>
        <v>0.60167971910820284</v>
      </c>
      <c r="T33">
        <f>'Rescale to Fit GDP Proj'!Y91</f>
        <v>0.63962641209995896</v>
      </c>
      <c r="U33">
        <f>'Rescale to Fit GDP Proj'!Z91</f>
        <v>0.67857489262271109</v>
      </c>
      <c r="V33">
        <f>'Rescale to Fit GDP Proj'!AA91</f>
        <v>0.71855160773094895</v>
      </c>
      <c r="W33">
        <f>'Rescale to Fit GDP Proj'!AB91</f>
        <v>0.75958370267780173</v>
      </c>
      <c r="X33">
        <f>'Rescale to Fit GDP Proj'!AC91</f>
        <v>0.8016990393473874</v>
      </c>
      <c r="Y33">
        <f>'Rescale to Fit GDP Proj'!AD91</f>
        <v>0.84492621517377287</v>
      </c>
      <c r="Z33">
        <f>'Rescale to Fit GDP Proj'!AE91</f>
        <v>0.88929458255939231</v>
      </c>
      <c r="AA33">
        <f>'Rescale to Fit GDP Proj'!AF91</f>
        <v>0.93483426880611042</v>
      </c>
      <c r="AB33">
        <f>'Rescale to Fit GDP Proj'!AG91</f>
        <v>0.98157619657246109</v>
      </c>
      <c r="AC33">
        <f>'Rescale to Fit GDP Proj'!AH91</f>
        <v>1.0295521048709551</v>
      </c>
      <c r="AD33">
        <f>'Rescale to Fit GDP Proj'!AI91</f>
        <v>1.0787945706197144</v>
      </c>
      <c r="AE33">
        <f>'Rescale to Fit GDP Proj'!AJ91</f>
        <v>1.1293370307630659</v>
      </c>
      <c r="AF33">
        <f>'Rescale to Fit GDP Proj'!AK91</f>
        <v>1.1812138049761174</v>
      </c>
    </row>
    <row r="34" spans="1:32" x14ac:dyDescent="0.25">
      <c r="A34" s="2" t="s">
        <v>24</v>
      </c>
      <c r="B34">
        <f>'Rescale to Fit GDP Proj'!G92</f>
        <v>0.16647691228156436</v>
      </c>
      <c r="C34">
        <f>'Rescale to Fit GDP Proj'!H92</f>
        <v>0.20112368364810351</v>
      </c>
      <c r="D34">
        <f>'Rescale to Fit GDP Proj'!I92</f>
        <v>0.2344502371328776</v>
      </c>
      <c r="E34">
        <f>'Rescale to Fit GDP Proj'!J92</f>
        <v>0.26624905908647684</v>
      </c>
      <c r="F34">
        <f>'Rescale to Fit GDP Proj'!K92</f>
        <v>0.29631659243162434</v>
      </c>
      <c r="G34">
        <f>'Rescale to Fit GDP Proj'!L92</f>
        <v>0.32445535085913541</v>
      </c>
      <c r="H34">
        <f>'Rescale to Fit GDP Proj'!M92</f>
        <v>0.35047603239818081</v>
      </c>
      <c r="I34">
        <f>'Rescale to Fit GDP Proj'!N92</f>
        <v>0.3741996015414864</v>
      </c>
      <c r="J34">
        <f>'Rescale to Fit GDP Proj'!O92</f>
        <v>0.39839764206765815</v>
      </c>
      <c r="K34">
        <f>'Rescale to Fit GDP Proj'!P92</f>
        <v>0.42307964340435328</v>
      </c>
      <c r="L34">
        <f>'Rescale to Fit GDP Proj'!Q92</f>
        <v>0.4482552847677822</v>
      </c>
      <c r="M34">
        <f>'Rescale to Fit GDP Proj'!R92</f>
        <v>0.47393443895847975</v>
      </c>
      <c r="N34">
        <f>'Rescale to Fit GDP Proj'!S92</f>
        <v>0.50012717623299119</v>
      </c>
      <c r="O34">
        <f>'Rescale to Fit GDP Proj'!T92</f>
        <v>0.52684376825299284</v>
      </c>
      <c r="P34">
        <f>'Rescale to Fit GDP Proj'!U92</f>
        <v>0.55409469211339468</v>
      </c>
      <c r="Q34">
        <f>'Rescale to Fit GDP Proj'!V92</f>
        <v>0.58189063445100442</v>
      </c>
      <c r="R34">
        <f>'Rescale to Fit GDP Proj'!W92</f>
        <v>0.61024249563536648</v>
      </c>
      <c r="S34">
        <f>'Rescale to Fit GDP Proj'!X92</f>
        <v>0.63916139404341565</v>
      </c>
      <c r="T34">
        <f>'Rescale to Fit GDP Proj'!Y92</f>
        <v>0.66865867041962579</v>
      </c>
      <c r="U34">
        <f>'Rescale to Fit GDP Proj'!Z92</f>
        <v>0.69874589232336015</v>
      </c>
      <c r="V34">
        <f>'Rescale to Fit GDP Proj'!AA92</f>
        <v>0.72943485866516933</v>
      </c>
      <c r="W34">
        <f>'Rescale to Fit GDP Proj'!AB92</f>
        <v>0.76073760433381477</v>
      </c>
      <c r="X34">
        <f>'Rescale to Fit GDP Proj'!AC92</f>
        <v>0.79266640491583296</v>
      </c>
      <c r="Y34">
        <f>'Rescale to Fit GDP Proj'!AD92</f>
        <v>0.82523378150949145</v>
      </c>
      <c r="Z34">
        <f>'Rescale to Fit GDP Proj'!AE92</f>
        <v>0.85845250563502318</v>
      </c>
      <c r="AA34">
        <f>'Rescale to Fit GDP Proj'!AF92</f>
        <v>0.89233560424306568</v>
      </c>
      <c r="AB34">
        <f>'Rescale to Fit GDP Proj'!AG92</f>
        <v>0.92689636482326898</v>
      </c>
      <c r="AC34">
        <f>'Rescale to Fit GDP Proj'!AH92</f>
        <v>0.96214834061507637</v>
      </c>
      <c r="AD34">
        <f>'Rescale to Fit GDP Proj'!AI92</f>
        <v>0.99810535592271976</v>
      </c>
      <c r="AE34">
        <f>'Rescale to Fit GDP Proj'!AJ92</f>
        <v>1.034781511536516</v>
      </c>
      <c r="AF34">
        <f>'Rescale to Fit GDP Proj'!AK92</f>
        <v>1.0721911902625885</v>
      </c>
    </row>
    <row r="35" spans="1:32" x14ac:dyDescent="0.25">
      <c r="A35" s="2" t="s">
        <v>25</v>
      </c>
      <c r="B35">
        <f>'Rescale to Fit GDP Proj'!G93</f>
        <v>0.7205411839850262</v>
      </c>
      <c r="C35">
        <f>'Rescale to Fit GDP Proj'!H93</f>
        <v>0.90546586387696726</v>
      </c>
      <c r="D35">
        <f>'Rescale to Fit GDP Proj'!I93</f>
        <v>1.0887086841864801</v>
      </c>
      <c r="E35">
        <f>'Rescale to Fit GDP Proj'!J93</f>
        <v>1.2650906141106404</v>
      </c>
      <c r="F35">
        <f>'Rescale to Fit GDP Proj'!K93</f>
        <v>1.4290968531888049</v>
      </c>
      <c r="G35">
        <f>'Rescale to Fit GDP Proj'!L93</f>
        <v>1.5751366352732432</v>
      </c>
      <c r="H35">
        <f>'Rescale to Fit GDP Proj'!M93</f>
        <v>1.6978390648384074</v>
      </c>
      <c r="I35">
        <f>'Rescale to Fit GDP Proj'!N93</f>
        <v>1.7923651513609771</v>
      </c>
      <c r="J35">
        <f>'Rescale to Fit GDP Proj'!O93</f>
        <v>1.8904179932455296</v>
      </c>
      <c r="K35">
        <f>'Rescale to Fit GDP Proj'!P93</f>
        <v>1.992129173252347</v>
      </c>
      <c r="L35">
        <f>'Rescale to Fit GDP Proj'!Q93</f>
        <v>2.0976351834765032</v>
      </c>
      <c r="M35">
        <f>'Rescale to Fit GDP Proj'!R93</f>
        <v>2.2070776085144752</v>
      </c>
      <c r="N35">
        <f>'Rescale to Fit GDP Proj'!S93</f>
        <v>2.3206033154646732</v>
      </c>
      <c r="O35">
        <f>'Rescale to Fit GDP Proj'!T93</f>
        <v>2.4383646510168639</v>
      </c>
      <c r="P35">
        <f>'Rescale to Fit GDP Proj'!U93</f>
        <v>2.560519645894979</v>
      </c>
      <c r="Q35">
        <f>'Rescale to Fit GDP Proj'!V93</f>
        <v>2.6872322269276476</v>
      </c>
      <c r="R35">
        <f>'Rescale to Fit GDP Proj'!W93</f>
        <v>2.8186724370310587</v>
      </c>
      <c r="S35">
        <f>'Rescale to Fit GDP Proj'!X93</f>
        <v>2.955016663399352</v>
      </c>
      <c r="T35">
        <f>'Rescale to Fit GDP Proj'!Y93</f>
        <v>3.0964478742087609</v>
      </c>
      <c r="U35">
        <f>'Rescale to Fit GDP Proj'!Z93</f>
        <v>3.2431558641531515</v>
      </c>
      <c r="V35">
        <f>'Rescale to Fit GDP Proj'!AA93</f>
        <v>3.3953375091404658</v>
      </c>
      <c r="W35">
        <f>'Rescale to Fit GDP Proj'!AB93</f>
        <v>3.5531970304918485</v>
      </c>
      <c r="X35">
        <f>'Rescale to Fit GDP Proj'!AC93</f>
        <v>3.7169462689980093</v>
      </c>
      <c r="Y35">
        <f>'Rescale to Fit GDP Proj'!AD93</f>
        <v>3.886804969200591</v>
      </c>
      <c r="Z35">
        <f>'Rescale to Fit GDP Proj'!AE93</f>
        <v>4.0630010742800362</v>
      </c>
      <c r="AA35">
        <f>'Rescale to Fit GDP Proj'!AF93</f>
        <v>4.2457710319456776</v>
      </c>
      <c r="AB35">
        <f>'Rescale to Fit GDP Proj'!AG93</f>
        <v>4.435360111738551</v>
      </c>
      <c r="AC35">
        <f>'Rescale to Fit GDP Proj'!AH93</f>
        <v>4.632022734172728</v>
      </c>
      <c r="AD35">
        <f>'Rescale to Fit GDP Proj'!AI93</f>
        <v>4.8360228121568678</v>
      </c>
      <c r="AE35">
        <f>'Rescale to Fit GDP Proj'!AJ93</f>
        <v>5.0476341051541649</v>
      </c>
      <c r="AF35">
        <f>'Rescale to Fit GDP Proj'!AK93</f>
        <v>5.2671405865559464</v>
      </c>
    </row>
    <row r="36" spans="1:32" x14ac:dyDescent="0.25">
      <c r="A36" s="2" t="s">
        <v>26</v>
      </c>
      <c r="B36">
        <f>'Rescale to Fit GDP Proj'!G94</f>
        <v>4.698601780761838E-2</v>
      </c>
      <c r="C36">
        <f>'Rescale to Fit GDP Proj'!H94</f>
        <v>5.7073885722757949E-2</v>
      </c>
      <c r="D36">
        <f>'Rescale to Fit GDP Proj'!I94</f>
        <v>6.765966197570901E-2</v>
      </c>
      <c r="E36">
        <f>'Rescale to Fit GDP Proj'!J94</f>
        <v>7.875811046997773E-2</v>
      </c>
      <c r="F36">
        <f>'Rescale to Fit GDP Proj'!K94</f>
        <v>9.0384822989420452E-2</v>
      </c>
      <c r="G36">
        <f>'Rescale to Fit GDP Proj'!L94</f>
        <v>0.10255625538850596</v>
      </c>
      <c r="H36">
        <f>'Rescale to Fit GDP Proj'!M94</f>
        <v>0.11528976604776059</v>
      </c>
      <c r="I36">
        <f>'Rescale to Fit GDP Proj'!N94</f>
        <v>0.1286036567191686</v>
      </c>
      <c r="J36">
        <f>'Rescale to Fit GDP Proj'!O94</f>
        <v>0.14210394185997635</v>
      </c>
      <c r="K36">
        <f>'Rescale to Fit GDP Proj'!P94</f>
        <v>0.15579323099275527</v>
      </c>
      <c r="L36">
        <f>'Rescale to Fit GDP Proj'!Q94</f>
        <v>0.16967417017339312</v>
      </c>
      <c r="M36">
        <f>'Rescale to Fit GDP Proj'!R94</f>
        <v>0.18374944250255998</v>
      </c>
      <c r="N36">
        <f>'Rescale to Fit GDP Proj'!S94</f>
        <v>0.1980217686443351</v>
      </c>
      <c r="O36">
        <f>'Rescale to Fit GDP Proj'!T94</f>
        <v>0.21249390735209511</v>
      </c>
      <c r="P36">
        <f>'Rescale to Fit GDP Proj'!U94</f>
        <v>0.22716865600176378</v>
      </c>
      <c r="Q36">
        <f>'Rescale to Fit GDP Proj'!V94</f>
        <v>0.24204885113252769</v>
      </c>
      <c r="R36">
        <f>'Rescale to Fit GDP Proj'!W94</f>
        <v>0.25713736899512246</v>
      </c>
      <c r="S36">
        <f>'Rescale to Fit GDP Proj'!X94</f>
        <v>0.27243712610779358</v>
      </c>
      <c r="T36">
        <f>'Rescale to Fit GDP Proj'!Y94</f>
        <v>0.28795107982004203</v>
      </c>
      <c r="U36">
        <f>'Rescale to Fit GDP Proj'!Z94</f>
        <v>0.30368222888426188</v>
      </c>
      <c r="V36">
        <f>'Rescale to Fit GDP Proj'!AA94</f>
        <v>0.31963361403538093</v>
      </c>
      <c r="W36">
        <f>'Rescale to Fit GDP Proj'!AB94</f>
        <v>0.33580831857861565</v>
      </c>
      <c r="X36">
        <f>'Rescale to Fit GDP Proj'!AC94</f>
        <v>0.35220946898545552</v>
      </c>
      <c r="Y36">
        <f>'Rescale to Fit GDP Proj'!AD94</f>
        <v>0.36884023549799122</v>
      </c>
      <c r="Z36">
        <f>'Rescale to Fit GDP Proj'!AE94</f>
        <v>0.38570383274170239</v>
      </c>
      <c r="AA36">
        <f>'Rescale to Fit GDP Proj'!AF94</f>
        <v>0.40280352034682548</v>
      </c>
      <c r="AB36">
        <f>'Rescale to Fit GDP Proj'!AG94</f>
        <v>0.42014260357842043</v>
      </c>
      <c r="AC36">
        <f>'Rescale to Fit GDP Proj'!AH94</f>
        <v>0.43772443397525773</v>
      </c>
      <c r="AD36">
        <f>'Rescale to Fit GDP Proj'!AI94</f>
        <v>0.45555240999765056</v>
      </c>
      <c r="AE36">
        <f>'Rescale to Fit GDP Proj'!AJ94</f>
        <v>0.47362997768435694</v>
      </c>
      <c r="AF36">
        <f>'Rescale to Fit GDP Proj'!AK94</f>
        <v>0.49196063131867734</v>
      </c>
    </row>
    <row r="37" spans="1:32" x14ac:dyDescent="0.25">
      <c r="A37" s="2" t="s">
        <v>27</v>
      </c>
      <c r="B37">
        <f>'Rescale to Fit GDP Proj'!G95</f>
        <v>0.10062949928713336</v>
      </c>
      <c r="C37">
        <f>'Rescale to Fit GDP Proj'!H95</f>
        <v>0.12163008672663536</v>
      </c>
      <c r="D37">
        <f>'Rescale to Fit GDP Proj'!I95</f>
        <v>0.1425546401921412</v>
      </c>
      <c r="E37">
        <f>'Rescale to Fit GDP Proj'!J95</f>
        <v>0.16337754057484494</v>
      </c>
      <c r="F37">
        <f>'Rescale to Fit GDP Proj'!K95</f>
        <v>0.18407276842835646</v>
      </c>
      <c r="G37">
        <f>'Rescale to Fit GDP Proj'!L95</f>
        <v>0.20461395446272213</v>
      </c>
      <c r="H37">
        <f>'Rescale to Fit GDP Proj'!M95</f>
        <v>0.22497443217050569</v>
      </c>
      <c r="I37">
        <f>'Rescale to Fit GDP Proj'!N95</f>
        <v>0.24512729245232007</v>
      </c>
      <c r="J37">
        <f>'Rescale to Fit GDP Proj'!O95</f>
        <v>0.26566305707948873</v>
      </c>
      <c r="K37">
        <f>'Rescale to Fit GDP Proj'!P95</f>
        <v>0.2865890012345737</v>
      </c>
      <c r="L37">
        <f>'Rescale to Fit GDP Proj'!Q95</f>
        <v>0.30791253832860532</v>
      </c>
      <c r="M37">
        <f>'Rescale to Fit GDP Proj'!R95</f>
        <v>0.32964122262742357</v>
      </c>
      <c r="N37">
        <f>'Rescale to Fit GDP Proj'!S95</f>
        <v>0.35178275192791925</v>
      </c>
      <c r="O37">
        <f>'Rescale to Fit GDP Proj'!T95</f>
        <v>0.37434497028512442</v>
      </c>
      <c r="P37">
        <f>'Rescale to Fit GDP Proj'!U95</f>
        <v>0.39733587079111649</v>
      </c>
      <c r="Q37">
        <f>'Rescale to Fit GDP Proj'!V95</f>
        <v>0.42076359840672228</v>
      </c>
      <c r="R37">
        <f>'Rescale to Fit GDP Proj'!W95</f>
        <v>0.44463645284702469</v>
      </c>
      <c r="S37">
        <f>'Rescale to Fit GDP Proj'!X95</f>
        <v>0.46896289152169285</v>
      </c>
      <c r="T37">
        <f>'Rescale to Fit GDP Proj'!Y95</f>
        <v>0.49375153253117965</v>
      </c>
      <c r="U37">
        <f>'Rescale to Fit GDP Proj'!Z95</f>
        <v>0.51901115771984674</v>
      </c>
      <c r="V37">
        <f>'Rescale to Fit GDP Proj'!AA95</f>
        <v>0.54475071578709855</v>
      </c>
      <c r="W37">
        <f>'Rescale to Fit GDP Proj'!AB95</f>
        <v>0.57097932545762808</v>
      </c>
      <c r="X37">
        <f>'Rescale to Fit GDP Proj'!AC95</f>
        <v>0.59770627871189774</v>
      </c>
      <c r="Y37">
        <f>'Rescale to Fit GDP Proj'!AD95</f>
        <v>0.62494104407799855</v>
      </c>
      <c r="Z37">
        <f>'Rescale to Fit GDP Proj'!AE95</f>
        <v>0.65269326998605515</v>
      </c>
      <c r="AA37">
        <f>'Rescale to Fit GDP Proj'!AF95</f>
        <v>0.68097278818636486</v>
      </c>
      <c r="AB37">
        <f>'Rescale to Fit GDP Proj'!AG95</f>
        <v>0.70978961723248046</v>
      </c>
      <c r="AC37">
        <f>'Rescale to Fit GDP Proj'!AH95</f>
        <v>0.73915396603047212</v>
      </c>
      <c r="AD37">
        <f>'Rescale to Fit GDP Proj'!AI95</f>
        <v>0.7690762374556257</v>
      </c>
      <c r="AE37">
        <f>'Rescale to Fit GDP Proj'!AJ95</f>
        <v>0.79956703203785717</v>
      </c>
      <c r="AF37">
        <f>'Rescale to Fit GDP Proj'!AK95</f>
        <v>0.83063715171715113</v>
      </c>
    </row>
    <row r="38" spans="1:32" x14ac:dyDescent="0.25">
      <c r="A38" s="2" t="s">
        <v>28</v>
      </c>
      <c r="B38">
        <f>'Rescale to Fit GDP Proj'!G96</f>
        <v>0.1432132966296448</v>
      </c>
      <c r="C38">
        <f>'Rescale to Fit GDP Proj'!H96</f>
        <v>0.17333524218736637</v>
      </c>
      <c r="D38">
        <f>'Rescale to Fit GDP Proj'!I96</f>
        <v>0.20300212546354365</v>
      </c>
      <c r="E38">
        <f>'Rescale to Fit GDP Proj'!J96</f>
        <v>0.23211868278364392</v>
      </c>
      <c r="F38">
        <f>'Rescale to Fit GDP Proj'!K96</f>
        <v>0.26058898025206217</v>
      </c>
      <c r="G38">
        <f>'Rescale to Fit GDP Proj'!L96</f>
        <v>0.28831691867735426</v>
      </c>
      <c r="H38">
        <f>'Rescale to Fit GDP Proj'!M96</f>
        <v>0.31520675516629687</v>
      </c>
      <c r="I38">
        <f>'Rescale to Fit GDP Proj'!N96</f>
        <v>0.34116363761356511</v>
      </c>
      <c r="J38">
        <f>'Rescale to Fit GDP Proj'!O96</f>
        <v>0.36770593527701956</v>
      </c>
      <c r="K38">
        <f>'Rescale to Fit GDP Proj'!P96</f>
        <v>0.39484685124358848</v>
      </c>
      <c r="L38">
        <f>'Rescale to Fit GDP Proj'!Q96</f>
        <v>0.42259988637432661</v>
      </c>
      <c r="M38">
        <f>'Rescale to Fit GDP Proj'!R96</f>
        <v>0.45097884602022503</v>
      </c>
      <c r="N38">
        <f>'Rescale to Fit GDP Proj'!S96</f>
        <v>0.47999784688948666</v>
      </c>
      <c r="O38">
        <f>'Rescale to Fit GDP Proj'!T96</f>
        <v>0.50967132406968019</v>
      </c>
      <c r="P38">
        <f>'Rescale to Fit GDP Proj'!U96</f>
        <v>0.5400140382082691</v>
      </c>
      <c r="Q38">
        <f>'Rescale to Fit GDP Proj'!V96</f>
        <v>0.57104108285508459</v>
      </c>
      <c r="R38">
        <f>'Rescale to Fit GDP Proj'!W96</f>
        <v>0.60276789197039637</v>
      </c>
      <c r="S38">
        <f>'Rescale to Fit GDP Proj'!X96</f>
        <v>0.6352102476023157</v>
      </c>
      <c r="T38">
        <f>'Rescale to Fit GDP Proj'!Y96</f>
        <v>0.66838428773735037</v>
      </c>
      <c r="U38">
        <f>'Rescale to Fit GDP Proj'!Z96</f>
        <v>0.7023065143280145</v>
      </c>
      <c r="V38">
        <f>'Rescale to Fit GDP Proj'!AA96</f>
        <v>0.73699380150149074</v>
      </c>
      <c r="W38">
        <f>'Rescale to Fit GDP Proj'!AB96</f>
        <v>0.77246340395342228</v>
      </c>
      <c r="X38">
        <f>'Rescale to Fit GDP Proj'!AC96</f>
        <v>0.80873296553101615</v>
      </c>
      <c r="Y38">
        <f>'Rescale to Fit GDP Proj'!AD96</f>
        <v>0.84582052800972218</v>
      </c>
      <c r="Z38">
        <f>'Rescale to Fit GDP Proj'!AE96</f>
        <v>0.88374454006785619</v>
      </c>
      <c r="AA38">
        <f>'Rescale to Fit GDP Proj'!AF96</f>
        <v>0.92252386646363327</v>
      </c>
      <c r="AB38">
        <f>'Rescale to Fit GDP Proj'!AG96</f>
        <v>0.96217779741917042</v>
      </c>
      <c r="AC38">
        <f>'Rescale to Fit GDP Proj'!AH96</f>
        <v>1.002726058216133</v>
      </c>
      <c r="AD38">
        <f>'Rescale to Fit GDP Proj'!AI96</f>
        <v>1.0441888190077944</v>
      </c>
      <c r="AE38">
        <f>'Rescale to Fit GDP Proj'!AJ96</f>
        <v>1.0865867048523907</v>
      </c>
      <c r="AF38">
        <f>'Rescale to Fit GDP Proj'!AK96</f>
        <v>1.1299408059727607</v>
      </c>
    </row>
    <row r="39" spans="1:32" x14ac:dyDescent="0.25">
      <c r="A39" s="2" t="s">
        <v>29</v>
      </c>
      <c r="B39">
        <f>'Rescale to Fit GDP Proj'!G97</f>
        <v>1.6087994116911929E-2</v>
      </c>
      <c r="C39">
        <f>'Rescale to Fit GDP Proj'!H97</f>
        <v>1.9796083850337653E-2</v>
      </c>
      <c r="D39">
        <f>'Rescale to Fit GDP Proj'!I97</f>
        <v>2.397580537992057E-2</v>
      </c>
      <c r="E39">
        <f>'Rescale to Fit GDP Proj'!J97</f>
        <v>2.8633662637600331E-2</v>
      </c>
      <c r="F39">
        <f>'Rescale to Fit GDP Proj'!K97</f>
        <v>3.3776951584090581E-2</v>
      </c>
      <c r="G39">
        <f>'Rescale to Fit GDP Proj'!L97</f>
        <v>3.9413779195037572E-2</v>
      </c>
      <c r="H39">
        <f>'Rescale to Fit GDP Proj'!M97</f>
        <v>4.5553084688857028E-2</v>
      </c>
      <c r="I39">
        <f>'Rescale to Fit GDP Proj'!N97</f>
        <v>5.2204663073821676E-2</v>
      </c>
      <c r="J39">
        <f>'Rescale to Fit GDP Proj'!O97</f>
        <v>5.890644652932106E-2</v>
      </c>
      <c r="K39">
        <f>'Rescale to Fit GDP Proj'!P97</f>
        <v>6.5658813995354323E-2</v>
      </c>
      <c r="L39">
        <f>'Rescale to Fit GDP Proj'!Q97</f>
        <v>7.2462147272100139E-2</v>
      </c>
      <c r="M39">
        <f>'Rescale to Fit GDP Proj'!R97</f>
        <v>7.9316831041505359E-2</v>
      </c>
      <c r="N39">
        <f>'Rescale to Fit GDP Proj'!S97</f>
        <v>8.6223252889035568E-2</v>
      </c>
      <c r="O39">
        <f>'Rescale to Fit GDP Proj'!T97</f>
        <v>9.3181803325590867E-2</v>
      </c>
      <c r="P39">
        <f>'Rescale to Fit GDP Proj'!U97</f>
        <v>0.10019287580958623</v>
      </c>
      <c r="Q39">
        <f>'Rescale to Fit GDP Proj'!V97</f>
        <v>0.1072568667691992</v>
      </c>
      <c r="R39">
        <f>'Rescale to Fit GDP Proj'!W97</f>
        <v>0.11437417562478489</v>
      </c>
      <c r="S39">
        <f>'Rescale to Fit GDP Proj'!X97</f>
        <v>0.12154520481146057</v>
      </c>
      <c r="T39">
        <f>'Rescale to Fit GDP Proj'!Y97</f>
        <v>0.12877035980186088</v>
      </c>
      <c r="U39">
        <f>'Rescale to Fit GDP Proj'!Z97</f>
        <v>0.13605004912906427</v>
      </c>
      <c r="V39">
        <f>'Rescale to Fit GDP Proj'!AA97</f>
        <v>0.14338468440969254</v>
      </c>
      <c r="W39">
        <f>'Rescale to Fit GDP Proj'!AB97</f>
        <v>0.15077468036718555</v>
      </c>
      <c r="X39">
        <f>'Rescale to Fit GDP Proj'!AC97</f>
        <v>0.15822045485525044</v>
      </c>
      <c r="Y39">
        <f>'Rescale to Fit GDP Proj'!AD97</f>
        <v>0.16572242888148872</v>
      </c>
      <c r="Z39">
        <f>'Rescale to Fit GDP Proj'!AE97</f>
        <v>0.17328102663120112</v>
      </c>
      <c r="AA39">
        <f>'Rescale to Fit GDP Proj'!AF97</f>
        <v>0.18089667549137267</v>
      </c>
      <c r="AB39">
        <f>'Rescale to Fit GDP Proj'!AG97</f>
        <v>0.18856980607483803</v>
      </c>
      <c r="AC39">
        <f>'Rescale to Fit GDP Proj'!AH97</f>
        <v>0.1963008522446304</v>
      </c>
      <c r="AD39">
        <f>'Rescale to Fit GDP Proj'!AI97</f>
        <v>0.20409025113851287</v>
      </c>
      <c r="AE39">
        <f>'Rescale to Fit GDP Proj'!AJ97</f>
        <v>0.21193844319369576</v>
      </c>
      <c r="AF39">
        <f>'Rescale to Fit GDP Proj'!AK97</f>
        <v>0.21984587217174062</v>
      </c>
    </row>
    <row r="40" spans="1:32" x14ac:dyDescent="0.25">
      <c r="A40" s="2" t="s">
        <v>30</v>
      </c>
      <c r="B40">
        <f>'Rescale to Fit GDP Proj'!G98</f>
        <v>0</v>
      </c>
      <c r="C40">
        <f>'Rescale to Fit GDP Proj'!H98</f>
        <v>2.0295630315772433E-3</v>
      </c>
      <c r="D40">
        <f>'Rescale to Fit GDP Proj'!I98</f>
        <v>6.0985469723137363E-3</v>
      </c>
      <c r="E40">
        <f>'Rescale to Fit GDP Proj'!J98</f>
        <v>1.2231668337843763E-2</v>
      </c>
      <c r="F40">
        <f>'Rescale to Fit GDP Proj'!K98</f>
        <v>2.0468742385149025E-2</v>
      </c>
      <c r="G40">
        <f>'Rescale to Fit GDP Proj'!L98</f>
        <v>3.0865106557712071E-2</v>
      </c>
      <c r="H40">
        <f>'Rescale to Fit GDP Proj'!M98</f>
        <v>4.3492233442730718E-2</v>
      </c>
      <c r="I40">
        <f>'Rescale to Fit GDP Proj'!N98</f>
        <v>5.8438542632297592E-2</v>
      </c>
      <c r="J40">
        <f>'Rescale to Fit GDP Proj'!O98</f>
        <v>7.3638939078087232E-2</v>
      </c>
      <c r="K40">
        <f>'Rescale to Fit GDP Proj'!P98</f>
        <v>8.909774226345521E-2</v>
      </c>
      <c r="L40">
        <f>'Rescale to Fit GDP Proj'!Q98</f>
        <v>0.10481934510297443</v>
      </c>
      <c r="M40">
        <f>'Rescale to Fit GDP Proj'!R98</f>
        <v>0.12080821519076557</v>
      </c>
      <c r="N40">
        <f>'Rescale to Fit GDP Proj'!S98</f>
        <v>0.13706889607004899</v>
      </c>
      <c r="O40">
        <f>'Rescale to Fit GDP Proj'!T98</f>
        <v>0.15360600852428027</v>
      </c>
      <c r="P40">
        <f>'Rescale to Fit GDP Proj'!U98</f>
        <v>0.17042425189023347</v>
      </c>
      <c r="Q40">
        <f>'Rescale to Fit GDP Proj'!V98</f>
        <v>0.18752840539340795</v>
      </c>
      <c r="R40">
        <f>'Rescale to Fit GDP Proj'!W98</f>
        <v>0.20492332950613631</v>
      </c>
      <c r="S40">
        <f>'Rescale to Fit GDP Proj'!X98</f>
        <v>0.22261396732878114</v>
      </c>
      <c r="T40">
        <f>'Rescale to Fit GDP Proj'!Y98</f>
        <v>0.24060534599441089</v>
      </c>
      <c r="U40">
        <f>'Rescale to Fit GDP Proj'!Z98</f>
        <v>0.25890257809735645</v>
      </c>
      <c r="V40">
        <f>'Rescale to Fit GDP Proj'!AA98</f>
        <v>0.27751086314605206</v>
      </c>
      <c r="W40">
        <f>'Rescale to Fit GDP Proj'!AB98</f>
        <v>0.29643548904057537</v>
      </c>
      <c r="X40">
        <f>'Rescale to Fit GDP Proj'!AC98</f>
        <v>0.31568183357530571</v>
      </c>
      <c r="Y40">
        <f>'Rescale to Fit GDP Proj'!AD98</f>
        <v>0.3352553659671263</v>
      </c>
      <c r="Z40">
        <f>'Rescale to Fit GDP Proj'!AE98</f>
        <v>0.35516164840960801</v>
      </c>
      <c r="AA40">
        <f>'Rescale to Fit GDP Proj'!AF98</f>
        <v>0.37540633765361181</v>
      </c>
      <c r="AB40">
        <f>'Rescale to Fit GDP Proj'!AG98</f>
        <v>0.39599518661476368</v>
      </c>
      <c r="AC40">
        <f>'Rescale to Fit GDP Proj'!AH98</f>
        <v>0.41693404600825512</v>
      </c>
      <c r="AD40">
        <f>'Rescale to Fit GDP Proj'!AI98</f>
        <v>0.4382288660114359</v>
      </c>
      <c r="AE40">
        <f>'Rescale to Fit GDP Proj'!AJ98</f>
        <v>0.45988569795467071</v>
      </c>
      <c r="AF40">
        <f>'Rescale to Fit GDP Proj'!AK98</f>
        <v>0.48191069604094067</v>
      </c>
    </row>
    <row r="41" spans="1:32" x14ac:dyDescent="0.25">
      <c r="A41" s="2" t="s">
        <v>31</v>
      </c>
      <c r="B41">
        <f>'Rescale to Fit GDP Proj'!G99</f>
        <v>0.12373628260414626</v>
      </c>
      <c r="C41">
        <f>'Rescale to Fit GDP Proj'!H99</f>
        <v>0.15073762908302263</v>
      </c>
      <c r="D41">
        <f>'Rescale to Fit GDP Proj'!I99</f>
        <v>0.17863979060621168</v>
      </c>
      <c r="E41">
        <f>'Rescale to Fit GDP Proj'!J99</f>
        <v>0.20747609072896717</v>
      </c>
      <c r="F41">
        <f>'Rescale to Fit GDP Proj'!K99</f>
        <v>0.23728119117171156</v>
      </c>
      <c r="G41">
        <f>'Rescale to Fit GDP Proj'!L99</f>
        <v>0.26809114928652589</v>
      </c>
      <c r="H41">
        <f>'Rescale to Fit GDP Proj'!M99</f>
        <v>0.2999434781377876</v>
      </c>
      <c r="I41">
        <f>'Rescale to Fit GDP Proj'!N99</f>
        <v>0.33287720932202908</v>
      </c>
      <c r="J41">
        <f>'Rescale to Fit GDP Proj'!O99</f>
        <v>0.36676601871061359</v>
      </c>
      <c r="K41">
        <f>'Rescale to Fit GDP Proj'!P99</f>
        <v>0.40163760357146705</v>
      </c>
      <c r="L41">
        <f>'Rescale to Fit GDP Proj'!Q99</f>
        <v>0.43752046439328512</v>
      </c>
      <c r="M41">
        <f>'Rescale to Fit GDP Proj'!R99</f>
        <v>0.47444392817893594</v>
      </c>
      <c r="N41">
        <f>'Rescale to Fit GDP Proj'!S99</f>
        <v>0.51243817241437062</v>
      </c>
      <c r="O41">
        <f>'Rescale to Fit GDP Proj'!T99</f>
        <v>0.5515342497326331</v>
      </c>
      <c r="P41">
        <f>'Rescale to Fit GDP Proj'!U99</f>
        <v>0.59176411329312506</v>
      </c>
      <c r="Q41">
        <f>'Rescale to Fit GDP Proj'!V99</f>
        <v>0.63316064289687135</v>
      </c>
      <c r="R41">
        <f>'Rescale to Fit GDP Proj'!W99</f>
        <v>0.67575767185912627</v>
      </c>
      <c r="S41">
        <f>'Rescale to Fit GDP Proj'!X99</f>
        <v>0.71959001466128647</v>
      </c>
      <c r="T41">
        <f>'Rescale to Fit GDP Proj'!Y99</f>
        <v>0.76469349540470932</v>
      </c>
      <c r="U41">
        <f>'Rescale to Fit GDP Proj'!Z99</f>
        <v>0.81110497708969131</v>
      </c>
      <c r="V41">
        <f>'Rescale to Fit GDP Proj'!AA99</f>
        <v>0.85886239174353818</v>
      </c>
      <c r="W41">
        <f>'Rescale to Fit GDP Proj'!AB99</f>
        <v>0.90800477142234626</v>
      </c>
      <c r="X41">
        <f>'Rescale to Fit GDP Proj'!AC99</f>
        <v>0.95857228011183992</v>
      </c>
      <c r="Y41">
        <f>'Rescale to Fit GDP Proj'!AD99</f>
        <v>1.010606246553329</v>
      </c>
      <c r="Z41">
        <f>'Rescale to Fit GDP Proj'!AE99</f>
        <v>1.0641491980216209</v>
      </c>
      <c r="AA41">
        <f>'Rescale to Fit GDP Proj'!AF99</f>
        <v>1.1192448950824936</v>
      </c>
      <c r="AB41">
        <f>'Rescale to Fit GDP Proj'!AG99</f>
        <v>1.1759383673581314</v>
      </c>
      <c r="AC41">
        <f>'Rescale to Fit GDP Proj'!AH99</f>
        <v>1.2342759503297629</v>
      </c>
      <c r="AD41">
        <f>'Rescale to Fit GDP Proj'!AI99</f>
        <v>1.2943053232075714</v>
      </c>
      <c r="AE41">
        <f>'Rescale to Fit GDP Proj'!AJ99</f>
        <v>1.3560755478988364</v>
      </c>
      <c r="AF41">
        <f>'Rescale to Fit GDP Proj'!AK99</f>
        <v>1.4196371091061482</v>
      </c>
    </row>
    <row r="42" spans="1:32" x14ac:dyDescent="0.25">
      <c r="A42" s="2" t="s">
        <v>32</v>
      </c>
      <c r="B42">
        <f>'Rescale to Fit GDP Proj'!G100</f>
        <v>0.10521485742633238</v>
      </c>
      <c r="C42">
        <f>'Rescale to Fit GDP Proj'!H100</f>
        <v>0.12752803868977666</v>
      </c>
      <c r="D42">
        <f>'Rescale to Fit GDP Proj'!I100</f>
        <v>0.15009515240505181</v>
      </c>
      <c r="E42">
        <f>'Rescale to Fit GDP Proj'!J100</f>
        <v>0.17290932490532143</v>
      </c>
      <c r="F42">
        <f>'Rescale to Fit GDP Proj'!K100</f>
        <v>0.19596330775497678</v>
      </c>
      <c r="G42">
        <f>'Rescale to Fit GDP Proj'!L100</f>
        <v>0.21924947714618914</v>
      </c>
      <c r="H42">
        <f>'Rescale to Fit GDP Proj'!M100</f>
        <v>0.2427598338173993</v>
      </c>
      <c r="I42">
        <f>'Rescale to Fit GDP Proj'!N100</f>
        <v>0.26648600350625823</v>
      </c>
      <c r="J42">
        <f>'Rescale to Fit GDP Proj'!O100</f>
        <v>0.29073414892827204</v>
      </c>
      <c r="K42">
        <f>'Rescale to Fit GDP Proj'!P100</f>
        <v>0.31551575354957012</v>
      </c>
      <c r="L42">
        <f>'Rescale to Fit GDP Proj'!Q100</f>
        <v>0.34084255347253672</v>
      </c>
      <c r="M42">
        <f>'Rescale to Fit GDP Proj'!R100</f>
        <v>0.36672654299380869</v>
      </c>
      <c r="N42">
        <f>'Rescale to Fit GDP Proj'!S100</f>
        <v>0.39317998028454848</v>
      </c>
      <c r="O42">
        <f>'Rescale to Fit GDP Proj'!T100</f>
        <v>0.42021539319568463</v>
      </c>
      <c r="P42">
        <f>'Rescale to Fit GDP Proj'!U100</f>
        <v>0.44784558519086581</v>
      </c>
      <c r="Q42">
        <f>'Rescale to Fit GDP Proj'!V100</f>
        <v>0.47608364140994092</v>
      </c>
      <c r="R42">
        <f>'Rescale to Fit GDP Proj'!W100</f>
        <v>0.50494293486583575</v>
      </c>
      <c r="S42">
        <f>'Rescale to Fit GDP Proj'!X100</f>
        <v>0.53443713277776017</v>
      </c>
      <c r="T42">
        <f>'Rescale to Fit GDP Proj'!Y100</f>
        <v>0.5645802030437469</v>
      </c>
      <c r="U42">
        <f>'Rescale to Fit GDP Proj'!Z100</f>
        <v>0.59538642085558535</v>
      </c>
      <c r="V42">
        <f>'Rescale to Fit GDP Proj'!AA100</f>
        <v>0.62687037545928437</v>
      </c>
      <c r="W42">
        <f>'Rescale to Fit GDP Proj'!AB100</f>
        <v>0.65904697706426463</v>
      </c>
      <c r="X42">
        <f>'Rescale to Fit GDP Proj'!AC100</f>
        <v>0.69193146390455451</v>
      </c>
      <c r="Y42">
        <f>'Rescale to Fit GDP Proj'!AD100</f>
        <v>0.72553940945533069</v>
      </c>
      <c r="Z42">
        <f>'Rescale to Fit GDP Proj'!AE100</f>
        <v>0.75988672980822414</v>
      </c>
      <c r="AA42">
        <f>'Rescale to Fit GDP Proj'!AF100</f>
        <v>0.79498969120888119</v>
      </c>
      <c r="AB42">
        <f>'Rescale to Fit GDP Proj'!AG100</f>
        <v>0.83086491776035265</v>
      </c>
      <c r="AC42">
        <f>'Rescale to Fit GDP Proj'!AH100</f>
        <v>0.86752939929595663</v>
      </c>
      <c r="AD42">
        <f>'Rescale to Fit GDP Proj'!AI100</f>
        <v>0.90500049942534389</v>
      </c>
      <c r="AE42">
        <f>'Rescale to Fit GDP Proj'!AJ100</f>
        <v>0.94329596375757752</v>
      </c>
      <c r="AF42">
        <f>'Rescale to Fit GDP Proj'!AK100</f>
        <v>0.98243392830512022</v>
      </c>
    </row>
    <row r="43" spans="1:32" x14ac:dyDescent="0.25">
      <c r="A43" s="2" t="s">
        <v>33</v>
      </c>
      <c r="B43">
        <f>'Rescale to Fit GDP Proj'!G101</f>
        <v>3.3967242481519569E-2</v>
      </c>
      <c r="C43">
        <f>'Rescale to Fit GDP Proj'!H101</f>
        <v>4.2042746534542534E-2</v>
      </c>
      <c r="D43">
        <f>'Rescale to Fit GDP Proj'!I101</f>
        <v>5.1321766916874262E-2</v>
      </c>
      <c r="E43">
        <f>'Rescale to Fit GDP Proj'!J101</f>
        <v>6.1839339475412682E-2</v>
      </c>
      <c r="F43">
        <f>'Rescale to Fit GDP Proj'!K101</f>
        <v>7.3635602662599914E-2</v>
      </c>
      <c r="G43">
        <f>'Rescale to Fit GDP Proj'!L101</f>
        <v>8.6756051344085511E-2</v>
      </c>
      <c r="H43">
        <f>'Rescale to Fit GDP Proj'!M101</f>
        <v>0.10125182739726118</v>
      </c>
      <c r="I43">
        <f>'Rescale to Fit GDP Proj'!N101</f>
        <v>0.11718004968405514</v>
      </c>
      <c r="J43">
        <f>'Rescale to Fit GDP Proj'!O101</f>
        <v>0.13337905174972467</v>
      </c>
      <c r="K43">
        <f>'Rescale to Fit GDP Proj'!P101</f>
        <v>0.1498534368505105</v>
      </c>
      <c r="L43">
        <f>'Rescale to Fit GDP Proj'!Q101</f>
        <v>0.16660788649800976</v>
      </c>
      <c r="M43">
        <f>'Rescale to Fit GDP Proj'!R101</f>
        <v>0.18364716178951637</v>
      </c>
      <c r="N43">
        <f>'Rescale to Fit GDP Proj'!S101</f>
        <v>0.20097610476097874</v>
      </c>
      <c r="O43">
        <f>'Rescale to Fit GDP Proj'!T101</f>
        <v>0.21859963976295588</v>
      </c>
      <c r="P43">
        <f>'Rescale to Fit GDP Proj'!U101</f>
        <v>0.23652277485996659</v>
      </c>
      <c r="Q43">
        <f>'Rescale to Fit GDP Proj'!V101</f>
        <v>0.25475060325362658</v>
      </c>
      <c r="R43">
        <f>'Rescale to Fit GDP Proj'!W101</f>
        <v>0.27328830472997873</v>
      </c>
      <c r="S43">
        <f>'Rescale to Fit GDP Proj'!X101</f>
        <v>0.29214114713142891</v>
      </c>
      <c r="T43">
        <f>'Rescale to Fit GDP Proj'!Y101</f>
        <v>0.31131448785370358</v>
      </c>
      <c r="U43">
        <f>'Rescale to Fit GDP Proj'!Z101</f>
        <v>0.33081377536825701</v>
      </c>
      <c r="V43">
        <f>'Rescale to Fit GDP Proj'!AA101</f>
        <v>0.35064455077055778</v>
      </c>
      <c r="W43">
        <f>'Rescale to Fit GDP Proj'!AB101</f>
        <v>0.37081244935469776</v>
      </c>
      <c r="X43">
        <f>'Rescale to Fit GDP Proj'!AC101</f>
        <v>0.39132320221476818</v>
      </c>
      <c r="Y43">
        <f>'Rescale to Fit GDP Proj'!AD101</f>
        <v>0.41218263787345971</v>
      </c>
      <c r="Z43">
        <f>'Rescale to Fit GDP Proj'!AE101</f>
        <v>0.43339668393834907</v>
      </c>
      <c r="AA43">
        <f>'Rescale to Fit GDP Proj'!AF101</f>
        <v>0.45497136878634148</v>
      </c>
      <c r="AB43">
        <f>'Rescale to Fit GDP Proj'!AG101</f>
        <v>0.47691282327674978</v>
      </c>
      <c r="AC43">
        <f>'Rescale to Fit GDP Proj'!AH101</f>
        <v>0.49922728249349507</v>
      </c>
      <c r="AD43">
        <f>'Rescale to Fit GDP Proj'!AI101</f>
        <v>0.52192108751692501</v>
      </c>
      <c r="AE43">
        <f>'Rescale to Fit GDP Proj'!AJ101</f>
        <v>0.54500068722575312</v>
      </c>
      <c r="AF43">
        <f>'Rescale to Fit GDP Proj'!AK101</f>
        <v>0.56847264012963139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About</vt:lpstr>
      <vt:lpstr>BLS Table 2.7</vt:lpstr>
      <vt:lpstr>AEO22 Table 23 Raw</vt:lpstr>
      <vt:lpstr>AEO22 Table 23</vt:lpstr>
      <vt:lpstr>Growth Rates</vt:lpstr>
      <vt:lpstr>Data from BVAbIC</vt:lpstr>
      <vt:lpstr>OECD GDP Data</vt:lpstr>
      <vt:lpstr>Rescale to Fit GDP Proj</vt:lpstr>
      <vt:lpstr>BPCiObIC</vt:lpstr>
      <vt:lpstr>'BLS Table 2.7'!Print_Area</vt:lpstr>
      <vt:lpstr>'BLS Table 2.7'!Print_Titles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2019-12-02T22:49:06Z</dcterms:created>
  <dcterms:modified xsi:type="dcterms:W3CDTF">2022-09-07T00:02:43Z</dcterms:modified>
</cp:coreProperties>
</file>