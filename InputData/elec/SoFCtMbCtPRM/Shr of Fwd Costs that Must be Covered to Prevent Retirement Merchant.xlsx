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E\elec\SoFCtMbCtPRM\"/>
    </mc:Choice>
  </mc:AlternateContent>
  <xr:revisionPtr revIDLastSave="0" documentId="8_{E15F0ABA-D13F-4F81-99CB-F6FEE398F4EA}"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<sst xmlns="http://schemas.openxmlformats.org/spreadsheetml/2006/main" count="84211" uniqueCount="267">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</sst>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78</v>
      </c>
      <c r="C1" s="5">
        <v>46269</v>
      </c>
      <c r="F1" t="s">
        <v>2</v>
      </c>
      <c r="G1" t="s">
        <v>3</v>
      </c>
    </row>
    <row r="2" spans="1:7" x14ac:dyDescent="0.45">
      <c r="B2" t="str">
        <f>VLOOKUP($B$1,$F$1:$G$51,2,FALSE)</f>
        <v>NE</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0.5</v>
      </c>
    </row>
    <row r="3" spans="1:2" x14ac:dyDescent="0.45">
      <c r="A3" t="s">
        <v>130</v>
      </c>
      <c r="B3">
        <f>ROUND(Calcs!$B$57,3)</f>
        <v>0.5</v>
      </c>
    </row>
    <row r="4" spans="1:2" x14ac:dyDescent="0.45">
      <c r="A4" t="s">
        <v>131</v>
      </c>
      <c r="B4">
        <f>ROUND(Calcs!$B$57,3)</f>
        <v>0.5</v>
      </c>
    </row>
    <row r="5" spans="1:2" x14ac:dyDescent="0.45">
      <c r="A5" t="s">
        <v>132</v>
      </c>
      <c r="B5">
        <f>ROUND(Calcs!$B$57,3)</f>
        <v>0.5</v>
      </c>
    </row>
    <row r="6" spans="1:2" x14ac:dyDescent="0.45">
      <c r="A6" t="s">
        <v>133</v>
      </c>
      <c r="B6">
        <f>ROUND(Calcs!$B$57,3)</f>
        <v>0.5</v>
      </c>
    </row>
    <row r="7" spans="1:2" x14ac:dyDescent="0.45">
      <c r="A7" t="s">
        <v>134</v>
      </c>
      <c r="B7">
        <f>ROUND(Calcs!$B$57,3)</f>
        <v>0.5</v>
      </c>
    </row>
    <row r="8" spans="1:2" x14ac:dyDescent="0.45">
      <c r="A8" t="s">
        <v>135</v>
      </c>
      <c r="B8">
        <f>ROUND(Calcs!$B$57,3)</f>
        <v>0.5</v>
      </c>
    </row>
    <row r="9" spans="1:2" x14ac:dyDescent="0.45">
      <c r="A9" t="s">
        <v>136</v>
      </c>
      <c r="B9">
        <f>ROUND(Calcs!$B$57,3)</f>
        <v>0.5</v>
      </c>
    </row>
    <row r="10" spans="1:2" x14ac:dyDescent="0.45">
      <c r="A10" t="s">
        <v>137</v>
      </c>
      <c r="B10">
        <f>ROUND(Calcs!$B$57,3)</f>
        <v>0.5</v>
      </c>
    </row>
    <row r="11" spans="1:2" x14ac:dyDescent="0.45">
      <c r="A11" t="s">
        <v>138</v>
      </c>
      <c r="B11">
        <f>ROUND(Calcs!$B$57,3)</f>
        <v>0.5</v>
      </c>
    </row>
    <row r="12" spans="1:2" x14ac:dyDescent="0.45">
      <c r="A12" t="s">
        <v>139</v>
      </c>
      <c r="B12">
        <f>ROUND(Calcs!$B$57,3)</f>
        <v>0.5</v>
      </c>
    </row>
    <row r="13" spans="1:2" x14ac:dyDescent="0.45">
      <c r="A13" t="s">
        <v>140</v>
      </c>
      <c r="B13">
        <f>ROUND(Calcs!$B$57,3)</f>
        <v>0.5</v>
      </c>
    </row>
    <row r="14" spans="1:2" x14ac:dyDescent="0.45">
      <c r="A14" t="s">
        <v>141</v>
      </c>
      <c r="B14">
        <f>ROUND(Calcs!$B$57,3)</f>
        <v>0.5</v>
      </c>
    </row>
    <row r="15" spans="1:2" x14ac:dyDescent="0.45">
      <c r="A15" t="s">
        <v>142</v>
      </c>
      <c r="B15">
        <f>ROUND(Calcs!$B$57,3)</f>
        <v>0.5</v>
      </c>
    </row>
    <row r="16" spans="1:2" x14ac:dyDescent="0.45">
      <c r="A16" t="s">
        <v>143</v>
      </c>
      <c r="B16">
        <f>ROUND(Calcs!$B$57,3)</f>
        <v>0.5</v>
      </c>
    </row>
    <row r="17" spans="1:2" x14ac:dyDescent="0.45">
      <c r="A17" t="s">
        <v>144</v>
      </c>
      <c r="B17">
        <f>ROUND(Calcs!$B$57,3)</f>
        <v>0.5</v>
      </c>
    </row>
    <row r="18" spans="1:2" x14ac:dyDescent="0.45">
      <c r="A18" t="s">
        <v>145</v>
      </c>
      <c r="B18">
        <f>ROUND(Calcs!$B$57,3)</f>
        <v>0.5</v>
      </c>
    </row>
    <row r="19" spans="1:2" x14ac:dyDescent="0.45">
      <c r="A19" t="s">
        <v>146</v>
      </c>
      <c r="B19">
        <f>ROUND(Calcs!$B$57,3)</f>
        <v>0.5</v>
      </c>
    </row>
    <row r="20" spans="1:2" x14ac:dyDescent="0.45">
      <c r="A20" t="s">
        <v>147</v>
      </c>
      <c r="B20">
        <f>ROUND(Calcs!$B$57,3)</f>
        <v>0.5</v>
      </c>
    </row>
    <row r="21" spans="1:2" x14ac:dyDescent="0.45">
      <c r="A21" t="s">
        <v>148</v>
      </c>
      <c r="B21">
        <f>ROUND(Calcs!$B$57,3)</f>
        <v>0.5</v>
      </c>
    </row>
    <row r="22" spans="1:2" x14ac:dyDescent="0.45">
      <c r="A22" t="s">
        <v>149</v>
      </c>
      <c r="B22">
        <f>ROUND(Calcs!$B$57,3)</f>
        <v>0.5</v>
      </c>
    </row>
    <row r="23" spans="1:2" x14ac:dyDescent="0.45">
      <c r="A23" t="s">
        <v>150</v>
      </c>
      <c r="B23">
        <f>ROUND(Calcs!$B$57,3)</f>
        <v>0.5</v>
      </c>
    </row>
    <row r="24" spans="1:2" x14ac:dyDescent="0.45">
      <c r="A24" t="s">
        <v>151</v>
      </c>
      <c r="B24">
        <f>ROUND(Calcs!$B$57,3)</f>
        <v>0.5</v>
      </c>
    </row>
    <row r="25" spans="1:2" x14ac:dyDescent="0.45">
      <c r="A25" t="s">
        <v>152</v>
      </c>
      <c r="B25">
        <f>ROUND(Calcs!$B$57,3)</f>
        <v>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NE</v>
      </c>
    </row>
    <row r="57" spans="1:8" x14ac:dyDescent="0.45">
      <c r="A57" s="6" t="s">
        <v>259</v>
      </c>
      <c r="B57">
        <f>IF($B$56="US",Parameters!$B$3,INDEX($H$4:$H$53,MATCH($B$56,$A$4:$A$53,0)))</f>
        <v>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2026-09-04T21:24:32Z</dcterms:modified>
</cp:coreProperties>
</file>